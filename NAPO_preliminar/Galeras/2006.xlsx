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</t>
        </is>
      </c>
      <c r="C1" s="1" t="inlineStr">
        <is>
          <t>Ci/Ca</t>
        </is>
      </c>
      <c r="D1" s="1" t="inlineStr">
        <is>
          <t>Plot_x</t>
        </is>
      </c>
      <c r="E1" s="1" t="inlineStr">
        <is>
          <t>Plot_</t>
        </is>
      </c>
      <c r="F1" s="1" t="inlineStr">
        <is>
          <t>Sample ID</t>
        </is>
      </c>
      <c r="G1" s="1" t="inlineStr">
        <is>
          <t>TreeID</t>
        </is>
      </c>
      <c r="H1" s="1" t="inlineStr">
        <is>
          <t>Type</t>
        </is>
      </c>
      <c r="I1" s="1" t="inlineStr">
        <is>
          <t>Type 2</t>
        </is>
      </c>
      <c r="J1" s="1" t="inlineStr">
        <is>
          <t>Year</t>
        </is>
      </c>
      <c r="K1" s="1" t="inlineStr">
        <is>
          <t>[C]%</t>
        </is>
      </c>
      <c r="L1" s="1" t="inlineStr">
        <is>
          <t>[C_b]%</t>
        </is>
      </c>
      <c r="M1" s="1" t="inlineStr">
        <is>
          <t>[N]</t>
        </is>
      </c>
      <c r="N1" s="1" t="inlineStr">
        <is>
          <t>bulk_δ13C (‰ v.s.V-PDB)</t>
        </is>
      </c>
      <c r="O1" s="1" t="inlineStr">
        <is>
          <t>description</t>
        </is>
      </c>
      <c r="P1" s="1" t="inlineStr">
        <is>
          <t>iWUE (μmol/mol)</t>
        </is>
      </c>
      <c r="Q1" s="1" t="inlineStr">
        <is>
          <t>new_TreeID</t>
        </is>
      </c>
      <c r="R1" s="1" t="inlineStr">
        <is>
          <t>numeroCampo</t>
        </is>
      </c>
      <c r="S1" s="1" t="inlineStr">
        <is>
          <t>old_treeID</t>
        </is>
      </c>
      <c r="T1" s="1" t="inlineStr">
        <is>
          <t>sample-ID</t>
        </is>
      </c>
      <c r="U1" s="1" t="inlineStr">
        <is>
          <t>δ13C (‰ v.s.V-PDB)</t>
        </is>
      </c>
      <c r="V1" s="1" t="inlineStr">
        <is>
          <t>δ15N (‰ v.s. V-PDB)</t>
        </is>
      </c>
      <c r="W1" s="1" t="inlineStr">
        <is>
          <t>△13C_cell</t>
        </is>
      </c>
      <c r="X1" s="1" t="inlineStr">
        <is>
          <t>Site</t>
        </is>
      </c>
      <c r="Y1" s="1" t="inlineStr">
        <is>
          <t>Elevation</t>
        </is>
      </c>
      <c r="Z1" s="1" t="inlineStr">
        <is>
          <t>Plot_y</t>
        </is>
      </c>
      <c r="AA1" s="1" t="inlineStr">
        <is>
          <t>site</t>
        </is>
      </c>
      <c r="AB1" s="1" t="inlineStr">
        <is>
          <t>PlotID</t>
        </is>
      </c>
      <c r="AC1" s="1" t="inlineStr">
        <is>
          <t>treeID</t>
        </is>
      </c>
      <c r="AD1" s="1" t="inlineStr">
        <is>
          <t>Individual tree census 1</t>
        </is>
      </c>
      <c r="AE1" s="1" t="inlineStr">
        <is>
          <t>Individual tree census 2</t>
        </is>
      </c>
      <c r="AF1" s="1" t="inlineStr">
        <is>
          <t>new census 2</t>
        </is>
      </c>
      <c r="AG1" s="1" t="inlineStr">
        <is>
          <t>dead census 2</t>
        </is>
      </c>
      <c r="AH1" s="1" t="inlineStr">
        <is>
          <t>family</t>
        </is>
      </c>
      <c r="AI1" s="1" t="inlineStr">
        <is>
          <t>genus</t>
        </is>
      </c>
      <c r="AJ1" s="1" t="inlineStr">
        <is>
          <t>species</t>
        </is>
      </c>
      <c r="AK1" s="1" t="inlineStr">
        <is>
          <t>date census 1</t>
        </is>
      </c>
      <c r="AL1" s="1" t="inlineStr">
        <is>
          <t>dbh 1</t>
        </is>
      </c>
      <c r="AM1" s="1" t="inlineStr">
        <is>
          <t>date census 2</t>
        </is>
      </c>
      <c r="AN1" s="1" t="inlineStr">
        <is>
          <t>dbh 2</t>
        </is>
      </c>
      <c r="AO1" s="1" t="inlineStr">
        <is>
          <t>tree height 2011 (m)</t>
        </is>
      </c>
      <c r="AP1" s="1" t="inlineStr">
        <is>
          <t>comment</t>
        </is>
      </c>
      <c r="AQ1" s="1" t="inlineStr">
        <is>
          <t>JH herbarium collections</t>
        </is>
      </c>
      <c r="AR1" s="1" t="inlineStr">
        <is>
          <t>leaf sample tree</t>
        </is>
      </c>
      <c r="AS1" s="1" t="inlineStr">
        <is>
          <t>Select_2024</t>
        </is>
      </c>
      <c r="AT1" s="1" t="inlineStr">
        <is>
          <t>Collected_2024</t>
        </is>
      </c>
      <c r="AU1" s="1" t="inlineStr">
        <is>
          <t>new ID 2024</t>
        </is>
      </c>
      <c r="AV1" s="1" t="inlineStr">
        <is>
          <t>ind (1) branch (0)</t>
        </is>
      </c>
      <c r="AW1" s="1" t="inlineStr">
        <is>
          <t>dead 2011</t>
        </is>
      </c>
      <c r="AX1" s="1" t="inlineStr">
        <is>
          <t>dead 2024</t>
        </is>
      </c>
      <c r="AY1" s="1" t="inlineStr">
        <is>
          <t>date census 3</t>
        </is>
      </c>
      <c r="AZ1" s="1" t="inlineStr">
        <is>
          <t>dbh 2024</t>
        </is>
      </c>
      <c r="BA1" s="1" t="inlineStr">
        <is>
          <t>height (m) 2024</t>
        </is>
      </c>
      <c r="BB1" s="1" t="inlineStr">
        <is>
          <t>leaf sample tree 3</t>
        </is>
      </c>
      <c r="BC1" s="1" t="inlineStr">
        <is>
          <t>new entry 2024</t>
        </is>
      </c>
      <c r="BD1" s="1" t="inlineStr">
        <is>
          <t>X/Y</t>
        </is>
      </c>
      <c r="BE1" s="1" t="inlineStr">
        <is>
          <t>Cambio sp</t>
        </is>
      </c>
      <c r="BF1" s="1" t="inlineStr">
        <is>
          <t>JH herbarium collections 2024</t>
        </is>
      </c>
      <c r="BG1" s="1" t="inlineStr">
        <is>
          <t>Nº duplicados/ muestras 2025</t>
        </is>
      </c>
      <c r="BH1" s="1" t="inlineStr">
        <is>
          <t>comment 2024</t>
        </is>
      </c>
      <c r="BI1" s="1" t="inlineStr">
        <is>
          <t>comment taxo 2024</t>
        </is>
      </c>
      <c r="BJ1" s="1" t="inlineStr">
        <is>
          <t>crust thickness</t>
        </is>
      </c>
      <c r="BK1" s="1" t="inlineStr">
        <is>
          <t>wet lenght cm</t>
        </is>
      </c>
      <c r="BL1" s="1" t="inlineStr">
        <is>
          <t>wet wood weight</t>
        </is>
      </c>
      <c r="BM1" s="1" t="inlineStr">
        <is>
          <t>dry wood weight</t>
        </is>
      </c>
    </row>
    <row r="2">
      <c r="A2" s="1" t="n">
        <v>0</v>
      </c>
      <c r="B2" t="n">
        <v>312.7688662074681</v>
      </c>
      <c r="C2" t="n">
        <v>0.8185738077611769</v>
      </c>
      <c r="D2" t="n">
        <v>23</v>
      </c>
      <c r="E2" t="inlineStr"/>
      <c r="F2" t="inlineStr">
        <is>
          <t>p23-557</t>
        </is>
      </c>
      <c r="G2" t="inlineStr">
        <is>
          <t>557</t>
        </is>
      </c>
      <c r="H2" t="inlineStr">
        <is>
          <t>leaf pulverized</t>
        </is>
      </c>
      <c r="I2" t="inlineStr"/>
      <c r="J2" t="n">
        <v>2006</v>
      </c>
      <c r="K2" t="n">
        <v>0.4555299539893652</v>
      </c>
      <c r="L2" t="n">
        <v>0.4855310575620023</v>
      </c>
      <c r="M2" t="n">
        <v>0.01912372642916168</v>
      </c>
      <c r="N2" t="n">
        <v>-31.45873059218226</v>
      </c>
      <c r="O2" t="inlineStr"/>
      <c r="P2" t="n">
        <v>43.32570862033243</v>
      </c>
      <c r="Q2" t="inlineStr"/>
      <c r="R2" t="inlineStr"/>
      <c r="S2" t="n">
        <v>557</v>
      </c>
      <c r="T2" t="inlineStr">
        <is>
          <t>p23-557</t>
        </is>
      </c>
      <c r="U2" t="n">
        <v>-29.28958972049875</v>
      </c>
      <c r="V2" t="n">
        <v>1.96067777139575</v>
      </c>
      <c r="W2" t="n">
        <v>21.64351952756884</v>
      </c>
      <c r="X2" t="inlineStr">
        <is>
          <t>Galeras</t>
        </is>
      </c>
      <c r="Y2" t="n">
        <v>1000</v>
      </c>
      <c r="Z2" t="n">
        <v>23</v>
      </c>
      <c r="AA2" t="inlineStr">
        <is>
          <t>Galeras</t>
        </is>
      </c>
      <c r="AB2" t="inlineStr">
        <is>
          <t>GAL_23</t>
        </is>
      </c>
      <c r="AC2" t="n">
        <v>557</v>
      </c>
      <c r="AD2" t="n">
        <v>1</v>
      </c>
      <c r="AE2" t="inlineStr"/>
      <c r="AF2" t="inlineStr"/>
      <c r="AG2" t="inlineStr"/>
      <c r="AH2" t="inlineStr">
        <is>
          <t>Quiinaceae</t>
        </is>
      </c>
      <c r="AI2" t="inlineStr">
        <is>
          <t>Lacunaria</t>
        </is>
      </c>
      <c r="AJ2" t="inlineStr">
        <is>
          <t>crenata</t>
        </is>
      </c>
      <c r="AK2" s="2" t="n">
        <v>38653</v>
      </c>
      <c r="AL2" t="n">
        <v>24.19155134996809</v>
      </c>
      <c r="AM2" t="inlineStr"/>
      <c r="AN2" t="inlineStr"/>
      <c r="AO2" t="inlineStr"/>
      <c r="AP2" t="inlineStr"/>
      <c r="AQ2" t="inlineStr">
        <is>
          <t>3737</t>
        </is>
      </c>
      <c r="AR2" t="n">
        <v>1</v>
      </c>
      <c r="AS2" t="inlineStr"/>
      <c r="AT2" t="inlineStr"/>
      <c r="AU2" t="inlineStr"/>
      <c r="AV2" t="inlineStr"/>
      <c r="AW2" t="inlineStr"/>
      <c r="AX2" t="inlineStr"/>
      <c r="AY2" s="2" t="n">
        <v>45541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NE</t>
        </is>
      </c>
      <c r="BI2" t="inlineStr"/>
      <c r="BJ2" t="inlineStr"/>
      <c r="BK2" t="inlineStr"/>
      <c r="BL2" t="inlineStr"/>
      <c r="BM2" t="inlineStr"/>
    </row>
    <row r="3">
      <c r="A3" s="1" t="n">
        <v>1</v>
      </c>
      <c r="B3" t="n">
        <v>315.228277015067</v>
      </c>
      <c r="C3" t="n">
        <v>0.8250105394411447</v>
      </c>
      <c r="D3" t="n">
        <v>23</v>
      </c>
      <c r="E3" t="inlineStr"/>
      <c r="F3" t="inlineStr">
        <is>
          <t>p23-557</t>
        </is>
      </c>
      <c r="G3" t="inlineStr">
        <is>
          <t>557</t>
        </is>
      </c>
      <c r="H3" t="inlineStr">
        <is>
          <t>leaf pulverized</t>
        </is>
      </c>
      <c r="I3" t="inlineStr"/>
      <c r="J3" t="n">
        <v>2006</v>
      </c>
      <c r="K3" t="n">
        <v>43.3604790180212</v>
      </c>
      <c r="L3" t="n">
        <v>0.4855310575620023</v>
      </c>
      <c r="M3" t="n">
        <v>0.01912372642916168</v>
      </c>
      <c r="N3" t="n">
        <v>-31.45873059218226</v>
      </c>
      <c r="O3" t="inlineStr"/>
      <c r="P3" t="n">
        <v>41.78857686558315</v>
      </c>
      <c r="Q3" t="inlineStr"/>
      <c r="R3" t="inlineStr"/>
      <c r="S3" t="n">
        <v>557</v>
      </c>
      <c r="T3" t="inlineStr">
        <is>
          <t>p23-557</t>
        </is>
      </c>
      <c r="U3" t="n">
        <v>-29.4277878972228</v>
      </c>
      <c r="V3" t="n">
        <v>1.96067777139575</v>
      </c>
      <c r="W3" t="n">
        <v>21.78898966353612</v>
      </c>
      <c r="X3" t="inlineStr">
        <is>
          <t>Galeras</t>
        </is>
      </c>
      <c r="Y3" t="n">
        <v>1000</v>
      </c>
      <c r="Z3" t="n">
        <v>23</v>
      </c>
      <c r="AA3" t="inlineStr">
        <is>
          <t>Galeras</t>
        </is>
      </c>
      <c r="AB3" t="inlineStr">
        <is>
          <t>GAL_23</t>
        </is>
      </c>
      <c r="AC3" t="n">
        <v>557</v>
      </c>
      <c r="AD3" t="n">
        <v>1</v>
      </c>
      <c r="AE3" t="inlineStr"/>
      <c r="AF3" t="inlineStr"/>
      <c r="AG3" t="inlineStr"/>
      <c r="AH3" t="inlineStr">
        <is>
          <t>Quiinaceae</t>
        </is>
      </c>
      <c r="AI3" t="inlineStr">
        <is>
          <t>Lacunaria</t>
        </is>
      </c>
      <c r="AJ3" t="inlineStr">
        <is>
          <t>crenata</t>
        </is>
      </c>
      <c r="AK3" s="2" t="n">
        <v>38653</v>
      </c>
      <c r="AL3" t="n">
        <v>24.19155134996809</v>
      </c>
      <c r="AM3" t="inlineStr"/>
      <c r="AN3" t="inlineStr"/>
      <c r="AO3" t="inlineStr"/>
      <c r="AP3" t="inlineStr"/>
      <c r="AQ3" t="inlineStr">
        <is>
          <t>3737</t>
        </is>
      </c>
      <c r="AR3" t="n">
        <v>1</v>
      </c>
      <c r="AS3" t="inlineStr"/>
      <c r="AT3" t="inlineStr"/>
      <c r="AU3" t="inlineStr"/>
      <c r="AV3" t="inlineStr"/>
      <c r="AW3" t="inlineStr"/>
      <c r="AX3" t="inlineStr"/>
      <c r="AY3" s="2" t="n">
        <v>45541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NE</t>
        </is>
      </c>
      <c r="BI3" t="inlineStr"/>
      <c r="BJ3" t="inlineStr"/>
      <c r="BK3" t="inlineStr"/>
      <c r="BL3" t="inlineStr"/>
      <c r="BM3" t="inlineStr"/>
    </row>
    <row r="4">
      <c r="A4" s="1" t="n">
        <v>2</v>
      </c>
      <c r="B4" t="n">
        <v>320.4960338585062</v>
      </c>
      <c r="C4" t="n">
        <v>0.8387972306485545</v>
      </c>
      <c r="D4" t="n">
        <v>22</v>
      </c>
      <c r="E4" t="inlineStr"/>
      <c r="F4" t="inlineStr">
        <is>
          <t>p22-550</t>
        </is>
      </c>
      <c r="G4" t="inlineStr">
        <is>
          <t>550</t>
        </is>
      </c>
      <c r="H4" t="inlineStr">
        <is>
          <t>leaf pulverized</t>
        </is>
      </c>
      <c r="I4" t="inlineStr"/>
      <c r="J4" t="n">
        <v>2006</v>
      </c>
      <c r="K4" t="n">
        <v>0.4741139913597374</v>
      </c>
      <c r="L4" t="n">
        <v>0.4650527989796192</v>
      </c>
      <c r="M4" t="n">
        <v>0.02523026048763594</v>
      </c>
      <c r="N4" t="n">
        <v>-30.31</v>
      </c>
      <c r="O4" t="inlineStr"/>
      <c r="P4" t="n">
        <v>38.49622883843363</v>
      </c>
      <c r="Q4" t="inlineStr"/>
      <c r="R4" t="inlineStr"/>
      <c r="S4" t="n">
        <v>550</v>
      </c>
      <c r="T4" t="inlineStr">
        <is>
          <t>p22-550</t>
        </is>
      </c>
      <c r="U4" t="n">
        <v>-29.7236591091723</v>
      </c>
      <c r="V4" t="n">
        <v>4.37</v>
      </c>
      <c r="W4" t="n">
        <v>22.10056888482358</v>
      </c>
      <c r="X4" t="inlineStr">
        <is>
          <t>Galeras</t>
        </is>
      </c>
      <c r="Y4" t="n">
        <v>1000</v>
      </c>
      <c r="Z4" t="n">
        <v>22</v>
      </c>
      <c r="AA4" t="inlineStr">
        <is>
          <t>Galeras</t>
        </is>
      </c>
      <c r="AB4" t="inlineStr">
        <is>
          <t>GAL_22</t>
        </is>
      </c>
      <c r="AC4" t="n">
        <v>550</v>
      </c>
      <c r="AD4" t="n">
        <v>1</v>
      </c>
      <c r="AE4" t="n">
        <v>0</v>
      </c>
      <c r="AF4" t="n">
        <v>0</v>
      </c>
      <c r="AG4" t="n">
        <v>1</v>
      </c>
      <c r="AH4" t="inlineStr">
        <is>
          <t>Melastomataceae</t>
        </is>
      </c>
      <c r="AI4" t="inlineStr"/>
      <c r="AJ4" t="inlineStr"/>
      <c r="AK4" s="2" t="n">
        <v>38823</v>
      </c>
      <c r="AL4" t="n">
        <v>14.75</v>
      </c>
      <c r="AM4" s="2" t="n">
        <v>40724</v>
      </c>
      <c r="AN4" t="inlineStr"/>
      <c r="AO4" t="inlineStr"/>
      <c r="AP4" t="inlineStr">
        <is>
          <t>muerto</t>
        </is>
      </c>
      <c r="AQ4" t="inlineStr"/>
      <c r="AR4" t="n">
        <v>1</v>
      </c>
      <c r="AS4" t="inlineStr"/>
      <c r="AT4" t="inlineStr"/>
      <c r="AU4" t="inlineStr"/>
      <c r="AV4" t="inlineStr"/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n">
        <v>3</v>
      </c>
      <c r="B5" t="n">
        <v>320.5007252354518</v>
      </c>
      <c r="C5" t="n">
        <v>0.8388095088472659</v>
      </c>
      <c r="D5" t="n">
        <v>22</v>
      </c>
      <c r="E5" t="inlineStr"/>
      <c r="F5" t="inlineStr">
        <is>
          <t>p22-550</t>
        </is>
      </c>
      <c r="G5" t="inlineStr">
        <is>
          <t>550</t>
        </is>
      </c>
      <c r="H5" t="inlineStr">
        <is>
          <t>leaf pulverized</t>
        </is>
      </c>
      <c r="I5" t="inlineStr"/>
      <c r="J5" t="n">
        <v>2006</v>
      </c>
      <c r="K5" t="n">
        <v>47.2077120182068</v>
      </c>
      <c r="L5" t="n">
        <v>0.4650527989796192</v>
      </c>
      <c r="M5" t="n">
        <v>0.02523026048763594</v>
      </c>
      <c r="N5" t="n">
        <v>-30.31</v>
      </c>
      <c r="O5" t="inlineStr"/>
      <c r="P5" t="n">
        <v>38.4932967278426</v>
      </c>
      <c r="Q5" t="inlineStr"/>
      <c r="R5" t="inlineStr"/>
      <c r="S5" t="n">
        <v>550</v>
      </c>
      <c r="T5" t="inlineStr">
        <is>
          <t>p22-550</t>
        </is>
      </c>
      <c r="U5" t="n">
        <v>-29.7239225267736</v>
      </c>
      <c r="V5" t="n">
        <v>4.37</v>
      </c>
      <c r="W5" t="n">
        <v>22.10084637211445</v>
      </c>
      <c r="X5" t="inlineStr">
        <is>
          <t>Galeras</t>
        </is>
      </c>
      <c r="Y5" t="n">
        <v>1000</v>
      </c>
      <c r="Z5" t="n">
        <v>22</v>
      </c>
      <c r="AA5" t="inlineStr">
        <is>
          <t>Galeras</t>
        </is>
      </c>
      <c r="AB5" t="inlineStr">
        <is>
          <t>GAL_22</t>
        </is>
      </c>
      <c r="AC5" t="n">
        <v>550</v>
      </c>
      <c r="AD5" t="n">
        <v>1</v>
      </c>
      <c r="AE5" t="n">
        <v>0</v>
      </c>
      <c r="AF5" t="n">
        <v>0</v>
      </c>
      <c r="AG5" t="n">
        <v>1</v>
      </c>
      <c r="AH5" t="inlineStr">
        <is>
          <t>Melastomataceae</t>
        </is>
      </c>
      <c r="AI5" t="inlineStr"/>
      <c r="AJ5" t="inlineStr"/>
      <c r="AK5" s="2" t="n">
        <v>38823</v>
      </c>
      <c r="AL5" t="n">
        <v>14.75</v>
      </c>
      <c r="AM5" s="2" t="n">
        <v>40724</v>
      </c>
      <c r="AN5" t="inlineStr"/>
      <c r="AO5" t="inlineStr"/>
      <c r="AP5" t="inlineStr">
        <is>
          <t>muerto</t>
        </is>
      </c>
      <c r="AQ5" t="inlineStr"/>
      <c r="AR5" t="n">
        <v>1</v>
      </c>
      <c r="AS5" t="inlineStr"/>
      <c r="AT5" t="inlineStr"/>
      <c r="AU5" t="inlineStr"/>
      <c r="AV5" t="inlineStr"/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n">
        <v>4</v>
      </c>
      <c r="B6" t="n">
        <v>375.412144045982</v>
      </c>
      <c r="C6" t="n">
        <v>0.9825228193514147</v>
      </c>
      <c r="D6" t="n">
        <v>29</v>
      </c>
      <c r="E6" t="inlineStr"/>
      <c r="F6" t="inlineStr">
        <is>
          <t>p29-763</t>
        </is>
      </c>
      <c r="G6" t="inlineStr">
        <is>
          <t>763</t>
        </is>
      </c>
      <c r="H6" t="inlineStr">
        <is>
          <t>leaf pulverized</t>
        </is>
      </c>
      <c r="I6" t="inlineStr"/>
      <c r="J6" t="n">
        <v>2006</v>
      </c>
      <c r="K6" t="n">
        <v>48.0030201741165</v>
      </c>
      <c r="L6" t="n">
        <v>0.4582337848686749</v>
      </c>
      <c r="M6" t="n">
        <v>0.02579598920779343</v>
      </c>
      <c r="N6" t="n">
        <v>-33.21614289346554</v>
      </c>
      <c r="O6" t="inlineStr"/>
      <c r="P6" t="n">
        <v>4.173659971261218</v>
      </c>
      <c r="Q6" t="inlineStr"/>
      <c r="R6" t="inlineStr"/>
      <c r="S6" t="n">
        <v>763</v>
      </c>
      <c r="T6" t="inlineStr">
        <is>
          <t>p29-763</t>
        </is>
      </c>
      <c r="U6" t="n">
        <v>-32.7973936923775</v>
      </c>
      <c r="V6" t="n">
        <v>5.863820335636722</v>
      </c>
      <c r="W6" t="n">
        <v>25.34876718950822</v>
      </c>
      <c r="X6" t="inlineStr">
        <is>
          <t>Galeras</t>
        </is>
      </c>
      <c r="Y6" t="n">
        <v>1000</v>
      </c>
      <c r="Z6" t="n">
        <v>29</v>
      </c>
      <c r="AA6" t="inlineStr">
        <is>
          <t>Galeras</t>
        </is>
      </c>
      <c r="AB6" t="inlineStr">
        <is>
          <t>GAL_29</t>
        </is>
      </c>
      <c r="AC6" t="n">
        <v>763</v>
      </c>
      <c r="AD6" t="n">
        <v>1</v>
      </c>
      <c r="AE6" t="inlineStr"/>
      <c r="AF6" t="inlineStr"/>
      <c r="AG6" t="inlineStr"/>
      <c r="AH6" t="inlineStr">
        <is>
          <t>Myrtaceae</t>
        </is>
      </c>
      <c r="AI6" t="inlineStr">
        <is>
          <t>Eugenia</t>
        </is>
      </c>
      <c r="AJ6" t="inlineStr"/>
      <c r="AK6" s="2" t="n">
        <v>38823</v>
      </c>
      <c r="AL6" t="n">
        <v>14.64225476445437</v>
      </c>
      <c r="AM6" t="inlineStr"/>
      <c r="AN6" t="inlineStr"/>
      <c r="AO6" t="inlineStr"/>
      <c r="AP6" t="inlineStr"/>
      <c r="AQ6" t="inlineStr">
        <is>
          <t>3785</t>
        </is>
      </c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n">
        <v>5</v>
      </c>
      <c r="B7" t="n">
        <v>316.7259749509976</v>
      </c>
      <c r="C7" t="n">
        <v>0.828930291164379</v>
      </c>
      <c r="D7" t="n">
        <v>29</v>
      </c>
      <c r="E7" t="inlineStr"/>
      <c r="F7" t="inlineStr">
        <is>
          <t>p29-768</t>
        </is>
      </c>
      <c r="G7" t="inlineStr">
        <is>
          <t>768</t>
        </is>
      </c>
      <c r="H7" t="inlineStr">
        <is>
          <t>leaf pulverized</t>
        </is>
      </c>
      <c r="I7" t="inlineStr"/>
      <c r="J7" t="n">
        <v>2006</v>
      </c>
      <c r="K7" t="n">
        <v>43.3065397064424</v>
      </c>
      <c r="L7" t="n">
        <v>0.4483197037309758</v>
      </c>
      <c r="M7" t="n">
        <v>0.02231557524679357</v>
      </c>
      <c r="N7" t="n">
        <v>-32.20649122807017</v>
      </c>
      <c r="O7" t="inlineStr"/>
      <c r="P7" t="n">
        <v>40.85251565562651</v>
      </c>
      <c r="Q7" t="inlineStr"/>
      <c r="R7" t="inlineStr"/>
      <c r="S7" t="n">
        <v>768</v>
      </c>
      <c r="T7" t="inlineStr">
        <is>
          <t>p29-768</t>
        </is>
      </c>
      <c r="U7" t="n">
        <v>-29.5119266331101</v>
      </c>
      <c r="V7" t="n">
        <v>2.002339585389931</v>
      </c>
      <c r="W7" t="n">
        <v>21.87757605248121</v>
      </c>
      <c r="X7" t="inlineStr">
        <is>
          <t>Galeras</t>
        </is>
      </c>
      <c r="Y7" t="n">
        <v>1000</v>
      </c>
      <c r="Z7" t="n">
        <v>29</v>
      </c>
      <c r="AA7" t="inlineStr">
        <is>
          <t>Galeras</t>
        </is>
      </c>
      <c r="AB7" t="inlineStr">
        <is>
          <t>GAL_29</t>
        </is>
      </c>
      <c r="AC7" t="n">
        <v>768</v>
      </c>
      <c r="AD7" t="n">
        <v>1</v>
      </c>
      <c r="AE7" t="inlineStr"/>
      <c r="AF7" t="inlineStr"/>
      <c r="AG7" t="inlineStr"/>
      <c r="AH7" t="inlineStr">
        <is>
          <t>Violaceae</t>
        </is>
      </c>
      <c r="AI7" t="inlineStr">
        <is>
          <t>Leonia</t>
        </is>
      </c>
      <c r="AJ7" t="inlineStr">
        <is>
          <t>glycycarpa</t>
        </is>
      </c>
      <c r="AK7" s="2" t="n">
        <v>38823</v>
      </c>
      <c r="AL7" t="n">
        <v>10.1859163578813</v>
      </c>
      <c r="AM7" t="inlineStr"/>
      <c r="AN7" t="inlineStr"/>
      <c r="AO7" t="inlineStr"/>
      <c r="AP7" t="inlineStr"/>
      <c r="AQ7">
        <f>3762</f>
        <v/>
      </c>
      <c r="AR7" t="n">
        <v>1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</row>
    <row r="8">
      <c r="A8" s="1" t="n">
        <v>6</v>
      </c>
      <c r="B8" t="n">
        <v>313.8987924166502</v>
      </c>
      <c r="C8" t="n">
        <v>0.8215310330462725</v>
      </c>
      <c r="D8" t="n">
        <v>29</v>
      </c>
      <c r="E8" t="inlineStr"/>
      <c r="F8" t="inlineStr">
        <is>
          <t>p29-777</t>
        </is>
      </c>
      <c r="G8" t="inlineStr">
        <is>
          <t>777</t>
        </is>
      </c>
      <c r="H8" t="inlineStr">
        <is>
          <t>leaf pulverized</t>
        </is>
      </c>
      <c r="I8" t="inlineStr"/>
      <c r="J8" t="n">
        <v>2006</v>
      </c>
      <c r="K8" t="n">
        <v>44.474674657016</v>
      </c>
      <c r="L8" t="n">
        <v>0.4650258464179985</v>
      </c>
      <c r="M8" t="n">
        <v>0.02035340091603006</v>
      </c>
      <c r="N8" t="n">
        <v>-30.9289727943046</v>
      </c>
      <c r="O8" t="inlineStr"/>
      <c r="P8" t="n">
        <v>42.61950473959358</v>
      </c>
      <c r="Q8" t="inlineStr"/>
      <c r="R8" t="inlineStr"/>
      <c r="S8" t="n">
        <v>777</v>
      </c>
      <c r="T8" t="inlineStr">
        <is>
          <t>p29-777</t>
        </is>
      </c>
      <c r="U8" t="n">
        <v>-29.3530869451066</v>
      </c>
      <c r="V8" t="n">
        <v>0.9106120434353404</v>
      </c>
      <c r="W8" t="n">
        <v>21.710352819012</v>
      </c>
      <c r="X8" t="inlineStr">
        <is>
          <t>Galeras</t>
        </is>
      </c>
      <c r="Y8" t="n">
        <v>1000</v>
      </c>
      <c r="Z8" t="n">
        <v>29</v>
      </c>
      <c r="AA8" t="inlineStr">
        <is>
          <t>Galeras</t>
        </is>
      </c>
      <c r="AB8" t="inlineStr">
        <is>
          <t>GAL_29</t>
        </is>
      </c>
      <c r="AC8" t="n">
        <v>777</v>
      </c>
      <c r="AD8" t="n">
        <v>1</v>
      </c>
      <c r="AE8" t="inlineStr"/>
      <c r="AF8" t="inlineStr"/>
      <c r="AG8" t="inlineStr"/>
      <c r="AH8" t="inlineStr">
        <is>
          <t>Anacardiaceae</t>
        </is>
      </c>
      <c r="AI8" t="inlineStr">
        <is>
          <t>Tapirira</t>
        </is>
      </c>
      <c r="AJ8" t="inlineStr">
        <is>
          <t>guianensis</t>
        </is>
      </c>
      <c r="AK8" s="2" t="n">
        <v>38823</v>
      </c>
      <c r="AL8" t="n">
        <v>14.32394487827058</v>
      </c>
      <c r="AM8" t="inlineStr"/>
      <c r="AN8" t="inlineStr"/>
      <c r="AO8" t="inlineStr"/>
      <c r="AP8" t="inlineStr"/>
      <c r="AQ8" t="inlineStr">
        <is>
          <t>3790</t>
        </is>
      </c>
      <c r="AR8" t="n">
        <v>1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</row>
    <row r="9">
      <c r="A9" s="1" t="n">
        <v>7</v>
      </c>
      <c r="B9" t="n">
        <v>374.3155084822112</v>
      </c>
      <c r="C9" t="n">
        <v>0.9796527218252536</v>
      </c>
      <c r="D9" t="n">
        <v>29</v>
      </c>
      <c r="E9" t="inlineStr"/>
      <c r="F9" t="inlineStr">
        <is>
          <t>p29-781</t>
        </is>
      </c>
      <c r="G9" t="inlineStr">
        <is>
          <t>781</t>
        </is>
      </c>
      <c r="H9" t="inlineStr">
        <is>
          <t>leaf pulverized</t>
        </is>
      </c>
      <c r="I9" t="inlineStr"/>
      <c r="J9" t="n">
        <v>2006</v>
      </c>
      <c r="K9" t="n">
        <v>43.9302353069817</v>
      </c>
      <c r="L9" t="n">
        <v>0.4438047110709548</v>
      </c>
      <c r="M9" t="n">
        <v>0.03035487404832049</v>
      </c>
      <c r="N9" t="n">
        <v>-33.76217899822018</v>
      </c>
      <c r="O9" t="inlineStr"/>
      <c r="P9" t="n">
        <v>4.859057198618021</v>
      </c>
      <c r="Q9" t="inlineStr"/>
      <c r="R9" t="inlineStr"/>
      <c r="S9" t="n">
        <v>781</v>
      </c>
      <c r="T9" t="inlineStr">
        <is>
          <t>p29-781</t>
        </is>
      </c>
      <c r="U9" t="n">
        <v>-32.7362039798789</v>
      </c>
      <c r="V9" t="n">
        <v>1.769842053307009</v>
      </c>
      <c r="W9" t="n">
        <v>25.28390298541698</v>
      </c>
      <c r="X9" t="inlineStr">
        <is>
          <t>Galeras</t>
        </is>
      </c>
      <c r="Y9" t="n">
        <v>1000</v>
      </c>
      <c r="Z9" t="n">
        <v>29</v>
      </c>
      <c r="AA9" t="inlineStr">
        <is>
          <t>Galeras</t>
        </is>
      </c>
      <c r="AB9" t="inlineStr">
        <is>
          <t>GAL_29</t>
        </is>
      </c>
      <c r="AC9" t="n">
        <v>781</v>
      </c>
      <c r="AD9" t="n">
        <v>1</v>
      </c>
      <c r="AE9" t="inlineStr"/>
      <c r="AF9" t="inlineStr"/>
      <c r="AG9" t="inlineStr"/>
      <c r="AH9" t="inlineStr">
        <is>
          <t>Phyllanthaceae</t>
        </is>
      </c>
      <c r="AI9" t="inlineStr">
        <is>
          <t>Margaritaria</t>
        </is>
      </c>
      <c r="AJ9" t="inlineStr">
        <is>
          <t>nobilis</t>
        </is>
      </c>
      <c r="AK9" s="2" t="n">
        <v>38823</v>
      </c>
      <c r="AL9" t="n">
        <v>15.59718442300574</v>
      </c>
      <c r="AM9" t="inlineStr"/>
      <c r="AN9" t="inlineStr"/>
      <c r="AO9" t="inlineStr"/>
      <c r="AP9" t="inlineStr"/>
      <c r="AQ9" t="inlineStr">
        <is>
          <t>3792</t>
        </is>
      </c>
      <c r="AR9" t="n">
        <v>1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n">
        <v>8</v>
      </c>
      <c r="B10" t="n">
        <v>321.9757495750894</v>
      </c>
      <c r="C10" t="n">
        <v>0.8426699195872422</v>
      </c>
      <c r="D10" t="n">
        <v>23</v>
      </c>
      <c r="E10" t="inlineStr"/>
      <c r="F10" t="inlineStr">
        <is>
          <t>p23-560</t>
        </is>
      </c>
      <c r="G10" t="inlineStr">
        <is>
          <t>560</t>
        </is>
      </c>
      <c r="H10" t="inlineStr">
        <is>
          <t>leaf pulverized</t>
        </is>
      </c>
      <c r="I10" t="inlineStr"/>
      <c r="J10" t="n">
        <v>2006</v>
      </c>
      <c r="K10" t="n">
        <v>39.8249429922284</v>
      </c>
      <c r="L10" t="n">
        <v>0.4575489192207366</v>
      </c>
      <c r="M10" t="n">
        <v>0.02329127489213705</v>
      </c>
      <c r="N10" t="n">
        <v>-31.96725832878209</v>
      </c>
      <c r="O10" t="inlineStr"/>
      <c r="P10" t="n">
        <v>37.57140651556913</v>
      </c>
      <c r="Q10" t="inlineStr"/>
      <c r="R10" t="inlineStr"/>
      <c r="S10" t="n">
        <v>560</v>
      </c>
      <c r="T10" t="inlineStr">
        <is>
          <t>p23-560</t>
        </is>
      </c>
      <c r="U10" t="n">
        <v>-29.806737041431</v>
      </c>
      <c r="V10" t="n">
        <v>2.326812176909822</v>
      </c>
      <c r="W10" t="n">
        <v>22.18809165483792</v>
      </c>
      <c r="X10" t="inlineStr">
        <is>
          <t>Galeras</t>
        </is>
      </c>
      <c r="Y10" t="n">
        <v>1000</v>
      </c>
      <c r="Z10" t="n">
        <v>23</v>
      </c>
      <c r="AA10" t="inlineStr">
        <is>
          <t>Galeras</t>
        </is>
      </c>
      <c r="AB10" t="inlineStr">
        <is>
          <t>GAL_23</t>
        </is>
      </c>
      <c r="AC10" t="n">
        <v>560</v>
      </c>
      <c r="AD10" t="n">
        <v>1</v>
      </c>
      <c r="AE10" t="inlineStr"/>
      <c r="AF10" t="inlineStr"/>
      <c r="AG10" t="inlineStr"/>
      <c r="AH10" t="inlineStr">
        <is>
          <t>Sapotaceae</t>
        </is>
      </c>
      <c r="AI10" t="inlineStr">
        <is>
          <t>Lucuma</t>
        </is>
      </c>
      <c r="AJ10" t="inlineStr">
        <is>
          <t>multiflora</t>
        </is>
      </c>
      <c r="AK10" s="2" t="n">
        <v>38653</v>
      </c>
      <c r="AL10" t="n">
        <v>13.36901521971921</v>
      </c>
      <c r="AM10" t="inlineStr"/>
      <c r="AN10" t="inlineStr"/>
      <c r="AO10" t="inlineStr"/>
      <c r="AP10" t="inlineStr"/>
      <c r="AQ10" t="inlineStr">
        <is>
          <t>3740</t>
        </is>
      </c>
      <c r="AR10" t="n">
        <v>1</v>
      </c>
      <c r="AS10" t="inlineStr">
        <is>
          <t>Ο</t>
        </is>
      </c>
      <c r="AT10" t="inlineStr">
        <is>
          <t>Ø</t>
        </is>
      </c>
      <c r="AU10" t="n">
        <v>8982</v>
      </c>
      <c r="AV10" t="n">
        <v>1</v>
      </c>
      <c r="AW10" t="inlineStr"/>
      <c r="AX10" t="inlineStr"/>
      <c r="AY10" s="2" t="n">
        <v>45541</v>
      </c>
      <c r="AZ10" t="n">
        <v>14</v>
      </c>
      <c r="BA10" t="n">
        <v>7.7</v>
      </c>
      <c r="BB10" t="inlineStr"/>
      <c r="BC10" t="inlineStr"/>
      <c r="BD10" t="inlineStr">
        <is>
          <t>B</t>
        </is>
      </c>
      <c r="BE10" t="inlineStr"/>
      <c r="BF10" t="inlineStr"/>
      <c r="BG10" t="inlineStr"/>
      <c r="BH10" t="inlineStr">
        <is>
          <t>Con placa vieja</t>
        </is>
      </c>
      <c r="BI10" t="inlineStr">
        <is>
          <t>Antes Pouteria m. Ahora Lucuma m.</t>
        </is>
      </c>
      <c r="BJ10" t="n">
        <v>0.4</v>
      </c>
      <c r="BK10" t="n">
        <v>4.75</v>
      </c>
      <c r="BL10" t="n">
        <v>1.29</v>
      </c>
      <c r="BM10" t="n">
        <v>0.7</v>
      </c>
    </row>
    <row r="11">
      <c r="A11" s="1" t="n">
        <v>9</v>
      </c>
      <c r="B11" t="n">
        <v>326.684663165281</v>
      </c>
      <c r="C11" t="n">
        <v>0.8549940149317726</v>
      </c>
      <c r="D11" t="n">
        <v>24</v>
      </c>
      <c r="E11" t="inlineStr"/>
      <c r="F11" t="inlineStr">
        <is>
          <t>p24-596</t>
        </is>
      </c>
      <c r="G11" t="inlineStr">
        <is>
          <t>596</t>
        </is>
      </c>
      <c r="H11" t="inlineStr">
        <is>
          <t>leaf pulverized</t>
        </is>
      </c>
      <c r="I11" t="inlineStr"/>
      <c r="J11" t="n">
        <v>2006</v>
      </c>
      <c r="K11" t="n">
        <v>44.8594569938198</v>
      </c>
      <c r="L11" t="n">
        <v>0.427318833293711</v>
      </c>
      <c r="M11" t="n">
        <v>0.01928446678633658</v>
      </c>
      <c r="N11" t="n">
        <v>-31.41884606382149</v>
      </c>
      <c r="O11" t="inlineStr"/>
      <c r="P11" t="n">
        <v>34.62833552169937</v>
      </c>
      <c r="Q11" t="inlineStr"/>
      <c r="R11" t="inlineStr"/>
      <c r="S11" t="n">
        <v>596</v>
      </c>
      <c r="T11" t="inlineStr">
        <is>
          <t>p24-596</t>
        </is>
      </c>
      <c r="U11" t="n">
        <v>-30.0710220971368</v>
      </c>
      <c r="V11" t="n">
        <v>-1.860850086157381</v>
      </c>
      <c r="W11" t="n">
        <v>22.46661620962431</v>
      </c>
      <c r="X11" t="inlineStr">
        <is>
          <t>Galeras</t>
        </is>
      </c>
      <c r="Y11" t="n">
        <v>1000</v>
      </c>
      <c r="Z11" t="n">
        <v>24</v>
      </c>
      <c r="AA11" t="inlineStr">
        <is>
          <t>Galeras</t>
        </is>
      </c>
      <c r="AB11" t="inlineStr">
        <is>
          <t>GAL_24</t>
        </is>
      </c>
      <c r="AC11" t="n">
        <v>596</v>
      </c>
      <c r="AD11" t="n">
        <v>1</v>
      </c>
      <c r="AE11" t="n">
        <v>0</v>
      </c>
      <c r="AF11" t="n">
        <v>0</v>
      </c>
      <c r="AG11" t="n">
        <v>1</v>
      </c>
      <c r="AH11" t="inlineStr">
        <is>
          <t>Lacistemataceae</t>
        </is>
      </c>
      <c r="AI11" t="inlineStr">
        <is>
          <t>Lacistema</t>
        </is>
      </c>
      <c r="AJ11" t="inlineStr"/>
      <c r="AK11" s="2" t="n">
        <v>38822</v>
      </c>
      <c r="AL11" t="n">
        <v>10.58</v>
      </c>
      <c r="AM11" s="2" t="n">
        <v>40724</v>
      </c>
      <c r="AN11" t="inlineStr"/>
      <c r="AO11" t="inlineStr"/>
      <c r="AP11" t="inlineStr">
        <is>
          <t>muerto</t>
        </is>
      </c>
      <c r="AQ11" t="n">
        <v>2070</v>
      </c>
      <c r="AR11" t="n">
        <v>1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</row>
    <row r="12">
      <c r="A12" s="1" t="n">
        <v>10</v>
      </c>
      <c r="B12" t="n">
        <v>345.772288935583</v>
      </c>
      <c r="C12" t="n">
        <v>0.9049498519604886</v>
      </c>
      <c r="D12" t="n">
        <v>24</v>
      </c>
      <c r="E12" t="inlineStr"/>
      <c r="F12" t="inlineStr">
        <is>
          <t>p24-595</t>
        </is>
      </c>
      <c r="G12" t="inlineStr">
        <is>
          <t>595</t>
        </is>
      </c>
      <c r="H12" t="inlineStr">
        <is>
          <t>leaf pulverized</t>
        </is>
      </c>
      <c r="I12" t="inlineStr"/>
      <c r="J12" t="n">
        <v>2006</v>
      </c>
      <c r="K12" t="n">
        <v>44.1506423229927</v>
      </c>
      <c r="L12" t="n">
        <v>0.4310417131105663</v>
      </c>
      <c r="M12" t="n">
        <v>0.01792686443191889</v>
      </c>
      <c r="N12" t="n">
        <v>-32.18</v>
      </c>
      <c r="O12" t="inlineStr"/>
      <c r="P12" t="n">
        <v>22.69856941526056</v>
      </c>
      <c r="Q12" t="inlineStr"/>
      <c r="R12" t="inlineStr"/>
      <c r="S12" t="n">
        <v>595</v>
      </c>
      <c r="T12" t="inlineStr">
        <is>
          <t>p24-595</t>
        </is>
      </c>
      <c r="U12" t="n">
        <v>-31.1408309707465</v>
      </c>
      <c r="V12" t="n">
        <v>-1.99</v>
      </c>
      <c r="W12" t="n">
        <v>23.59561812647328</v>
      </c>
      <c r="X12" t="inlineStr">
        <is>
          <t>Galeras</t>
        </is>
      </c>
      <c r="Y12" t="n">
        <v>1000</v>
      </c>
      <c r="Z12" t="n">
        <v>24</v>
      </c>
      <c r="AA12" t="inlineStr">
        <is>
          <t>Galeras</t>
        </is>
      </c>
      <c r="AB12" t="inlineStr">
        <is>
          <t>GAL_24</t>
        </is>
      </c>
      <c r="AC12" t="n">
        <v>595</v>
      </c>
      <c r="AD12" t="n">
        <v>1</v>
      </c>
      <c r="AE12" t="n">
        <v>1</v>
      </c>
      <c r="AF12" t="n">
        <v>0</v>
      </c>
      <c r="AG12" t="n">
        <v>0</v>
      </c>
      <c r="AH12" t="inlineStr">
        <is>
          <t>Phyllanthaceae</t>
        </is>
      </c>
      <c r="AI12" t="inlineStr">
        <is>
          <t>Hieronyma</t>
        </is>
      </c>
      <c r="AJ12" t="inlineStr">
        <is>
          <t>oblonga</t>
        </is>
      </c>
      <c r="AK12" s="2" t="n">
        <v>38822</v>
      </c>
      <c r="AL12" t="n">
        <v>25.88</v>
      </c>
      <c r="AM12" s="2" t="n">
        <v>40724</v>
      </c>
      <c r="AN12" t="inlineStr">
        <is>
          <t>28,07</t>
        </is>
      </c>
      <c r="AO12" t="inlineStr">
        <is>
          <t>19,0</t>
        </is>
      </c>
      <c r="AP12" t="inlineStr"/>
      <c r="AQ12" t="n">
        <v>3689</v>
      </c>
      <c r="AR12" t="n">
        <v>1</v>
      </c>
      <c r="AS12" t="inlineStr"/>
      <c r="AT12" t="inlineStr">
        <is>
          <t>ø</t>
        </is>
      </c>
      <c r="AU12" t="n">
        <v>8654</v>
      </c>
      <c r="AV12" t="n">
        <v>1</v>
      </c>
      <c r="AW12" t="inlineStr"/>
      <c r="AX12" t="inlineStr"/>
      <c r="AY12" s="2" t="n">
        <v>45665</v>
      </c>
      <c r="AZ12" t="n">
        <v>32.7</v>
      </c>
      <c r="BA12" t="n">
        <v>24</v>
      </c>
      <c r="BB12" t="inlineStr"/>
      <c r="BC12" t="inlineStr"/>
      <c r="BD12" t="inlineStr">
        <is>
          <t>D</t>
        </is>
      </c>
      <c r="BE12" t="inlineStr"/>
      <c r="BF12" t="inlineStr"/>
      <c r="BG12" t="n">
        <v>2</v>
      </c>
      <c r="BH12" t="inlineStr">
        <is>
          <t>ID por dbh y familia.</t>
        </is>
      </c>
      <c r="BI12" t="inlineStr"/>
      <c r="BJ12" t="inlineStr"/>
      <c r="BK12" t="inlineStr"/>
      <c r="BL12" t="inlineStr"/>
      <c r="BM12" t="inlineStr"/>
    </row>
    <row r="13">
      <c r="A13" s="1" t="n">
        <v>11</v>
      </c>
      <c r="B13" t="n">
        <v>309.1819306774738</v>
      </c>
      <c r="C13" t="n">
        <v>0.8091861359299478</v>
      </c>
      <c r="D13" t="n">
        <v>24</v>
      </c>
      <c r="E13" t="inlineStr"/>
      <c r="F13" t="inlineStr">
        <is>
          <t>p24-586</t>
        </is>
      </c>
      <c r="G13" t="inlineStr">
        <is>
          <t>586</t>
        </is>
      </c>
      <c r="H13" t="inlineStr">
        <is>
          <t>leaf pulverized</t>
        </is>
      </c>
      <c r="I13" t="inlineStr"/>
      <c r="J13" t="n">
        <v>2006</v>
      </c>
      <c r="K13" t="n">
        <v>43.0454571079634</v>
      </c>
      <c r="L13" t="n">
        <v>0.4433682462362868</v>
      </c>
      <c r="M13" t="n">
        <v>0.02350003106563501</v>
      </c>
      <c r="N13" t="n">
        <v>-31.18951002574706</v>
      </c>
      <c r="O13" t="inlineStr"/>
      <c r="P13" t="n">
        <v>45.56754332657889</v>
      </c>
      <c r="Q13" t="inlineStr"/>
      <c r="R13" t="inlineStr"/>
      <c r="S13" t="n">
        <v>586</v>
      </c>
      <c r="T13" t="inlineStr">
        <is>
          <t>p24-586</t>
        </is>
      </c>
      <c r="U13" t="n">
        <v>-29.0879635790358</v>
      </c>
      <c r="V13" t="n">
        <v>-0.4878460654796098</v>
      </c>
      <c r="W13" t="n">
        <v>21.43135814418307</v>
      </c>
      <c r="X13" t="inlineStr">
        <is>
          <t>Galeras</t>
        </is>
      </c>
      <c r="Y13" t="n">
        <v>1000</v>
      </c>
      <c r="Z13" t="n">
        <v>24</v>
      </c>
      <c r="AA13" t="inlineStr">
        <is>
          <t>Galeras</t>
        </is>
      </c>
      <c r="AB13" t="inlineStr">
        <is>
          <t>GAL_24</t>
        </is>
      </c>
      <c r="AC13" t="n">
        <v>586</v>
      </c>
      <c r="AD13" t="n">
        <v>1</v>
      </c>
      <c r="AE13" t="n">
        <v>1</v>
      </c>
      <c r="AF13" t="n">
        <v>0</v>
      </c>
      <c r="AG13" t="n">
        <v>0</v>
      </c>
      <c r="AH13" t="inlineStr">
        <is>
          <t>Phyllanthaceae</t>
        </is>
      </c>
      <c r="AI13" t="inlineStr">
        <is>
          <t>Hieronyma</t>
        </is>
      </c>
      <c r="AJ13" t="inlineStr">
        <is>
          <t>oblonga</t>
        </is>
      </c>
      <c r="AK13" s="2" t="n">
        <v>38822</v>
      </c>
      <c r="AL13" t="n">
        <v>21.26</v>
      </c>
      <c r="AM13" s="2" t="n">
        <v>40724</v>
      </c>
      <c r="AN13" t="n">
        <v>23.8</v>
      </c>
      <c r="AO13" t="inlineStr">
        <is>
          <t>17,6</t>
        </is>
      </c>
      <c r="AP13" t="inlineStr"/>
      <c r="AQ13" t="inlineStr"/>
      <c r="AR13" t="n">
        <v>1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n">
        <v>12</v>
      </c>
      <c r="B14" t="n">
        <v>309.1819306774738</v>
      </c>
      <c r="C14" t="n">
        <v>0.8091861359299478</v>
      </c>
      <c r="D14" t="n">
        <v>24</v>
      </c>
      <c r="E14" t="inlineStr"/>
      <c r="F14" t="inlineStr">
        <is>
          <t>p24-586</t>
        </is>
      </c>
      <c r="G14" t="inlineStr">
        <is>
          <t>586</t>
        </is>
      </c>
      <c r="H14" t="inlineStr">
        <is>
          <t>leaf pulverized</t>
        </is>
      </c>
      <c r="I14" t="inlineStr"/>
      <c r="J14" t="n">
        <v>2006</v>
      </c>
      <c r="K14" t="n">
        <v>43.0454571079634</v>
      </c>
      <c r="L14" t="n">
        <v>0.4433682462362868</v>
      </c>
      <c r="M14" t="n">
        <v>0.02350003106563501</v>
      </c>
      <c r="N14" t="n">
        <v>-31.18951002574706</v>
      </c>
      <c r="O14" t="inlineStr"/>
      <c r="P14" t="n">
        <v>45.56754332657889</v>
      </c>
      <c r="Q14" t="inlineStr"/>
      <c r="R14" t="inlineStr"/>
      <c r="S14" t="n">
        <v>586</v>
      </c>
      <c r="T14" t="inlineStr">
        <is>
          <t>p24-586</t>
        </is>
      </c>
      <c r="U14" t="n">
        <v>-29.0879635790358</v>
      </c>
      <c r="V14" t="n">
        <v>-0.4878460654796098</v>
      </c>
      <c r="W14" t="n">
        <v>21.43135814418307</v>
      </c>
      <c r="X14" t="inlineStr">
        <is>
          <t>Galeras</t>
        </is>
      </c>
      <c r="Y14" t="n">
        <v>1000</v>
      </c>
      <c r="Z14" t="n">
        <v>24</v>
      </c>
      <c r="AA14" t="inlineStr">
        <is>
          <t>Galeras</t>
        </is>
      </c>
      <c r="AB14" t="inlineStr">
        <is>
          <t>GAL_24</t>
        </is>
      </c>
      <c r="AC14" t="n">
        <v>586</v>
      </c>
      <c r="AD14" t="n">
        <v>1</v>
      </c>
      <c r="AE14" t="inlineStr"/>
      <c r="AF14" t="inlineStr"/>
      <c r="AG14" t="inlineStr"/>
      <c r="AH14" t="inlineStr">
        <is>
          <t>Phyllanthaceae</t>
        </is>
      </c>
      <c r="AI14" t="inlineStr">
        <is>
          <t>Hieronyma</t>
        </is>
      </c>
      <c r="AJ14" t="inlineStr">
        <is>
          <t>asperifolia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8638</v>
      </c>
      <c r="AV14" t="n">
        <v>1</v>
      </c>
      <c r="AW14" t="inlineStr"/>
      <c r="AX14" t="inlineStr"/>
      <c r="AY14" s="2" t="n">
        <v>45665</v>
      </c>
      <c r="AZ14" t="n">
        <v>32.2</v>
      </c>
      <c r="BA14" t="n">
        <v>13</v>
      </c>
      <c r="BB14" t="inlineStr"/>
      <c r="BC14" t="inlineStr"/>
      <c r="BD14" t="inlineStr">
        <is>
          <t>B</t>
        </is>
      </c>
      <c r="BE14" t="inlineStr">
        <is>
          <t>Antes H. oblonga Ahora H. asperifolia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n">
        <v>13</v>
      </c>
      <c r="B15" t="n">
        <v>318.7739428089044</v>
      </c>
      <c r="C15" t="n">
        <v>0.8342902007613505</v>
      </c>
      <c r="D15" t="n">
        <v>24</v>
      </c>
      <c r="E15" t="inlineStr"/>
      <c r="F15" t="inlineStr">
        <is>
          <t>p24-583</t>
        </is>
      </c>
      <c r="G15" t="inlineStr">
        <is>
          <t>583</t>
        </is>
      </c>
      <c r="H15" t="inlineStr">
        <is>
          <t>leaf pulverized</t>
        </is>
      </c>
      <c r="I15" t="inlineStr"/>
      <c r="J15" t="n">
        <v>2006</v>
      </c>
      <c r="K15" t="n">
        <v>45.527935008181</v>
      </c>
      <c r="L15" t="n">
        <v>0.4902381907905758</v>
      </c>
      <c r="M15" t="n">
        <v>0.01405546410699842</v>
      </c>
      <c r="N15" t="n">
        <v>-32.44</v>
      </c>
      <c r="O15" t="inlineStr"/>
      <c r="P15" t="n">
        <v>39.57253574443473</v>
      </c>
      <c r="Q15" t="inlineStr"/>
      <c r="R15" t="inlineStr"/>
      <c r="S15" t="n">
        <v>583</v>
      </c>
      <c r="T15" t="inlineStr">
        <is>
          <t>p24-583</t>
        </is>
      </c>
      <c r="U15" t="n">
        <v>-29.6269552131774</v>
      </c>
      <c r="V15" t="n">
        <v>-1.26</v>
      </c>
      <c r="W15" t="n">
        <v>21.99871000937276</v>
      </c>
      <c r="X15" t="inlineStr">
        <is>
          <t>Galeras</t>
        </is>
      </c>
      <c r="Y15" t="n">
        <v>1000</v>
      </c>
      <c r="Z15" t="n">
        <v>24</v>
      </c>
      <c r="AA15" t="inlineStr">
        <is>
          <t>Galeras</t>
        </is>
      </c>
      <c r="AB15" t="inlineStr">
        <is>
          <t>GAL_24</t>
        </is>
      </c>
      <c r="AC15" t="n">
        <v>583</v>
      </c>
      <c r="AD15" t="n">
        <v>1</v>
      </c>
      <c r="AE15" t="n">
        <v>0</v>
      </c>
      <c r="AF15" t="n">
        <v>0</v>
      </c>
      <c r="AG15" t="n">
        <v>1</v>
      </c>
      <c r="AH15" t="inlineStr">
        <is>
          <t>Lauraceae</t>
        </is>
      </c>
      <c r="AI15" t="inlineStr">
        <is>
          <t>Ocotea</t>
        </is>
      </c>
      <c r="AJ15" t="inlineStr">
        <is>
          <t>floribunda</t>
        </is>
      </c>
      <c r="AK15" s="2" t="n">
        <v>38822</v>
      </c>
      <c r="AL15" t="n">
        <v>16.7</v>
      </c>
      <c r="AM15" s="2" t="n">
        <v>40724</v>
      </c>
      <c r="AN15" t="inlineStr"/>
      <c r="AO15" t="inlineStr"/>
      <c r="AP15" t="inlineStr">
        <is>
          <t>muerto</t>
        </is>
      </c>
      <c r="AQ15" t="n">
        <v>3683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n">
        <v>14</v>
      </c>
      <c r="B16" t="n">
        <v>349.6747180033174</v>
      </c>
      <c r="C16" t="n">
        <v>0.9151632285673988</v>
      </c>
      <c r="D16" t="n">
        <v>29</v>
      </c>
      <c r="E16" t="inlineStr"/>
      <c r="F16" t="inlineStr">
        <is>
          <t>p29-795</t>
        </is>
      </c>
      <c r="G16" t="inlineStr">
        <is>
          <t>795</t>
        </is>
      </c>
      <c r="H16" t="inlineStr">
        <is>
          <t>leaf pulverized</t>
        </is>
      </c>
      <c r="I16" t="inlineStr"/>
      <c r="J16" t="n">
        <v>2006</v>
      </c>
      <c r="K16" t="n">
        <v>44.1960844937982</v>
      </c>
      <c r="L16" t="n">
        <v>0.4353491938687814</v>
      </c>
      <c r="M16" t="n">
        <v>0.01533899739410874</v>
      </c>
      <c r="N16" t="n">
        <v>-32.85468908480924</v>
      </c>
      <c r="O16" t="inlineStr"/>
      <c r="P16" t="n">
        <v>20.25955124792661</v>
      </c>
      <c r="Q16" t="inlineStr"/>
      <c r="R16" t="inlineStr"/>
      <c r="S16" t="n">
        <v>795</v>
      </c>
      <c r="T16" t="inlineStr">
        <is>
          <t>p29-795</t>
        </is>
      </c>
      <c r="U16" t="n">
        <v>-31.3592608763461</v>
      </c>
      <c r="V16" t="n">
        <v>0.4046065479609418</v>
      </c>
      <c r="W16" t="n">
        <v>23.82644043778946</v>
      </c>
      <c r="X16" t="inlineStr">
        <is>
          <t>Galeras</t>
        </is>
      </c>
      <c r="Y16" t="n">
        <v>1000</v>
      </c>
      <c r="Z16" t="n">
        <v>29</v>
      </c>
      <c r="AA16" t="inlineStr">
        <is>
          <t>Galeras</t>
        </is>
      </c>
      <c r="AB16" t="inlineStr">
        <is>
          <t>GAL_29</t>
        </is>
      </c>
      <c r="AC16" t="n">
        <v>795</v>
      </c>
      <c r="AD16" t="n">
        <v>1</v>
      </c>
      <c r="AE16" t="inlineStr"/>
      <c r="AF16" t="inlineStr"/>
      <c r="AG16" t="inlineStr"/>
      <c r="AH16" t="inlineStr">
        <is>
          <t>Annonaceae</t>
        </is>
      </c>
      <c r="AI16" t="inlineStr">
        <is>
          <t>Guatteria</t>
        </is>
      </c>
      <c r="AJ16" t="inlineStr">
        <is>
          <t>cf multivenia</t>
        </is>
      </c>
      <c r="AK16" s="2" t="n">
        <v>38823</v>
      </c>
      <c r="AL16" t="n">
        <v>13.687325105903</v>
      </c>
      <c r="AM16" t="inlineStr"/>
      <c r="AN16" t="inlineStr"/>
      <c r="AO16" t="inlineStr"/>
      <c r="AP16" t="inlineStr"/>
      <c r="AQ16" t="inlineStr">
        <is>
          <t>3797</t>
        </is>
      </c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n">
        <v>15</v>
      </c>
      <c r="B17" t="n">
        <v>339.9200254646984</v>
      </c>
      <c r="C17" t="n">
        <v>0.8896333991067509</v>
      </c>
      <c r="D17" t="n">
        <v>22</v>
      </c>
      <c r="E17" t="inlineStr"/>
      <c r="F17" t="inlineStr">
        <is>
          <t>p22-543</t>
        </is>
      </c>
      <c r="G17" t="inlineStr">
        <is>
          <t>543</t>
        </is>
      </c>
      <c r="H17" t="inlineStr">
        <is>
          <t>leaf pulverized</t>
        </is>
      </c>
      <c r="I17" t="inlineStr"/>
      <c r="J17" t="n">
        <v>2006</v>
      </c>
      <c r="K17" t="n">
        <v>43.4886846365052</v>
      </c>
      <c r="L17" t="n">
        <v>0.4581620563499377</v>
      </c>
      <c r="M17" t="n">
        <v>0.02829417692417514</v>
      </c>
      <c r="N17" t="n">
        <v>-31.89</v>
      </c>
      <c r="O17" t="inlineStr"/>
      <c r="P17" t="n">
        <v>26.35623408456347</v>
      </c>
      <c r="Q17" t="inlineStr"/>
      <c r="R17" t="inlineStr"/>
      <c r="S17" t="n">
        <v>543</v>
      </c>
      <c r="T17" t="inlineStr">
        <is>
          <t>p22-543</t>
        </is>
      </c>
      <c r="U17" t="n">
        <v>-30.8130786583592</v>
      </c>
      <c r="V17" t="n">
        <v>1.91</v>
      </c>
      <c r="W17" t="n">
        <v>23.24946629197882</v>
      </c>
      <c r="X17" t="inlineStr">
        <is>
          <t>Galeras</t>
        </is>
      </c>
      <c r="Y17" t="n">
        <v>1000</v>
      </c>
      <c r="Z17" t="n">
        <v>22</v>
      </c>
      <c r="AA17" t="inlineStr">
        <is>
          <t>Galeras</t>
        </is>
      </c>
      <c r="AB17" t="inlineStr">
        <is>
          <t>GAL_22</t>
        </is>
      </c>
      <c r="AC17" t="n">
        <v>543</v>
      </c>
      <c r="AD17" t="n">
        <v>1</v>
      </c>
      <c r="AE17" t="n">
        <v>1</v>
      </c>
      <c r="AF17" t="n">
        <v>0</v>
      </c>
      <c r="AG17" t="n">
        <v>0</v>
      </c>
      <c r="AH17" t="inlineStr">
        <is>
          <t>Fabaceae</t>
        </is>
      </c>
      <c r="AI17" t="inlineStr">
        <is>
          <t>Jupunba</t>
        </is>
      </c>
      <c r="AJ17" t="inlineStr">
        <is>
          <t>trapezifolia var. micradenia</t>
        </is>
      </c>
      <c r="AK17" s="2" t="n">
        <v>38823</v>
      </c>
      <c r="AL17" t="n">
        <v>10.28</v>
      </c>
      <c r="AM17" s="2" t="n">
        <v>40724</v>
      </c>
      <c r="AN17" t="inlineStr">
        <is>
          <t>10,27</t>
        </is>
      </c>
      <c r="AO17" t="inlineStr">
        <is>
          <t>10,7</t>
        </is>
      </c>
      <c r="AP17" t="inlineStr"/>
      <c r="AQ17" t="n">
        <v>2037</v>
      </c>
      <c r="AR17" t="n">
        <v>1</v>
      </c>
      <c r="AS17" t="inlineStr">
        <is>
          <t>Ο</t>
        </is>
      </c>
      <c r="AT17" t="inlineStr">
        <is>
          <t>Ø</t>
        </is>
      </c>
      <c r="AU17" t="n">
        <v>8962</v>
      </c>
      <c r="AV17" t="n">
        <v>1</v>
      </c>
      <c r="AW17" t="inlineStr"/>
      <c r="AX17" t="inlineStr"/>
      <c r="AY17" s="2" t="n">
        <v>45541</v>
      </c>
      <c r="AZ17" t="n">
        <v>10.8</v>
      </c>
      <c r="BA17" t="n">
        <v>8</v>
      </c>
      <c r="BB17" t="inlineStr"/>
      <c r="BC17" t="inlineStr"/>
      <c r="BD17" t="inlineStr">
        <is>
          <t>C</t>
        </is>
      </c>
      <c r="BE17" t="inlineStr"/>
      <c r="BF17" t="inlineStr"/>
      <c r="BG17" t="inlineStr"/>
      <c r="BH17" t="inlineStr"/>
      <c r="BI17" t="inlineStr">
        <is>
          <t>Antes Abarema jupunba Ahora Jupunba trapezifolia var. micradenia</t>
        </is>
      </c>
      <c r="BJ17" t="n">
        <v>0.4</v>
      </c>
      <c r="BK17" t="n">
        <v>4.1</v>
      </c>
      <c r="BL17" t="n">
        <v>0.97</v>
      </c>
      <c r="BM17" t="n">
        <v>0.51</v>
      </c>
    </row>
    <row r="18">
      <c r="A18" s="1" t="n">
        <v>16</v>
      </c>
      <c r="B18" t="n">
        <v>330.4585099950919</v>
      </c>
      <c r="C18" t="n">
        <v>0.8648708681072311</v>
      </c>
      <c r="D18" t="n">
        <v>22</v>
      </c>
      <c r="E18" t="inlineStr"/>
      <c r="F18" t="inlineStr">
        <is>
          <t>p22-538</t>
        </is>
      </c>
      <c r="G18" t="inlineStr">
        <is>
          <t>538</t>
        </is>
      </c>
      <c r="H18" t="inlineStr">
        <is>
          <t>leaf pulverized</t>
        </is>
      </c>
      <c r="I18" t="inlineStr"/>
      <c r="J18" t="n">
        <v>2006</v>
      </c>
      <c r="K18" t="n">
        <v>44.1716029263925</v>
      </c>
      <c r="L18" t="n">
        <v>0.4435332220175985</v>
      </c>
      <c r="M18" t="n">
        <v>0.02171498443086809</v>
      </c>
      <c r="N18" t="n">
        <v>-32.59</v>
      </c>
      <c r="O18" t="inlineStr"/>
      <c r="P18" t="n">
        <v>32.26968125306753</v>
      </c>
      <c r="Q18" t="inlineStr"/>
      <c r="R18" t="inlineStr"/>
      <c r="S18" t="n">
        <v>538</v>
      </c>
      <c r="T18" t="inlineStr">
        <is>
          <t>p22-538</t>
        </is>
      </c>
      <c r="U18" t="n">
        <v>-30.2827231573956</v>
      </c>
      <c r="V18" t="n">
        <v>1.37</v>
      </c>
      <c r="W18" t="n">
        <v>22.68983309138967</v>
      </c>
      <c r="X18" t="inlineStr">
        <is>
          <t>Galeras</t>
        </is>
      </c>
      <c r="Y18" t="n">
        <v>1000</v>
      </c>
      <c r="Z18" t="n">
        <v>22</v>
      </c>
      <c r="AA18" t="inlineStr">
        <is>
          <t>Galeras</t>
        </is>
      </c>
      <c r="AB18" t="inlineStr">
        <is>
          <t>GAL_22</t>
        </is>
      </c>
      <c r="AC18" t="n">
        <v>538</v>
      </c>
      <c r="AD18" t="n">
        <v>1</v>
      </c>
      <c r="AE18" t="n">
        <v>1</v>
      </c>
      <c r="AF18" t="n">
        <v>0</v>
      </c>
      <c r="AG18" t="n">
        <v>0</v>
      </c>
      <c r="AH18" t="inlineStr">
        <is>
          <t>Sapindaceae</t>
        </is>
      </c>
      <c r="AI18" t="inlineStr">
        <is>
          <t>Allophylus</t>
        </is>
      </c>
      <c r="AJ18" t="inlineStr">
        <is>
          <t>sp Galeras</t>
        </is>
      </c>
      <c r="AK18" s="2" t="n">
        <v>38823</v>
      </c>
      <c r="AL18" t="n">
        <v>13.75</v>
      </c>
      <c r="AM18" s="2" t="n">
        <v>40724</v>
      </c>
      <c r="AN18" t="n">
        <v>14</v>
      </c>
      <c r="AO18" t="inlineStr">
        <is>
          <t>13,4</t>
        </is>
      </c>
      <c r="AP18" t="inlineStr"/>
      <c r="AQ18" t="inlineStr"/>
      <c r="AR18" t="n">
        <v>1</v>
      </c>
      <c r="AS18" t="inlineStr"/>
      <c r="AT18" t="inlineStr"/>
      <c r="AU18" t="inlineStr"/>
      <c r="AV18" t="inlineStr"/>
      <c r="AW18" t="inlineStr"/>
      <c r="AX18" t="inlineStr"/>
      <c r="AY18" s="2" t="n">
        <v>45541</v>
      </c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NE</t>
        </is>
      </c>
      <c r="BI18" t="inlineStr"/>
      <c r="BJ18" t="inlineStr"/>
      <c r="BK18" t="inlineStr"/>
      <c r="BL18" t="inlineStr"/>
      <c r="BM18" t="inlineStr"/>
    </row>
    <row r="19">
      <c r="A19" s="1" t="n">
        <v>17</v>
      </c>
      <c r="B19" t="n">
        <v>318.0977115658427</v>
      </c>
      <c r="C19" t="n">
        <v>0.83252037887891</v>
      </c>
      <c r="D19" t="n">
        <v>23</v>
      </c>
      <c r="E19" t="inlineStr"/>
      <c r="F19" t="inlineStr">
        <is>
          <t>p23-559</t>
        </is>
      </c>
      <c r="G19" t="inlineStr">
        <is>
          <t>559</t>
        </is>
      </c>
      <c r="H19" t="inlineStr">
        <is>
          <t>leaf pulverized</t>
        </is>
      </c>
      <c r="I19" t="inlineStr"/>
      <c r="J19" t="n">
        <v>2006</v>
      </c>
      <c r="K19" t="n">
        <v>44.3129749791381</v>
      </c>
      <c r="L19" t="n">
        <v>0.4375015651279461</v>
      </c>
      <c r="M19" t="n">
        <v>0.01904069946879364</v>
      </c>
      <c r="N19" t="n">
        <v>-30.72292143401983</v>
      </c>
      <c r="O19" t="inlineStr"/>
      <c r="P19" t="n">
        <v>39.99518027134831</v>
      </c>
      <c r="Q19" t="inlineStr"/>
      <c r="R19" t="inlineStr"/>
      <c r="S19" t="n">
        <v>559</v>
      </c>
      <c r="T19" t="inlineStr">
        <is>
          <t>p23-559</t>
        </is>
      </c>
      <c r="U19" t="n">
        <v>-29.5889762264672</v>
      </c>
      <c r="V19" t="n">
        <v>1.112783810463968</v>
      </c>
      <c r="W19" t="n">
        <v>21.95871203482961</v>
      </c>
      <c r="X19" t="inlineStr">
        <is>
          <t>Galeras</t>
        </is>
      </c>
      <c r="Y19" t="n">
        <v>1000</v>
      </c>
      <c r="Z19" t="n">
        <v>23</v>
      </c>
      <c r="AA19" t="inlineStr">
        <is>
          <t>Galeras</t>
        </is>
      </c>
      <c r="AB19" t="inlineStr">
        <is>
          <t>GAL_23</t>
        </is>
      </c>
      <c r="AC19" t="n">
        <v>559</v>
      </c>
      <c r="AD19" t="n">
        <v>1</v>
      </c>
      <c r="AE19" t="inlineStr"/>
      <c r="AF19" t="inlineStr"/>
      <c r="AG19" t="inlineStr"/>
      <c r="AH19" t="inlineStr">
        <is>
          <t>Lecythidaceae</t>
        </is>
      </c>
      <c r="AI19" t="inlineStr">
        <is>
          <t>Grias</t>
        </is>
      </c>
      <c r="AJ19" t="inlineStr">
        <is>
          <t>peruviana</t>
        </is>
      </c>
      <c r="AK19" s="2" t="n">
        <v>38653</v>
      </c>
      <c r="AL19" t="n">
        <v>17.50704374010849</v>
      </c>
      <c r="AM19" t="inlineStr"/>
      <c r="AN19" t="inlineStr"/>
      <c r="AO19" t="inlineStr"/>
      <c r="AP19" t="inlineStr"/>
      <c r="AQ19" t="inlineStr">
        <is>
          <t>3739</t>
        </is>
      </c>
      <c r="AR19" t="n">
        <v>1</v>
      </c>
      <c r="AS19" t="inlineStr">
        <is>
          <t>Ο</t>
        </is>
      </c>
      <c r="AT19" t="inlineStr">
        <is>
          <t>Ø</t>
        </is>
      </c>
      <c r="AU19" t="n">
        <v>8983</v>
      </c>
      <c r="AV19" t="n">
        <v>1</v>
      </c>
      <c r="AW19" t="inlineStr"/>
      <c r="AX19" t="inlineStr"/>
      <c r="AY19" s="2" t="n">
        <v>45541</v>
      </c>
      <c r="AZ19" t="n">
        <v>17.8</v>
      </c>
      <c r="BA19" t="n">
        <v>6.2</v>
      </c>
      <c r="BB19" t="inlineStr"/>
      <c r="BC19" t="inlineStr"/>
      <c r="BD19" t="inlineStr">
        <is>
          <t>B</t>
        </is>
      </c>
      <c r="BE19" t="inlineStr"/>
      <c r="BF19" t="inlineStr"/>
      <c r="BG19" t="inlineStr"/>
      <c r="BH19" t="inlineStr">
        <is>
          <t>Con placa vieja</t>
        </is>
      </c>
      <c r="BI19" t="inlineStr"/>
      <c r="BJ19" t="n">
        <v>1</v>
      </c>
      <c r="BK19" t="n">
        <v>5.2</v>
      </c>
      <c r="BL19" t="n">
        <v>1.3</v>
      </c>
      <c r="BM19" t="n">
        <v>0.72</v>
      </c>
    </row>
    <row r="20">
      <c r="A20" s="1" t="n">
        <v>18</v>
      </c>
      <c r="B20" t="n">
        <v>342.3615825526053</v>
      </c>
      <c r="C20" t="n">
        <v>0.8960234043094698</v>
      </c>
      <c r="D20" t="n">
        <v>23</v>
      </c>
      <c r="E20" t="inlineStr"/>
      <c r="F20" t="inlineStr">
        <is>
          <t>p23-556</t>
        </is>
      </c>
      <c r="G20" t="inlineStr">
        <is>
          <t>556</t>
        </is>
      </c>
      <c r="H20" t="inlineStr">
        <is>
          <t>leaf pulverized</t>
        </is>
      </c>
      <c r="I20" t="inlineStr"/>
      <c r="J20" t="n">
        <v>2006</v>
      </c>
      <c r="K20" t="n">
        <v>45.0467775205119</v>
      </c>
      <c r="L20" t="n">
        <v>0.4700220860030788</v>
      </c>
      <c r="M20" t="n">
        <v>0.02149380544039524</v>
      </c>
      <c r="N20" t="n">
        <v>-32.15670983849575</v>
      </c>
      <c r="O20" t="inlineStr"/>
      <c r="P20" t="n">
        <v>24.83026090462167</v>
      </c>
      <c r="Q20" t="inlineStr"/>
      <c r="R20" t="inlineStr"/>
      <c r="S20" t="n">
        <v>556</v>
      </c>
      <c r="T20" t="inlineStr">
        <is>
          <t>p23-556</t>
        </is>
      </c>
      <c r="U20" t="n">
        <v>-30.9498434726661</v>
      </c>
      <c r="V20" t="n">
        <v>1.079666858127513</v>
      </c>
      <c r="W20" t="n">
        <v>23.39388040956026</v>
      </c>
      <c r="X20" t="inlineStr">
        <is>
          <t>Galeras</t>
        </is>
      </c>
      <c r="Y20" t="n">
        <v>1000</v>
      </c>
      <c r="Z20" t="n">
        <v>23</v>
      </c>
      <c r="AA20" t="inlineStr">
        <is>
          <t>Galeras</t>
        </is>
      </c>
      <c r="AB20" t="inlineStr">
        <is>
          <t>GAL_23</t>
        </is>
      </c>
      <c r="AC20" t="n">
        <v>556</v>
      </c>
      <c r="AD20" t="n">
        <v>1</v>
      </c>
      <c r="AE20" t="inlineStr"/>
      <c r="AF20" t="inlineStr"/>
      <c r="AG20" t="inlineStr"/>
      <c r="AH20" t="inlineStr">
        <is>
          <t>Lauraceae</t>
        </is>
      </c>
      <c r="AI20" t="inlineStr">
        <is>
          <t>Pleurothyrium</t>
        </is>
      </c>
      <c r="AJ20" t="inlineStr">
        <is>
          <t>insigne</t>
        </is>
      </c>
      <c r="AK20" s="2" t="n">
        <v>38653</v>
      </c>
      <c r="AL20" t="n">
        <v>10.82253613024888</v>
      </c>
      <c r="AM20" t="inlineStr"/>
      <c r="AN20" t="inlineStr"/>
      <c r="AO20" t="inlineStr"/>
      <c r="AP20" t="inlineStr"/>
      <c r="AQ20" t="inlineStr">
        <is>
          <t>2024</t>
        </is>
      </c>
      <c r="AR20" t="n">
        <v>1</v>
      </c>
      <c r="AS20" t="inlineStr"/>
      <c r="AT20" t="inlineStr"/>
      <c r="AU20" t="inlineStr"/>
      <c r="AV20" t="inlineStr"/>
      <c r="AW20" t="inlineStr"/>
      <c r="AX20" t="inlineStr"/>
      <c r="AY20" s="2" t="n">
        <v>45541</v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NE</t>
        </is>
      </c>
      <c r="BI20" t="inlineStr"/>
      <c r="BJ20" t="inlineStr"/>
      <c r="BK20" t="inlineStr"/>
      <c r="BL20" t="inlineStr"/>
      <c r="BM20" t="inlineStr"/>
    </row>
    <row r="21">
      <c r="A21" s="1" t="n">
        <v>19</v>
      </c>
      <c r="B21" t="n">
        <v>356.2253214027407</v>
      </c>
      <c r="C21" t="n">
        <v>0.9323073658110411</v>
      </c>
      <c r="D21" t="n">
        <v>22</v>
      </c>
      <c r="E21" t="inlineStr"/>
      <c r="F21" t="inlineStr">
        <is>
          <t>p22-546</t>
        </is>
      </c>
      <c r="G21" t="inlineStr">
        <is>
          <t>546</t>
        </is>
      </c>
      <c r="H21" t="inlineStr">
        <is>
          <t>leaf pulverized</t>
        </is>
      </c>
      <c r="I21" t="inlineStr"/>
      <c r="J21" t="n">
        <v>2006</v>
      </c>
      <c r="K21" t="n">
        <v>43.3392562736045</v>
      </c>
      <c r="L21" t="n">
        <v>0.4093267533659382</v>
      </c>
      <c r="M21" t="n">
        <v>0.02301483593866714</v>
      </c>
      <c r="N21" t="n">
        <v>-31.98</v>
      </c>
      <c r="O21" t="inlineStr"/>
      <c r="P21" t="n">
        <v>16.16542412328706</v>
      </c>
      <c r="Q21" t="inlineStr"/>
      <c r="R21" t="inlineStr"/>
      <c r="S21" t="n">
        <v>546</v>
      </c>
      <c r="T21" t="inlineStr">
        <is>
          <t>p22-546</t>
        </is>
      </c>
      <c r="U21" t="n">
        <v>-31.7256951940085</v>
      </c>
      <c r="V21" t="n">
        <v>2.58</v>
      </c>
      <c r="W21" t="n">
        <v>24.21389793949577</v>
      </c>
      <c r="X21" t="inlineStr">
        <is>
          <t>Galeras</t>
        </is>
      </c>
      <c r="Y21" t="n">
        <v>1000</v>
      </c>
      <c r="Z21" t="n">
        <v>22</v>
      </c>
      <c r="AA21" t="inlineStr">
        <is>
          <t>Galeras</t>
        </is>
      </c>
      <c r="AB21" t="inlineStr">
        <is>
          <t>GAL_22</t>
        </is>
      </c>
      <c r="AC21" t="n">
        <v>546</v>
      </c>
      <c r="AD21" t="n">
        <v>1</v>
      </c>
      <c r="AE21" t="n">
        <v>1</v>
      </c>
      <c r="AF21" t="n">
        <v>0</v>
      </c>
      <c r="AG21" t="n">
        <v>0</v>
      </c>
      <c r="AH21" t="inlineStr">
        <is>
          <t>Violaceae</t>
        </is>
      </c>
      <c r="AI21" t="inlineStr">
        <is>
          <t>Gloeospermum</t>
        </is>
      </c>
      <c r="AJ21" t="inlineStr">
        <is>
          <t>equatoriense</t>
        </is>
      </c>
      <c r="AK21" s="2" t="n">
        <v>38823</v>
      </c>
      <c r="AL21" t="n">
        <v>11.41</v>
      </c>
      <c r="AM21" s="2" t="n">
        <v>40724</v>
      </c>
      <c r="AN21" t="inlineStr">
        <is>
          <t>11,48</t>
        </is>
      </c>
      <c r="AO21" t="inlineStr">
        <is>
          <t>8,9</t>
        </is>
      </c>
      <c r="AP21" t="inlineStr"/>
      <c r="AQ21" t="n">
        <v>2049</v>
      </c>
      <c r="AR21" t="n">
        <v>1</v>
      </c>
      <c r="AS21" t="inlineStr"/>
      <c r="AT21" t="inlineStr"/>
      <c r="AU21" t="inlineStr"/>
      <c r="AV21" t="inlineStr"/>
      <c r="AW21" t="inlineStr"/>
      <c r="AX21" t="inlineStr"/>
      <c r="AY21" s="2" t="n">
        <v>45541</v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NE</t>
        </is>
      </c>
      <c r="BI21" t="inlineStr"/>
      <c r="BJ21" t="inlineStr"/>
      <c r="BK21" t="inlineStr"/>
      <c r="BL21" t="inlineStr"/>
      <c r="BM21" t="inlineStr"/>
    </row>
    <row r="22">
      <c r="A22" s="1" t="n">
        <v>20</v>
      </c>
      <c r="B22" t="n">
        <v>300.7811175153929</v>
      </c>
      <c r="C22" t="n">
        <v>0.7871996584977177</v>
      </c>
      <c r="D22" t="n">
        <v>22</v>
      </c>
      <c r="E22" t="inlineStr"/>
      <c r="F22" t="inlineStr">
        <is>
          <t>p22-525</t>
        </is>
      </c>
      <c r="G22" t="inlineStr">
        <is>
          <t>525</t>
        </is>
      </c>
      <c r="H22" t="inlineStr">
        <is>
          <t>leaf pulverized</t>
        </is>
      </c>
      <c r="I22" t="inlineStr"/>
      <c r="J22" t="n">
        <v>2006</v>
      </c>
      <c r="K22" t="n">
        <v>43.5026863007063</v>
      </c>
      <c r="L22" t="n">
        <v>0.4497232382273588</v>
      </c>
      <c r="M22" t="n">
        <v>0.01493137378613984</v>
      </c>
      <c r="N22" t="n">
        <v>-30.33</v>
      </c>
      <c r="O22" t="inlineStr"/>
      <c r="P22" t="n">
        <v>50.8180515528794</v>
      </c>
      <c r="Q22" t="inlineStr"/>
      <c r="R22" t="inlineStr"/>
      <c r="S22" t="n">
        <v>525</v>
      </c>
      <c r="T22" t="inlineStr">
        <is>
          <t>p22-525</t>
        </is>
      </c>
      <c r="U22" t="n">
        <v>-28.6154153781686</v>
      </c>
      <c r="V22" t="n">
        <v>2.14</v>
      </c>
      <c r="W22" t="n">
        <v>20.93446375421466</v>
      </c>
      <c r="X22" t="inlineStr">
        <is>
          <t>Galeras</t>
        </is>
      </c>
      <c r="Y22" t="n">
        <v>1000</v>
      </c>
      <c r="Z22" t="n">
        <v>22</v>
      </c>
      <c r="AA22" t="inlineStr">
        <is>
          <t>Galeras</t>
        </is>
      </c>
      <c r="AB22" t="inlineStr">
        <is>
          <t>GAL_22</t>
        </is>
      </c>
      <c r="AC22" t="n">
        <v>525</v>
      </c>
      <c r="AD22" t="n">
        <v>1</v>
      </c>
      <c r="AE22" t="n">
        <v>1</v>
      </c>
      <c r="AF22" t="n">
        <v>0</v>
      </c>
      <c r="AG22" t="n">
        <v>0</v>
      </c>
      <c r="AH22" t="inlineStr">
        <is>
          <t>Simaroubaceae</t>
        </is>
      </c>
      <c r="AI22" t="inlineStr"/>
      <c r="AJ22" t="inlineStr"/>
      <c r="AK22" s="2" t="n">
        <v>38823</v>
      </c>
      <c r="AL22" t="n">
        <v>31.33</v>
      </c>
      <c r="AM22" s="2" t="n">
        <v>40724</v>
      </c>
      <c r="AN22" t="inlineStr">
        <is>
          <t>37,36</t>
        </is>
      </c>
      <c r="AO22" t="inlineStr">
        <is>
          <t>26,9</t>
        </is>
      </c>
      <c r="AP22" t="inlineStr">
        <is>
          <t>muy alta</t>
        </is>
      </c>
      <c r="AQ22" t="inlineStr"/>
      <c r="AR22" t="n">
        <v>1</v>
      </c>
      <c r="AS22" t="inlineStr"/>
      <c r="AT22" t="inlineStr"/>
      <c r="AU22" t="n">
        <v>8948</v>
      </c>
      <c r="AV22" t="n">
        <v>1</v>
      </c>
      <c r="AW22" t="inlineStr"/>
      <c r="AX22" t="inlineStr"/>
      <c r="AY22" s="2" t="n">
        <v>45541</v>
      </c>
      <c r="AZ22" t="n">
        <v>46.1</v>
      </c>
      <c r="BA22" t="n">
        <v>24</v>
      </c>
      <c r="BB22" t="inlineStr"/>
      <c r="BC22" t="inlineStr"/>
      <c r="BD22" t="inlineStr">
        <is>
          <t>A</t>
        </is>
      </c>
      <c r="BE22" t="inlineStr">
        <is>
          <t>Antes Ruagea, Ahora Simaroubaceae</t>
        </is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n">
        <v>21</v>
      </c>
      <c r="B23" t="n">
        <v>343.4077588081872</v>
      </c>
      <c r="C23" t="n">
        <v>0.8987614405197395</v>
      </c>
      <c r="D23" t="n">
        <v>29</v>
      </c>
      <c r="E23" t="inlineStr"/>
      <c r="F23" t="inlineStr">
        <is>
          <t>p29-762</t>
        </is>
      </c>
      <c r="G23" t="inlineStr">
        <is>
          <t>762</t>
        </is>
      </c>
      <c r="H23" t="inlineStr">
        <is>
          <t>leaf pulverized</t>
        </is>
      </c>
      <c r="I23" t="inlineStr"/>
      <c r="J23" t="n">
        <v>2006</v>
      </c>
      <c r="K23" t="n">
        <v>42.9007810460878</v>
      </c>
      <c r="L23" t="n">
        <v>0.4480625894250169</v>
      </c>
      <c r="M23" t="n">
        <v>0.01938491045921905</v>
      </c>
      <c r="N23" t="n">
        <v>-32.38163488431223</v>
      </c>
      <c r="O23" t="inlineStr"/>
      <c r="P23" t="n">
        <v>24.17640074488296</v>
      </c>
      <c r="Q23" t="inlineStr"/>
      <c r="R23" t="inlineStr"/>
      <c r="S23" t="n">
        <v>762</v>
      </c>
      <c r="T23" t="inlineStr">
        <is>
          <t>p29-762</t>
        </is>
      </c>
      <c r="U23" t="n">
        <v>-31.0084336493908</v>
      </c>
      <c r="V23" t="n">
        <v>0.2131194471865744</v>
      </c>
      <c r="W23" t="n">
        <v>23.45576002791235</v>
      </c>
      <c r="X23" t="inlineStr">
        <is>
          <t>Galeras</t>
        </is>
      </c>
      <c r="Y23" t="n">
        <v>1000</v>
      </c>
      <c r="Z23" t="n">
        <v>29</v>
      </c>
      <c r="AA23" t="inlineStr">
        <is>
          <t>Galeras</t>
        </is>
      </c>
      <c r="AB23" t="inlineStr">
        <is>
          <t>GAL_29</t>
        </is>
      </c>
      <c r="AC23" t="n">
        <v>762</v>
      </c>
      <c r="AD23" t="n">
        <v>1</v>
      </c>
      <c r="AE23" t="inlineStr"/>
      <c r="AF23" t="inlineStr"/>
      <c r="AG23" t="inlineStr"/>
      <c r="AH23" t="inlineStr">
        <is>
          <t>Lacistemataceae</t>
        </is>
      </c>
      <c r="AI23" t="inlineStr">
        <is>
          <t>Lozania</t>
        </is>
      </c>
      <c r="AJ23" t="inlineStr">
        <is>
          <t>mutisiana</t>
        </is>
      </c>
      <c r="AK23" s="2" t="n">
        <v>38823</v>
      </c>
      <c r="AL23" t="n">
        <v>25.78310078088705</v>
      </c>
      <c r="AM23" t="inlineStr"/>
      <c r="AN23" t="inlineStr"/>
      <c r="AO23" t="inlineStr"/>
      <c r="AP23" t="inlineStr"/>
      <c r="AQ23" t="inlineStr">
        <is>
          <t>3784</t>
        </is>
      </c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n">
        <v>22</v>
      </c>
      <c r="B24" t="n">
        <v>341.0548972866441</v>
      </c>
      <c r="C24" t="n">
        <v>0.8926035679725828</v>
      </c>
      <c r="D24" t="n">
        <v>29</v>
      </c>
      <c r="E24" t="inlineStr"/>
      <c r="F24" t="inlineStr">
        <is>
          <t>p29-793</t>
        </is>
      </c>
      <c r="G24" t="inlineStr">
        <is>
          <t>793</t>
        </is>
      </c>
      <c r="H24" t="inlineStr">
        <is>
          <t>leaf pulverized</t>
        </is>
      </c>
      <c r="I24" t="inlineStr"/>
      <c r="J24" t="n">
        <v>2006</v>
      </c>
      <c r="K24" t="n">
        <v>44.284787471556</v>
      </c>
      <c r="L24" t="n">
        <v>0.4389243632531962</v>
      </c>
      <c r="M24" t="n">
        <v>0.02519147473075972</v>
      </c>
      <c r="N24" t="n">
        <v>-32.61859394863971</v>
      </c>
      <c r="O24" t="inlineStr"/>
      <c r="P24" t="n">
        <v>25.6469391958474</v>
      </c>
      <c r="Q24" t="inlineStr"/>
      <c r="R24" t="inlineStr"/>
      <c r="S24" t="n">
        <v>793</v>
      </c>
      <c r="T24" t="inlineStr">
        <is>
          <t>p29-793</t>
        </is>
      </c>
      <c r="U24" t="n">
        <v>-30.8766537667956</v>
      </c>
      <c r="V24" t="n">
        <v>3.417541954590325</v>
      </c>
      <c r="W24" t="n">
        <v>23.31659210834662</v>
      </c>
      <c r="X24" t="inlineStr">
        <is>
          <t>Galeras</t>
        </is>
      </c>
      <c r="Y24" t="n">
        <v>1000</v>
      </c>
      <c r="Z24" t="n">
        <v>29</v>
      </c>
      <c r="AA24" t="inlineStr">
        <is>
          <t>Galeras</t>
        </is>
      </c>
      <c r="AB24" t="inlineStr">
        <is>
          <t>GAL_29</t>
        </is>
      </c>
      <c r="AC24" t="n">
        <v>793</v>
      </c>
      <c r="AD24" t="n">
        <v>1</v>
      </c>
      <c r="AE24" t="inlineStr"/>
      <c r="AF24" t="inlineStr"/>
      <c r="AG24" t="inlineStr"/>
      <c r="AH24" t="inlineStr">
        <is>
          <t>Fabaceae</t>
        </is>
      </c>
      <c r="AI24" t="inlineStr">
        <is>
          <t>Inga</t>
        </is>
      </c>
      <c r="AJ24" t="inlineStr">
        <is>
          <t>capitata</t>
        </is>
      </c>
      <c r="AK24" s="2" t="n">
        <v>38823</v>
      </c>
      <c r="AL24" t="n">
        <v>11.77746578880025</v>
      </c>
      <c r="AM24" t="inlineStr"/>
      <c r="AN24" t="inlineStr"/>
      <c r="AO24" t="inlineStr"/>
      <c r="AP24" t="inlineStr"/>
      <c r="AQ24">
        <f>3789</f>
        <v/>
      </c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n">
        <v>23</v>
      </c>
      <c r="B25" t="n">
        <v>345.659753243805</v>
      </c>
      <c r="C25" t="n">
        <v>0.9046553252998115</v>
      </c>
      <c r="D25" t="n">
        <v>22</v>
      </c>
      <c r="E25" t="inlineStr"/>
      <c r="F25" t="inlineStr">
        <is>
          <t>p22-541</t>
        </is>
      </c>
      <c r="G25" t="inlineStr">
        <is>
          <t>541</t>
        </is>
      </c>
      <c r="H25" t="inlineStr">
        <is>
          <t>leaf pulverized</t>
        </is>
      </c>
      <c r="I25" t="inlineStr"/>
      <c r="J25" t="n">
        <v>2006</v>
      </c>
      <c r="K25" t="n">
        <v>44.7628534294191</v>
      </c>
      <c r="L25" t="n">
        <v>0.4524764801394821</v>
      </c>
      <c r="M25" t="n">
        <v>0.02933085063780434</v>
      </c>
      <c r="N25" t="n">
        <v>-32.34</v>
      </c>
      <c r="O25" t="inlineStr"/>
      <c r="P25" t="n">
        <v>22.76890422262188</v>
      </c>
      <c r="Q25" t="inlineStr"/>
      <c r="R25" t="inlineStr"/>
      <c r="S25" t="n">
        <v>541</v>
      </c>
      <c r="T25" t="inlineStr">
        <is>
          <t>p22-541</t>
        </is>
      </c>
      <c r="U25" t="n">
        <v>-31.1345305708987</v>
      </c>
      <c r="V25" t="n">
        <v>2.99</v>
      </c>
      <c r="W25" t="n">
        <v>23.58896182394199</v>
      </c>
      <c r="X25" t="inlineStr">
        <is>
          <t>Galeras</t>
        </is>
      </c>
      <c r="Y25" t="n">
        <v>1000</v>
      </c>
      <c r="Z25" t="n">
        <v>22</v>
      </c>
      <c r="AA25" t="inlineStr">
        <is>
          <t>Galeras</t>
        </is>
      </c>
      <c r="AB25" t="inlineStr">
        <is>
          <t>GAL_22</t>
        </is>
      </c>
      <c r="AC25" t="n">
        <v>541</v>
      </c>
      <c r="AD25" t="n">
        <v>1</v>
      </c>
      <c r="AE25" t="n">
        <v>1</v>
      </c>
      <c r="AF25" t="n">
        <v>0</v>
      </c>
      <c r="AG25" t="n">
        <v>0</v>
      </c>
      <c r="AH25" t="inlineStr">
        <is>
          <t>Meliaceae</t>
        </is>
      </c>
      <c r="AI25" t="inlineStr">
        <is>
          <t>Guarea</t>
        </is>
      </c>
      <c r="AJ25" t="inlineStr">
        <is>
          <t>silvatica</t>
        </is>
      </c>
      <c r="AK25" s="2" t="n">
        <v>38823</v>
      </c>
      <c r="AL25" t="n">
        <v>12.46</v>
      </c>
      <c r="AM25" s="2" t="n">
        <v>40724</v>
      </c>
      <c r="AN25" t="inlineStr">
        <is>
          <t>12,68</t>
        </is>
      </c>
      <c r="AO25" t="inlineStr">
        <is>
          <t>15,0</t>
        </is>
      </c>
      <c r="AP25" t="inlineStr"/>
      <c r="AQ25" t="n">
        <v>2053</v>
      </c>
      <c r="AR25" t="n">
        <v>1</v>
      </c>
      <c r="AS25" t="inlineStr"/>
      <c r="AT25" t="inlineStr"/>
      <c r="AU25" t="inlineStr"/>
      <c r="AV25" t="inlineStr"/>
      <c r="AW25" t="inlineStr"/>
      <c r="AX25" t="inlineStr"/>
      <c r="AY25" s="2" t="n">
        <v>45541</v>
      </c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NE</t>
        </is>
      </c>
      <c r="BI25" t="inlineStr"/>
      <c r="BJ25" t="inlineStr"/>
      <c r="BK25" t="inlineStr"/>
      <c r="BL25" t="inlineStr"/>
      <c r="BM25" t="inlineStr"/>
    </row>
    <row r="26">
      <c r="A26" s="1" t="n">
        <v>24</v>
      </c>
      <c r="B26" t="n">
        <v>348.9834304764038</v>
      </c>
      <c r="C26" t="n">
        <v>0.9133540016132425</v>
      </c>
      <c r="D26" t="n">
        <v>24</v>
      </c>
      <c r="E26" t="inlineStr"/>
      <c r="F26" t="inlineStr">
        <is>
          <t>p24-580</t>
        </is>
      </c>
      <c r="G26" t="inlineStr">
        <is>
          <t>580</t>
        </is>
      </c>
      <c r="H26" t="inlineStr">
        <is>
          <t>leaf pulverized</t>
        </is>
      </c>
      <c r="I26" t="inlineStr"/>
      <c r="J26" t="n">
        <v>2006</v>
      </c>
      <c r="K26" t="n">
        <v>42.1128334332028</v>
      </c>
      <c r="L26" t="n">
        <v>0.3919901680145296</v>
      </c>
      <c r="M26" t="n">
        <v>0.01798726840614421</v>
      </c>
      <c r="N26" t="n">
        <v>-31.65</v>
      </c>
      <c r="O26" t="inlineStr"/>
      <c r="P26" t="n">
        <v>20.6916059522476</v>
      </c>
      <c r="Q26" t="inlineStr"/>
      <c r="R26" t="inlineStr"/>
      <c r="S26" t="n">
        <v>580</v>
      </c>
      <c r="T26" t="inlineStr">
        <is>
          <t>p24-580</t>
        </is>
      </c>
      <c r="U26" t="n">
        <v>-31.3205747520526</v>
      </c>
      <c r="V26" t="n">
        <v>0.66</v>
      </c>
      <c r="W26" t="n">
        <v>23.78555190862553</v>
      </c>
      <c r="X26" t="inlineStr">
        <is>
          <t>Galeras</t>
        </is>
      </c>
      <c r="Y26" t="n">
        <v>1000</v>
      </c>
      <c r="Z26" t="n">
        <v>24</v>
      </c>
      <c r="AA26" t="inlineStr">
        <is>
          <t>Galeras</t>
        </is>
      </c>
      <c r="AB26" t="inlineStr">
        <is>
          <t>GAL_24</t>
        </is>
      </c>
      <c r="AC26" t="n">
        <v>580</v>
      </c>
      <c r="AD26" t="n">
        <v>1</v>
      </c>
      <c r="AE26" t="n">
        <v>1</v>
      </c>
      <c r="AF26" t="n">
        <v>0</v>
      </c>
      <c r="AG26" t="n">
        <v>0</v>
      </c>
      <c r="AH26" t="inlineStr">
        <is>
          <t>Moraceae</t>
        </is>
      </c>
      <c r="AI26" t="inlineStr">
        <is>
          <t>Sorocea</t>
        </is>
      </c>
      <c r="AJ26" t="inlineStr">
        <is>
          <t>sp</t>
        </is>
      </c>
      <c r="AK26" s="2" t="n">
        <v>38822</v>
      </c>
      <c r="AL26" t="n">
        <v>16.16</v>
      </c>
      <c r="AM26" s="2" t="n">
        <v>40724</v>
      </c>
      <c r="AN26" t="n">
        <v>16.23</v>
      </c>
      <c r="AO26" t="inlineStr">
        <is>
          <t>9,0</t>
        </is>
      </c>
      <c r="AP26" t="inlineStr"/>
      <c r="AQ26" t="inlineStr"/>
      <c r="AR26" t="n">
        <v>1</v>
      </c>
      <c r="AS26" t="inlineStr"/>
      <c r="AT26" t="inlineStr">
        <is>
          <t>ø</t>
        </is>
      </c>
      <c r="AU26" t="n">
        <v>8641</v>
      </c>
      <c r="AV26" t="n">
        <v>1</v>
      </c>
      <c r="AW26" t="inlineStr"/>
      <c r="AX26" t="inlineStr"/>
      <c r="AY26" s="2" t="n">
        <v>45665</v>
      </c>
      <c r="AZ26" t="n">
        <v>16.7</v>
      </c>
      <c r="BA26" t="n">
        <v>7.4</v>
      </c>
      <c r="BB26" t="inlineStr"/>
      <c r="BC26" t="inlineStr"/>
      <c r="BD26" t="inlineStr">
        <is>
          <t>B</t>
        </is>
      </c>
      <c r="BE26" t="inlineStr">
        <is>
          <t>Antes Clarisia ahora Sorocea.</t>
        </is>
      </c>
      <c r="BF26" t="inlineStr"/>
      <c r="BG26" t="n">
        <v>3</v>
      </c>
      <c r="BH26" t="inlineStr">
        <is>
          <t xml:space="preserve">rama rota. </t>
        </is>
      </c>
      <c r="BI26" t="inlineStr"/>
      <c r="BJ26" t="inlineStr"/>
      <c r="BK26" t="inlineStr"/>
      <c r="BL26" t="inlineStr"/>
      <c r="BM26" t="inlineStr"/>
    </row>
    <row r="27">
      <c r="A27" s="1" t="n">
        <v>25</v>
      </c>
      <c r="B27" t="n">
        <v>352.5362015916684</v>
      </c>
      <c r="C27" t="n">
        <v>0.9226522588700787</v>
      </c>
      <c r="D27" t="n">
        <v>24</v>
      </c>
      <c r="E27" t="inlineStr"/>
      <c r="F27" t="inlineStr">
        <is>
          <t>p24-585</t>
        </is>
      </c>
      <c r="G27" t="inlineStr">
        <is>
          <t>585</t>
        </is>
      </c>
      <c r="H27" t="inlineStr">
        <is>
          <t>leaf pulverized</t>
        </is>
      </c>
      <c r="I27" t="inlineStr"/>
      <c r="J27" t="n">
        <v>2006</v>
      </c>
      <c r="K27" t="n">
        <v>44.1163789549339</v>
      </c>
      <c r="L27" t="n">
        <v>0.4412495801037915</v>
      </c>
      <c r="M27" t="n">
        <v>0.01698222842469201</v>
      </c>
      <c r="N27" t="n">
        <v>-32.91</v>
      </c>
      <c r="O27" t="inlineStr"/>
      <c r="P27" t="n">
        <v>18.47112400520726</v>
      </c>
      <c r="Q27" t="inlineStr"/>
      <c r="R27" t="inlineStr"/>
      <c r="S27" t="n">
        <v>585</v>
      </c>
      <c r="T27" t="inlineStr">
        <is>
          <t>p24-585</t>
        </is>
      </c>
      <c r="U27" t="n">
        <v>-31.5193635659915</v>
      </c>
      <c r="V27" t="n">
        <v>-2.14</v>
      </c>
      <c r="W27" t="n">
        <v>23.99569252263002</v>
      </c>
      <c r="X27" t="inlineStr">
        <is>
          <t>Galeras</t>
        </is>
      </c>
      <c r="Y27" t="n">
        <v>1000</v>
      </c>
      <c r="Z27" t="n">
        <v>24</v>
      </c>
      <c r="AA27" t="inlineStr">
        <is>
          <t>Galeras</t>
        </is>
      </c>
      <c r="AB27" t="inlineStr">
        <is>
          <t>GAL_24</t>
        </is>
      </c>
      <c r="AC27" t="n">
        <v>585</v>
      </c>
      <c r="AD27" t="n">
        <v>1</v>
      </c>
      <c r="AE27" t="n">
        <v>1</v>
      </c>
      <c r="AF27" t="n">
        <v>0</v>
      </c>
      <c r="AG27" t="n">
        <v>0</v>
      </c>
      <c r="AH27" t="inlineStr">
        <is>
          <t>Lacistemataceae</t>
        </is>
      </c>
      <c r="AI27" t="inlineStr">
        <is>
          <t>Lozania</t>
        </is>
      </c>
      <c r="AJ27" t="inlineStr">
        <is>
          <t>klugii</t>
        </is>
      </c>
      <c r="AK27" s="2" t="n">
        <v>38822</v>
      </c>
      <c r="AL27" t="n">
        <v>12.75</v>
      </c>
      <c r="AM27" s="2" t="n">
        <v>40724</v>
      </c>
      <c r="AN27" t="n">
        <v>14.23</v>
      </c>
      <c r="AO27" t="inlineStr">
        <is>
          <t>9,6</t>
        </is>
      </c>
      <c r="AP27" t="inlineStr"/>
      <c r="AQ27" t="n">
        <v>2083</v>
      </c>
      <c r="AR27" t="n">
        <v>1</v>
      </c>
      <c r="AS27" t="inlineStr"/>
      <c r="AT27" t="inlineStr">
        <is>
          <t>ø</t>
        </is>
      </c>
      <c r="AU27" t="n">
        <v>8639</v>
      </c>
      <c r="AV27" t="n">
        <v>1</v>
      </c>
      <c r="AW27" t="inlineStr"/>
      <c r="AX27" t="inlineStr"/>
      <c r="AY27" s="2" t="n">
        <v>45665</v>
      </c>
      <c r="AZ27" t="n">
        <v>19.4</v>
      </c>
      <c r="BA27" t="n">
        <v>8</v>
      </c>
      <c r="BB27" t="inlineStr"/>
      <c r="BC27" t="inlineStr"/>
      <c r="BD27" t="inlineStr">
        <is>
          <t>B</t>
        </is>
      </c>
      <c r="BE27" t="inlineStr"/>
      <c r="BF27" t="inlineStr"/>
      <c r="BG27" t="inlineStr">
        <is>
          <t>3 - frutos</t>
        </is>
      </c>
      <c r="BH27" t="inlineStr">
        <is>
          <t>Flores. Id por dbh y especie.</t>
        </is>
      </c>
      <c r="BI27" t="inlineStr"/>
      <c r="BJ27" t="inlineStr"/>
      <c r="BK27" t="inlineStr"/>
      <c r="BL27" t="inlineStr"/>
      <c r="BM27" t="inlineStr"/>
    </row>
    <row r="28">
      <c r="A28" s="1" t="n">
        <v>26</v>
      </c>
      <c r="B28" t="n">
        <v>317.1608369140199</v>
      </c>
      <c r="C28" t="n">
        <v>0.8300684051244991</v>
      </c>
      <c r="D28" t="n">
        <v>22</v>
      </c>
      <c r="E28" t="inlineStr"/>
      <c r="F28" t="inlineStr">
        <is>
          <t>p22-522</t>
        </is>
      </c>
      <c r="G28" t="inlineStr">
        <is>
          <t>522</t>
        </is>
      </c>
      <c r="H28" t="inlineStr">
        <is>
          <t>leaf pulverized</t>
        </is>
      </c>
      <c r="I28" t="inlineStr"/>
      <c r="J28" t="n">
        <v>2006</v>
      </c>
      <c r="K28" t="n">
        <v>44.3087215329995</v>
      </c>
      <c r="L28" t="n">
        <v>0.41389200937081</v>
      </c>
      <c r="M28" t="n">
        <v>0.02629721406005764</v>
      </c>
      <c r="N28" t="n">
        <v>-30.8</v>
      </c>
      <c r="O28" t="inlineStr"/>
      <c r="P28" t="n">
        <v>40.58072692873758</v>
      </c>
      <c r="Q28" t="inlineStr"/>
      <c r="R28" t="inlineStr"/>
      <c r="S28" t="n">
        <v>522</v>
      </c>
      <c r="T28" t="inlineStr">
        <is>
          <t>p22-522</t>
        </is>
      </c>
      <c r="U28" t="n">
        <v>-29.5363538839223</v>
      </c>
      <c r="V28" t="n">
        <v>4.52</v>
      </c>
      <c r="W28" t="n">
        <v>21.90329742797992</v>
      </c>
      <c r="X28" t="inlineStr">
        <is>
          <t>Galeras</t>
        </is>
      </c>
      <c r="Y28" t="n">
        <v>1000</v>
      </c>
      <c r="Z28" t="n">
        <v>22</v>
      </c>
      <c r="AA28" t="inlineStr">
        <is>
          <t>Galeras</t>
        </is>
      </c>
      <c r="AB28" t="inlineStr">
        <is>
          <t>GAL_22</t>
        </is>
      </c>
      <c r="AC28" t="n">
        <v>522</v>
      </c>
      <c r="AD28" t="n">
        <v>1</v>
      </c>
      <c r="AE28" t="n">
        <v>1</v>
      </c>
      <c r="AF28" t="n">
        <v>0</v>
      </c>
      <c r="AG28" t="n">
        <v>0</v>
      </c>
      <c r="AH28" t="inlineStr">
        <is>
          <t>Myristicaceae</t>
        </is>
      </c>
      <c r="AI28" t="inlineStr">
        <is>
          <t>Virola</t>
        </is>
      </c>
      <c r="AJ28" t="inlineStr">
        <is>
          <t>calophylla</t>
        </is>
      </c>
      <c r="AK28" s="2" t="n">
        <v>38823</v>
      </c>
      <c r="AL28" t="n">
        <v>11.61</v>
      </c>
      <c r="AM28" s="2" t="n">
        <v>40724</v>
      </c>
      <c r="AN28" t="inlineStr">
        <is>
          <t>12,07</t>
        </is>
      </c>
      <c r="AO28" t="inlineStr">
        <is>
          <t>12,50</t>
        </is>
      </c>
      <c r="AP28" t="inlineStr"/>
      <c r="AQ28" t="inlineStr">
        <is>
          <t>David</t>
        </is>
      </c>
      <c r="AR28" t="n">
        <v>1</v>
      </c>
      <c r="AS28" t="inlineStr"/>
      <c r="AT28" t="inlineStr"/>
      <c r="AU28" t="inlineStr"/>
      <c r="AV28" t="inlineStr"/>
      <c r="AW28" t="inlineStr"/>
      <c r="AX28" t="inlineStr"/>
      <c r="AY28" s="2" t="n">
        <v>45541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NE</t>
        </is>
      </c>
      <c r="BI28" t="inlineStr"/>
      <c r="BJ28" t="inlineStr"/>
      <c r="BK28" t="inlineStr"/>
      <c r="BL28" t="inlineStr"/>
      <c r="BM28" t="inlineStr"/>
    </row>
    <row r="29">
      <c r="A29" s="1" t="n">
        <v>27</v>
      </c>
      <c r="B29" t="n">
        <v>310.4082002985137</v>
      </c>
      <c r="C29" t="n">
        <v>0.8123955096927784</v>
      </c>
      <c r="D29" t="n">
        <v>24</v>
      </c>
      <c r="E29" t="inlineStr"/>
      <c r="F29" t="inlineStr">
        <is>
          <t>p24-598</t>
        </is>
      </c>
      <c r="G29" t="inlineStr">
        <is>
          <t>598</t>
        </is>
      </c>
      <c r="H29" t="inlineStr">
        <is>
          <t>leaf pulverized</t>
        </is>
      </c>
      <c r="I29" t="inlineStr"/>
      <c r="J29" t="n">
        <v>2006</v>
      </c>
      <c r="K29" t="n">
        <v>44.3600284136341</v>
      </c>
      <c r="L29" t="n">
        <v>0.4271889469030765</v>
      </c>
      <c r="M29" t="n">
        <v>0.01449108009791741</v>
      </c>
      <c r="N29" t="n">
        <v>-29.61407115549661</v>
      </c>
      <c r="O29" t="inlineStr"/>
      <c r="P29" t="n">
        <v>44.80112481342893</v>
      </c>
      <c r="Q29" t="inlineStr"/>
      <c r="R29" t="inlineStr"/>
      <c r="S29" t="n">
        <v>598</v>
      </c>
      <c r="T29" t="inlineStr">
        <is>
          <t>p24-598</t>
        </is>
      </c>
      <c r="U29" t="n">
        <v>-29.1569031533291</v>
      </c>
      <c r="V29" t="n">
        <v>-2.959253302699598</v>
      </c>
      <c r="W29" t="n">
        <v>21.50388999122304</v>
      </c>
      <c r="X29" t="inlineStr">
        <is>
          <t>Galeras</t>
        </is>
      </c>
      <c r="Y29" t="n">
        <v>1000</v>
      </c>
      <c r="Z29" t="n">
        <v>24</v>
      </c>
      <c r="AA29" t="inlineStr">
        <is>
          <t>Galeras</t>
        </is>
      </c>
      <c r="AB29" t="inlineStr">
        <is>
          <t>GAL_24</t>
        </is>
      </c>
      <c r="AC29" t="n">
        <v>598</v>
      </c>
      <c r="AD29" t="n">
        <v>1</v>
      </c>
      <c r="AE29" t="n">
        <v>1</v>
      </c>
      <c r="AF29" t="n">
        <v>0</v>
      </c>
      <c r="AG29" t="n">
        <v>0</v>
      </c>
      <c r="AH29" t="inlineStr">
        <is>
          <t>Caryocaraceae</t>
        </is>
      </c>
      <c r="AI29" t="inlineStr">
        <is>
          <t>Caryocar</t>
        </is>
      </c>
      <c r="AJ29" t="inlineStr">
        <is>
          <t>glabrum</t>
        </is>
      </c>
      <c r="AK29" s="2" t="n">
        <v>38822</v>
      </c>
      <c r="AL29" t="n">
        <v>11.02</v>
      </c>
      <c r="AM29" s="2" t="n">
        <v>40724</v>
      </c>
      <c r="AN29" t="inlineStr">
        <is>
          <t>11,28</t>
        </is>
      </c>
      <c r="AO29" t="inlineStr">
        <is>
          <t>10,0</t>
        </is>
      </c>
      <c r="AP29" t="inlineStr"/>
      <c r="AQ29" t="n">
        <v>2069</v>
      </c>
      <c r="AR29" t="n">
        <v>1</v>
      </c>
      <c r="AS29" t="inlineStr"/>
      <c r="AT29" t="inlineStr">
        <is>
          <t>ø</t>
        </is>
      </c>
      <c r="AU29" t="n">
        <v>8651</v>
      </c>
      <c r="AV29" t="n">
        <v>1</v>
      </c>
      <c r="AW29" t="inlineStr"/>
      <c r="AX29" t="inlineStr"/>
      <c r="AY29" s="2" t="n">
        <v>45665</v>
      </c>
      <c r="AZ29" t="n">
        <v>12.1</v>
      </c>
      <c r="BA29" t="n">
        <v>5.6</v>
      </c>
      <c r="BB29" t="inlineStr"/>
      <c r="BC29" t="inlineStr"/>
      <c r="BD29" t="inlineStr">
        <is>
          <t>C</t>
        </is>
      </c>
      <c r="BE29" t="inlineStr"/>
      <c r="BF29" t="inlineStr"/>
      <c r="BG29" t="n">
        <v>2</v>
      </c>
      <c r="BH29" t="inlineStr">
        <is>
          <t>Copa rota. ID por dbh y especie. Arbol muerto entre cuadrante C y D.</t>
        </is>
      </c>
      <c r="BI29" t="inlineStr"/>
      <c r="BJ29" t="inlineStr"/>
      <c r="BK29" t="inlineStr"/>
      <c r="BL29" t="inlineStr"/>
      <c r="BM29" t="inlineStr"/>
    </row>
    <row r="30">
      <c r="A30" s="1" t="n">
        <v>28</v>
      </c>
      <c r="B30" t="n">
        <v>287.9929953051701</v>
      </c>
      <c r="C30" t="n">
        <v>0.7537307841219872</v>
      </c>
      <c r="D30" t="n">
        <v>24</v>
      </c>
      <c r="E30" t="inlineStr"/>
      <c r="F30" t="inlineStr">
        <is>
          <t>p24-611</t>
        </is>
      </c>
      <c r="G30" t="inlineStr">
        <is>
          <t>611</t>
        </is>
      </c>
      <c r="H30" t="inlineStr">
        <is>
          <t>leaf pulverized</t>
        </is>
      </c>
      <c r="I30" t="inlineStr"/>
      <c r="J30" t="n">
        <v>2006</v>
      </c>
      <c r="K30" t="n">
        <v>45.1697260885546</v>
      </c>
      <c r="L30" t="n">
        <v>0.378851131355276</v>
      </c>
      <c r="M30" t="n">
        <v>0.01605533186563507</v>
      </c>
      <c r="N30" t="n">
        <v>-29.59412889131622</v>
      </c>
      <c r="O30" t="inlineStr"/>
      <c r="P30" t="n">
        <v>58.81062793426868</v>
      </c>
      <c r="Q30" t="inlineStr"/>
      <c r="R30" t="inlineStr"/>
      <c r="S30" t="n">
        <v>611</v>
      </c>
      <c r="T30" t="inlineStr">
        <is>
          <t>p24-611</t>
        </is>
      </c>
      <c r="U30" t="n">
        <v>-27.8951960529949</v>
      </c>
      <c r="V30" t="n">
        <v>-0.9912808730614592</v>
      </c>
      <c r="W30" t="n">
        <v>20.17806719332316</v>
      </c>
      <c r="X30" t="inlineStr">
        <is>
          <t>Galeras</t>
        </is>
      </c>
      <c r="Y30" t="n">
        <v>1000</v>
      </c>
      <c r="Z30" t="n">
        <v>24</v>
      </c>
      <c r="AA30" t="inlineStr">
        <is>
          <t>Galeras</t>
        </is>
      </c>
      <c r="AB30" t="inlineStr">
        <is>
          <t>GAL_24</t>
        </is>
      </c>
      <c r="AC30" t="n">
        <v>611</v>
      </c>
      <c r="AD30" t="n">
        <v>1</v>
      </c>
      <c r="AE30" t="n">
        <v>1</v>
      </c>
      <c r="AF30" t="n">
        <v>0</v>
      </c>
      <c r="AG30" t="n">
        <v>0</v>
      </c>
      <c r="AH30" t="inlineStr">
        <is>
          <t>Melastomataceae</t>
        </is>
      </c>
      <c r="AI30" t="inlineStr"/>
      <c r="AJ30" t="inlineStr"/>
      <c r="AK30" s="2" t="n">
        <v>38822</v>
      </c>
      <c r="AL30" t="n">
        <v>11.03</v>
      </c>
      <c r="AM30" s="2" t="n">
        <v>40724</v>
      </c>
      <c r="AN30" t="n">
        <v>11.83</v>
      </c>
      <c r="AO30" t="n">
        <v>12.4</v>
      </c>
      <c r="AP30" t="inlineStr"/>
      <c r="AQ30" t="n">
        <v>2067</v>
      </c>
      <c r="AR30" t="n">
        <v>1</v>
      </c>
      <c r="AS30" t="inlineStr">
        <is>
          <t>x</t>
        </is>
      </c>
      <c r="AT30" t="inlineStr">
        <is>
          <t>ø</t>
        </is>
      </c>
      <c r="AU30" t="n">
        <v>8643</v>
      </c>
      <c r="AV30" t="n">
        <v>1</v>
      </c>
      <c r="AW30" t="inlineStr"/>
      <c r="AX30" t="inlineStr"/>
      <c r="AY30" s="2" t="n">
        <v>45665</v>
      </c>
      <c r="AZ30" t="n">
        <v>17.1</v>
      </c>
      <c r="BA30" t="n">
        <v>12.4</v>
      </c>
      <c r="BB30" t="inlineStr"/>
      <c r="BC30" t="inlineStr"/>
      <c r="BD30" t="inlineStr">
        <is>
          <t>C</t>
        </is>
      </c>
      <c r="BE30" t="inlineStr"/>
      <c r="BF30" t="inlineStr"/>
      <c r="BG30" t="n">
        <v>2</v>
      </c>
      <c r="BH30" t="inlineStr">
        <is>
          <t>no pv. Id por dbh y especie.</t>
        </is>
      </c>
      <c r="BI30" t="inlineStr"/>
      <c r="BJ30" t="inlineStr"/>
      <c r="BK30" t="inlineStr"/>
      <c r="BL30" t="inlineStr"/>
      <c r="BM30" t="inlineStr"/>
    </row>
    <row r="31">
      <c r="A31" s="1" t="n">
        <v>29</v>
      </c>
      <c r="B31" t="n">
        <v>351.6665342322234</v>
      </c>
      <c r="C31" t="n">
        <v>0.9203761789950625</v>
      </c>
      <c r="D31" t="n">
        <v>29</v>
      </c>
      <c r="E31" t="inlineStr"/>
      <c r="F31" t="inlineStr">
        <is>
          <t>p29-794</t>
        </is>
      </c>
      <c r="G31" t="inlineStr">
        <is>
          <t>794</t>
        </is>
      </c>
      <c r="H31" t="inlineStr">
        <is>
          <t>leaf pulverized</t>
        </is>
      </c>
      <c r="I31" t="inlineStr"/>
      <c r="J31" t="n">
        <v>2006</v>
      </c>
      <c r="K31" t="n">
        <v>43.5287581436233</v>
      </c>
      <c r="L31" t="n">
        <v>0.348947582234213</v>
      </c>
      <c r="M31" t="n">
        <v>0.01833311934127991</v>
      </c>
      <c r="N31" t="n">
        <v>-31.807720215339</v>
      </c>
      <c r="O31" t="inlineStr"/>
      <c r="P31" t="n">
        <v>19.01466610486035</v>
      </c>
      <c r="Q31" t="inlineStr"/>
      <c r="R31" t="inlineStr"/>
      <c r="S31" t="n">
        <v>794</v>
      </c>
      <c r="T31" t="inlineStr">
        <is>
          <t>p29-794</t>
        </is>
      </c>
      <c r="U31" t="n">
        <v>-31.4707104604046</v>
      </c>
      <c r="V31" t="n">
        <v>1.171200459506031</v>
      </c>
      <c r="W31" t="n">
        <v>23.94425311745466</v>
      </c>
      <c r="X31" t="inlineStr">
        <is>
          <t>Galeras</t>
        </is>
      </c>
      <c r="Y31" t="n">
        <v>1000</v>
      </c>
      <c r="Z31" t="n">
        <v>29</v>
      </c>
      <c r="AA31" t="inlineStr">
        <is>
          <t>Galeras</t>
        </is>
      </c>
      <c r="AB31" t="inlineStr">
        <is>
          <t>GAL_29</t>
        </is>
      </c>
      <c r="AC31" t="n">
        <v>794</v>
      </c>
      <c r="AD31" t="n">
        <v>1</v>
      </c>
      <c r="AE31" t="inlineStr"/>
      <c r="AF31" t="inlineStr"/>
      <c r="AG31" t="inlineStr"/>
      <c r="AH31" t="inlineStr">
        <is>
          <t>Moraceae</t>
        </is>
      </c>
      <c r="AI31" t="inlineStr">
        <is>
          <t>Sorocea</t>
        </is>
      </c>
      <c r="AJ31" t="inlineStr">
        <is>
          <t>trophoides</t>
        </is>
      </c>
      <c r="AK31" s="2" t="n">
        <v>38823</v>
      </c>
      <c r="AL31" t="n">
        <v>15.27887453682195</v>
      </c>
      <c r="AM31" t="inlineStr"/>
      <c r="AN31" t="inlineStr"/>
      <c r="AO31" t="inlineStr"/>
      <c r="AP31" t="inlineStr"/>
      <c r="AQ31" t="inlineStr">
        <is>
          <t>2502</t>
        </is>
      </c>
      <c r="AR31" t="n">
        <v>1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n">
        <v>30</v>
      </c>
      <c r="B32" t="n">
        <v>328.2228355082572</v>
      </c>
      <c r="C32" t="n">
        <v>0.859019695643061</v>
      </c>
      <c r="D32" t="n">
        <v>29</v>
      </c>
      <c r="E32" t="inlineStr"/>
      <c r="F32" t="inlineStr">
        <is>
          <t>p29-779</t>
        </is>
      </c>
      <c r="G32" t="inlineStr">
        <is>
          <t>779</t>
        </is>
      </c>
      <c r="H32" t="inlineStr">
        <is>
          <t>leaf pulverized</t>
        </is>
      </c>
      <c r="I32" t="inlineStr"/>
      <c r="J32" t="n">
        <v>2006</v>
      </c>
      <c r="K32" t="n">
        <v>43.9631431367933</v>
      </c>
      <c r="L32" t="n">
        <v>0.4560308940757555</v>
      </c>
      <c r="M32" t="n">
        <v>0.02702442573378589</v>
      </c>
      <c r="N32" t="n">
        <v>-32.2683066361556</v>
      </c>
      <c r="O32" t="inlineStr"/>
      <c r="P32" t="n">
        <v>33.66697780733926</v>
      </c>
      <c r="Q32" t="inlineStr"/>
      <c r="R32" t="inlineStr"/>
      <c r="S32" t="n">
        <v>779</v>
      </c>
      <c r="T32" t="inlineStr">
        <is>
          <t>p29-779</t>
        </is>
      </c>
      <c r="U32" t="n">
        <v>-30.1573199362308</v>
      </c>
      <c r="V32" t="n">
        <v>4.883287265547877</v>
      </c>
      <c r="W32" t="n">
        <v>22.55759659369942</v>
      </c>
      <c r="X32" t="inlineStr">
        <is>
          <t>Galeras</t>
        </is>
      </c>
      <c r="Y32" t="n">
        <v>1000</v>
      </c>
      <c r="Z32" t="n">
        <v>29</v>
      </c>
      <c r="AA32" t="inlineStr">
        <is>
          <t>Galeras</t>
        </is>
      </c>
      <c r="AB32" t="inlineStr">
        <is>
          <t>GAL_29</t>
        </is>
      </c>
      <c r="AC32" t="n">
        <v>779</v>
      </c>
      <c r="AD32" t="n">
        <v>1</v>
      </c>
      <c r="AE32" t="inlineStr"/>
      <c r="AF32" t="inlineStr"/>
      <c r="AG32" t="inlineStr"/>
      <c r="AH32" t="inlineStr">
        <is>
          <t>Fabaceae</t>
        </is>
      </c>
      <c r="AI32" t="inlineStr">
        <is>
          <t>Inga</t>
        </is>
      </c>
      <c r="AJ32" t="inlineStr"/>
      <c r="AK32" s="2" t="n">
        <v>38823</v>
      </c>
      <c r="AL32" t="n">
        <v>34.37746770784939</v>
      </c>
      <c r="AM32" t="inlineStr"/>
      <c r="AN32" t="inlineStr"/>
      <c r="AO32" t="inlineStr"/>
      <c r="AP32" t="inlineStr"/>
      <c r="AQ32" t="inlineStr">
        <is>
          <t>3791</t>
        </is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  <row r="33">
      <c r="A33" s="1" t="n">
        <v>31</v>
      </c>
      <c r="B33" t="n">
        <v>301.0782919801882</v>
      </c>
      <c r="C33" t="n">
        <v>0.7879774188808611</v>
      </c>
      <c r="D33" t="n">
        <v>22</v>
      </c>
      <c r="E33" t="inlineStr"/>
      <c r="F33" t="inlineStr">
        <is>
          <t>p22-537</t>
        </is>
      </c>
      <c r="G33" t="inlineStr">
        <is>
          <t>537</t>
        </is>
      </c>
      <c r="H33" t="inlineStr">
        <is>
          <t>leaf pulverized</t>
        </is>
      </c>
      <c r="I33" t="inlineStr"/>
      <c r="J33" t="n">
        <v>2006</v>
      </c>
      <c r="K33" t="n">
        <v>43.4767657286995</v>
      </c>
      <c r="L33" t="n">
        <v>0.4877399996473799</v>
      </c>
      <c r="M33" t="n">
        <v>0.02364852931434891</v>
      </c>
      <c r="N33" t="n">
        <v>-31.22</v>
      </c>
      <c r="O33" t="inlineStr"/>
      <c r="P33" t="n">
        <v>50.63231751238235</v>
      </c>
      <c r="Q33" t="inlineStr"/>
      <c r="R33" t="inlineStr"/>
      <c r="S33" t="n">
        <v>537</v>
      </c>
      <c r="T33" t="inlineStr">
        <is>
          <t>p22-537</t>
        </is>
      </c>
      <c r="U33" t="n">
        <v>-28.6321393767579</v>
      </c>
      <c r="V33" t="n">
        <v>-0.98</v>
      </c>
      <c r="W33" t="n">
        <v>20.9520411388737</v>
      </c>
      <c r="X33" t="inlineStr">
        <is>
          <t>Galeras</t>
        </is>
      </c>
      <c r="Y33" t="n">
        <v>1000</v>
      </c>
      <c r="Z33" t="n">
        <v>22</v>
      </c>
      <c r="AA33" t="inlineStr">
        <is>
          <t>Galeras</t>
        </is>
      </c>
      <c r="AB33" t="inlineStr">
        <is>
          <t>GAL_22</t>
        </is>
      </c>
      <c r="AC33" t="n">
        <v>537</v>
      </c>
      <c r="AD33" t="n">
        <v>1</v>
      </c>
      <c r="AE33" t="n">
        <v>1</v>
      </c>
      <c r="AF33" t="n">
        <v>0</v>
      </c>
      <c r="AG33" t="n">
        <v>0</v>
      </c>
      <c r="AH33" t="inlineStr">
        <is>
          <t>Lauraceae</t>
        </is>
      </c>
      <c r="AI33" t="inlineStr">
        <is>
          <t>Ocotea</t>
        </is>
      </c>
      <c r="AJ33" t="inlineStr">
        <is>
          <t>oblonga</t>
        </is>
      </c>
      <c r="AK33" s="2" t="n">
        <v>38823</v>
      </c>
      <c r="AL33" t="n">
        <v>14.38</v>
      </c>
      <c r="AM33" s="2" t="n">
        <v>40724</v>
      </c>
      <c r="AN33" t="inlineStr">
        <is>
          <t>17,11</t>
        </is>
      </c>
      <c r="AO33" t="inlineStr">
        <is>
          <t>14,8</t>
        </is>
      </c>
      <c r="AP33" t="inlineStr"/>
      <c r="AQ33" t="n">
        <v>2047</v>
      </c>
      <c r="AR33" t="n">
        <v>1</v>
      </c>
      <c r="AS33" t="inlineStr">
        <is>
          <t>Ο</t>
        </is>
      </c>
      <c r="AT33" t="inlineStr">
        <is>
          <t>Ø</t>
        </is>
      </c>
      <c r="AU33" t="n">
        <v>8957</v>
      </c>
      <c r="AV33" t="n">
        <v>1</v>
      </c>
      <c r="AW33" t="inlineStr"/>
      <c r="AX33" t="inlineStr"/>
      <c r="AY33" s="2" t="n">
        <v>45541</v>
      </c>
      <c r="AZ33" t="n">
        <v>19.35</v>
      </c>
      <c r="BA33" t="n">
        <v>12.5</v>
      </c>
      <c r="BB33" t="inlineStr"/>
      <c r="BC33" t="inlineStr"/>
      <c r="BD33" t="inlineStr">
        <is>
          <t>C</t>
        </is>
      </c>
      <c r="BE33" t="inlineStr"/>
      <c r="BF33" t="inlineStr"/>
      <c r="BG33" t="inlineStr"/>
      <c r="BH33" t="inlineStr"/>
      <c r="BI33" t="inlineStr"/>
      <c r="BJ33" t="n">
        <v>0.7</v>
      </c>
      <c r="BK33" t="inlineStr">
        <is>
          <t>1.9-3</t>
        </is>
      </c>
      <c r="BL33" t="n">
        <v>1.09</v>
      </c>
      <c r="BM33" t="n">
        <v>0.42</v>
      </c>
    </row>
    <row r="34">
      <c r="A34" s="1" t="n">
        <v>32</v>
      </c>
      <c r="B34" t="n">
        <v>329.4728132792927</v>
      </c>
      <c r="C34" t="n">
        <v>0.8622911180069949</v>
      </c>
      <c r="D34" t="n">
        <v>22</v>
      </c>
      <c r="E34" t="inlineStr"/>
      <c r="F34" t="inlineStr">
        <is>
          <t>p22-548</t>
        </is>
      </c>
      <c r="G34" t="inlineStr">
        <is>
          <t>548</t>
        </is>
      </c>
      <c r="H34" t="inlineStr">
        <is>
          <t>leaf pulverized</t>
        </is>
      </c>
      <c r="I34" t="inlineStr"/>
      <c r="J34" t="n">
        <v>2006</v>
      </c>
      <c r="K34" t="n">
        <v>47.9929624870333</v>
      </c>
      <c r="L34" t="n">
        <v>0.4546028314845653</v>
      </c>
      <c r="M34" t="n">
        <v>0.01382059850956835</v>
      </c>
      <c r="N34" t="n">
        <v>-32.55</v>
      </c>
      <c r="O34" t="inlineStr"/>
      <c r="P34" t="n">
        <v>32.88574170044208</v>
      </c>
      <c r="Q34" t="inlineStr"/>
      <c r="R34" t="inlineStr"/>
      <c r="S34" t="n">
        <v>548</v>
      </c>
      <c r="T34" t="inlineStr">
        <is>
          <t>p22-548</t>
        </is>
      </c>
      <c r="U34" t="n">
        <v>-30.2274375568906</v>
      </c>
      <c r="V34" t="n">
        <v>0.3</v>
      </c>
      <c r="W34" t="n">
        <v>22.63153073912433</v>
      </c>
      <c r="X34" t="inlineStr">
        <is>
          <t>Galeras</t>
        </is>
      </c>
      <c r="Y34" t="n">
        <v>1000</v>
      </c>
      <c r="Z34" t="n">
        <v>22</v>
      </c>
      <c r="AA34" t="inlineStr">
        <is>
          <t>Galeras</t>
        </is>
      </c>
      <c r="AB34" t="inlineStr">
        <is>
          <t>GAL_22</t>
        </is>
      </c>
      <c r="AC34" t="n">
        <v>548</v>
      </c>
      <c r="AD34" t="n">
        <v>1</v>
      </c>
      <c r="AE34" t="n">
        <v>1</v>
      </c>
      <c r="AF34" t="n">
        <v>0</v>
      </c>
      <c r="AG34" t="n">
        <v>0</v>
      </c>
      <c r="AH34" t="inlineStr">
        <is>
          <t>Sapotaceae</t>
        </is>
      </c>
      <c r="AI34" t="inlineStr">
        <is>
          <t>Chrysophyllum</t>
        </is>
      </c>
      <c r="AJ34" t="inlineStr">
        <is>
          <t>venezuelanense</t>
        </is>
      </c>
      <c r="AK34" s="2" t="n">
        <v>38823</v>
      </c>
      <c r="AL34" t="n">
        <v>10.15</v>
      </c>
      <c r="AM34" s="2" t="n">
        <v>40724</v>
      </c>
      <c r="AN34" t="inlineStr">
        <is>
          <t>10,33</t>
        </is>
      </c>
      <c r="AO34" t="inlineStr">
        <is>
          <t>15,0</t>
        </is>
      </c>
      <c r="AP34" t="inlineStr"/>
      <c r="AQ34" t="inlineStr">
        <is>
          <t>same as 3745</t>
        </is>
      </c>
      <c r="AR34" t="n">
        <v>1</v>
      </c>
      <c r="AS34" t="inlineStr"/>
      <c r="AT34" t="inlineStr"/>
      <c r="AU34" t="inlineStr"/>
      <c r="AV34" t="inlineStr"/>
      <c r="AW34" t="inlineStr"/>
      <c r="AX34" t="inlineStr"/>
      <c r="AY34" s="2" t="n">
        <v>45541</v>
      </c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NE</t>
        </is>
      </c>
      <c r="BI34" t="inlineStr"/>
      <c r="BJ34" t="inlineStr"/>
      <c r="BK34" t="inlineStr"/>
      <c r="BL34" t="inlineStr"/>
      <c r="BM34" t="inlineStr"/>
    </row>
    <row r="35">
      <c r="A35" s="1" t="n">
        <v>33</v>
      </c>
      <c r="B35" t="n">
        <v>308.2457915999158</v>
      </c>
      <c r="C35" t="n">
        <v>0.8067360873090523</v>
      </c>
      <c r="D35" t="n">
        <v>24</v>
      </c>
      <c r="E35" t="inlineStr"/>
      <c r="F35" t="inlineStr">
        <is>
          <t>p24-592</t>
        </is>
      </c>
      <c r="G35" t="inlineStr">
        <is>
          <t>592</t>
        </is>
      </c>
      <c r="H35" t="inlineStr">
        <is>
          <t>leaf pulverized</t>
        </is>
      </c>
      <c r="I35" t="inlineStr"/>
      <c r="J35" t="n">
        <v>2006</v>
      </c>
      <c r="K35" t="n">
        <v>43.4558903121359</v>
      </c>
      <c r="L35" t="n">
        <v>0.4726888591846104</v>
      </c>
      <c r="M35" t="n">
        <v>0.03436025577825637</v>
      </c>
      <c r="N35" t="n">
        <v>-31.74</v>
      </c>
      <c r="O35" t="inlineStr"/>
      <c r="P35" t="n">
        <v>46.15263025005262</v>
      </c>
      <c r="Q35" t="inlineStr"/>
      <c r="R35" t="inlineStr"/>
      <c r="S35" t="n">
        <v>592</v>
      </c>
      <c r="T35" t="inlineStr">
        <is>
          <t>p24-592</t>
        </is>
      </c>
      <c r="U35" t="n">
        <v>-29.0353282449297</v>
      </c>
      <c r="V35" t="n">
        <v>-0.22</v>
      </c>
      <c r="W35" t="n">
        <v>21.37598704535083</v>
      </c>
      <c r="X35" t="inlineStr">
        <is>
          <t>Galeras</t>
        </is>
      </c>
      <c r="Y35" t="n">
        <v>1000</v>
      </c>
      <c r="Z35" t="n">
        <v>24</v>
      </c>
      <c r="AA35" t="inlineStr">
        <is>
          <t>Galeras</t>
        </is>
      </c>
      <c r="AB35" t="inlineStr">
        <is>
          <t>GAL_24</t>
        </is>
      </c>
      <c r="AC35" t="n">
        <v>592</v>
      </c>
      <c r="AD35" t="n">
        <v>1</v>
      </c>
      <c r="AE35" t="n">
        <v>1</v>
      </c>
      <c r="AF35" t="n">
        <v>0</v>
      </c>
      <c r="AG35" t="n">
        <v>0</v>
      </c>
      <c r="AH35" t="inlineStr">
        <is>
          <t>Rubiaceae</t>
        </is>
      </c>
      <c r="AI35" t="inlineStr"/>
      <c r="AJ35" t="inlineStr"/>
      <c r="AK35" s="2" t="n">
        <v>38822</v>
      </c>
      <c r="AL35" t="n">
        <v>17.87</v>
      </c>
      <c r="AM35" s="2" t="n">
        <v>40724</v>
      </c>
      <c r="AN35" t="n">
        <v>20.39</v>
      </c>
      <c r="AO35" t="inlineStr">
        <is>
          <t>18,9</t>
        </is>
      </c>
      <c r="AP35" t="inlineStr"/>
      <c r="AQ35" t="n">
        <v>3686</v>
      </c>
      <c r="AR35" t="n">
        <v>1</v>
      </c>
      <c r="AS35" t="inlineStr">
        <is>
          <t>x</t>
        </is>
      </c>
      <c r="AT35" t="inlineStr">
        <is>
          <t>ø</t>
        </is>
      </c>
      <c r="AU35" t="n">
        <v>8656</v>
      </c>
      <c r="AV35" t="n">
        <v>1</v>
      </c>
      <c r="AW35" t="inlineStr"/>
      <c r="AX35" t="inlineStr"/>
      <c r="AY35" s="2" t="n">
        <v>45665</v>
      </c>
      <c r="AZ35" t="n">
        <v>24</v>
      </c>
      <c r="BA35" t="n">
        <v>15</v>
      </c>
      <c r="BB35" t="inlineStr"/>
      <c r="BC35" t="inlineStr"/>
      <c r="BD35" t="inlineStr">
        <is>
          <t>D</t>
        </is>
      </c>
      <c r="BE35" t="inlineStr"/>
      <c r="BF35" t="inlineStr"/>
      <c r="BG35" t="inlineStr"/>
      <c r="BH35" t="inlineStr">
        <is>
          <t>ID por dbh y genero</t>
        </is>
      </c>
      <c r="BI35" t="inlineStr"/>
      <c r="BJ35" t="inlineStr"/>
      <c r="BK35" t="inlineStr"/>
      <c r="BL35" t="inlineStr"/>
      <c r="BM35" t="inlineStr"/>
    </row>
    <row r="36">
      <c r="A36" s="1" t="n">
        <v>34</v>
      </c>
      <c r="B36" t="n">
        <v>337.1129905046776</v>
      </c>
      <c r="C36" t="n">
        <v>0.8822868709065341</v>
      </c>
      <c r="D36" t="n">
        <v>24</v>
      </c>
      <c r="E36" t="inlineStr"/>
      <c r="F36" t="inlineStr">
        <is>
          <t>p24-584</t>
        </is>
      </c>
      <c r="G36" t="inlineStr">
        <is>
          <t>584</t>
        </is>
      </c>
      <c r="H36" t="inlineStr">
        <is>
          <t>leaf pulverized</t>
        </is>
      </c>
      <c r="I36" t="inlineStr"/>
      <c r="J36" t="n">
        <v>2006</v>
      </c>
      <c r="K36" t="n">
        <v>43.7746904746501</v>
      </c>
      <c r="L36" t="n">
        <v>0.4583137739041457</v>
      </c>
      <c r="M36" t="n">
        <v>0.01440119444329544</v>
      </c>
      <c r="N36" t="n">
        <v>-32.36</v>
      </c>
      <c r="O36" t="inlineStr"/>
      <c r="P36" t="n">
        <v>28.11063093457648</v>
      </c>
      <c r="Q36" t="inlineStr"/>
      <c r="R36" t="inlineStr"/>
      <c r="S36" t="n">
        <v>584</v>
      </c>
      <c r="T36" t="inlineStr">
        <is>
          <t>p24-584</t>
        </is>
      </c>
      <c r="U36" t="n">
        <v>-30.6557937400044</v>
      </c>
      <c r="V36" t="n">
        <v>-0.85</v>
      </c>
      <c r="W36" t="n">
        <v>23.08343475465391</v>
      </c>
      <c r="X36" t="inlineStr">
        <is>
          <t>Galeras</t>
        </is>
      </c>
      <c r="Y36" t="n">
        <v>1000</v>
      </c>
      <c r="Z36" t="n">
        <v>24</v>
      </c>
      <c r="AA36" t="inlineStr">
        <is>
          <t>Galeras</t>
        </is>
      </c>
      <c r="AB36" t="inlineStr">
        <is>
          <t>GAL_24</t>
        </is>
      </c>
      <c r="AC36" t="n">
        <v>584</v>
      </c>
      <c r="AD36" t="n">
        <v>1</v>
      </c>
      <c r="AE36" t="n">
        <v>1</v>
      </c>
      <c r="AF36" t="n">
        <v>0</v>
      </c>
      <c r="AG36" t="n">
        <v>0</v>
      </c>
      <c r="AH36" t="inlineStr">
        <is>
          <t>Vochysiaceae</t>
        </is>
      </c>
      <c r="AI36" t="inlineStr"/>
      <c r="AJ36" t="inlineStr"/>
      <c r="AK36" s="2" t="n">
        <v>38822</v>
      </c>
      <c r="AL36" t="n">
        <v>12.78</v>
      </c>
      <c r="AM36" s="2" t="n">
        <v>40724</v>
      </c>
      <c r="AN36" t="n">
        <v>16.05</v>
      </c>
      <c r="AO36" t="inlineStr">
        <is>
          <t>14,6</t>
        </is>
      </c>
      <c r="AP36" t="inlineStr"/>
      <c r="AQ36" t="n">
        <v>2079</v>
      </c>
      <c r="AR36" t="n">
        <v>1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</row>
    <row r="37">
      <c r="A37" s="1" t="n">
        <v>35</v>
      </c>
      <c r="B37" t="n">
        <v>337.1129905046776</v>
      </c>
      <c r="C37" t="n">
        <v>0.8822868709065341</v>
      </c>
      <c r="D37" t="n">
        <v>24</v>
      </c>
      <c r="E37" t="inlineStr"/>
      <c r="F37" t="inlineStr">
        <is>
          <t>p24-584</t>
        </is>
      </c>
      <c r="G37" t="inlineStr">
        <is>
          <t>584</t>
        </is>
      </c>
      <c r="H37" t="inlineStr">
        <is>
          <t>leaf pulverized</t>
        </is>
      </c>
      <c r="I37" t="inlineStr"/>
      <c r="J37" t="n">
        <v>2006</v>
      </c>
      <c r="K37" t="n">
        <v>43.7746904746501</v>
      </c>
      <c r="L37" t="n">
        <v>0.4583137739041457</v>
      </c>
      <c r="M37" t="n">
        <v>0.01440119444329544</v>
      </c>
      <c r="N37" t="n">
        <v>-32.36</v>
      </c>
      <c r="O37" t="inlineStr"/>
      <c r="P37" t="n">
        <v>28.11063093457648</v>
      </c>
      <c r="Q37" t="inlineStr"/>
      <c r="R37" t="inlineStr"/>
      <c r="S37" t="n">
        <v>584</v>
      </c>
      <c r="T37" t="inlineStr">
        <is>
          <t>p24-584</t>
        </is>
      </c>
      <c r="U37" t="n">
        <v>-30.6557937400044</v>
      </c>
      <c r="V37" t="n">
        <v>-0.85</v>
      </c>
      <c r="W37" t="n">
        <v>23.08343475465391</v>
      </c>
      <c r="X37" t="inlineStr">
        <is>
          <t>Galeras</t>
        </is>
      </c>
      <c r="Y37" t="n">
        <v>1000</v>
      </c>
      <c r="Z37" t="n">
        <v>24</v>
      </c>
      <c r="AA37" t="inlineStr">
        <is>
          <t>Galeras</t>
        </is>
      </c>
      <c r="AB37" t="inlineStr">
        <is>
          <t>GAL_24</t>
        </is>
      </c>
      <c r="AC37" t="n">
        <v>584</v>
      </c>
      <c r="AD37" t="inlineStr"/>
      <c r="AE37" t="inlineStr"/>
      <c r="AF37" t="inlineStr"/>
      <c r="AG37" t="inlineStr"/>
      <c r="AH37" t="inlineStr">
        <is>
          <t>Vochysiaceae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ø</t>
        </is>
      </c>
      <c r="AU37" t="n">
        <v>8640</v>
      </c>
      <c r="AV37" t="n">
        <v>1</v>
      </c>
      <c r="AW37" t="inlineStr"/>
      <c r="AX37" t="inlineStr"/>
      <c r="AY37" s="2" t="n">
        <v>45665</v>
      </c>
      <c r="AZ37" t="n">
        <v>26</v>
      </c>
      <c r="BA37" t="n">
        <v>19</v>
      </c>
      <c r="BB37" t="inlineStr"/>
      <c r="BC37" t="inlineStr"/>
      <c r="BD37" t="inlineStr">
        <is>
          <t>B</t>
        </is>
      </c>
      <c r="BE37" t="inlineStr"/>
      <c r="BF37" t="inlineStr"/>
      <c r="BG37" t="n">
        <v>3</v>
      </c>
      <c r="BH37" t="inlineStr"/>
      <c r="BI37" t="inlineStr"/>
      <c r="BJ37" t="inlineStr"/>
      <c r="BK37" t="inlineStr"/>
      <c r="BL37" t="inlineStr"/>
      <c r="BM37" t="inlineStr"/>
    </row>
    <row r="38">
      <c r="A38" s="1" t="n">
        <v>36</v>
      </c>
      <c r="B38" t="n">
        <v>328.5287640240564</v>
      </c>
      <c r="C38" t="n">
        <v>0.8598203669922175</v>
      </c>
      <c r="D38" t="n">
        <v>22</v>
      </c>
      <c r="E38" t="inlineStr"/>
      <c r="F38" t="inlineStr">
        <is>
          <t>p22-535</t>
        </is>
      </c>
      <c r="G38" t="inlineStr">
        <is>
          <t>535</t>
        </is>
      </c>
      <c r="H38" t="inlineStr">
        <is>
          <t>leaf pulverized</t>
        </is>
      </c>
      <c r="I38" t="inlineStr"/>
      <c r="J38" t="n">
        <v>2006</v>
      </c>
      <c r="K38" t="n">
        <v>45.804659120635</v>
      </c>
      <c r="L38" t="n">
        <v>0.473618494870587</v>
      </c>
      <c r="M38" t="n">
        <v>0.02359741981000591</v>
      </c>
      <c r="N38" t="n">
        <v>-31.05</v>
      </c>
      <c r="O38" t="inlineStr"/>
      <c r="P38" t="n">
        <v>33.47577248496475</v>
      </c>
      <c r="Q38" t="inlineStr"/>
      <c r="R38" t="inlineStr"/>
      <c r="S38" t="n">
        <v>535</v>
      </c>
      <c r="T38" t="inlineStr">
        <is>
          <t>p22-535</t>
        </is>
      </c>
      <c r="U38" t="n">
        <v>-30.1744819622071</v>
      </c>
      <c r="V38" t="n">
        <v>2.76</v>
      </c>
      <c r="W38" t="n">
        <v>22.57569176619036</v>
      </c>
      <c r="X38" t="inlineStr">
        <is>
          <t>Galeras</t>
        </is>
      </c>
      <c r="Y38" t="n">
        <v>1000</v>
      </c>
      <c r="Z38" t="n">
        <v>22</v>
      </c>
      <c r="AA38" t="inlineStr">
        <is>
          <t>Galeras</t>
        </is>
      </c>
      <c r="AB38" t="inlineStr">
        <is>
          <t>GAL_22</t>
        </is>
      </c>
      <c r="AC38" t="n">
        <v>535</v>
      </c>
      <c r="AD38" t="n">
        <v>1</v>
      </c>
      <c r="AE38" t="n">
        <v>1</v>
      </c>
      <c r="AF38" t="n">
        <v>0</v>
      </c>
      <c r="AG38" t="n">
        <v>0</v>
      </c>
      <c r="AH38" t="inlineStr">
        <is>
          <t>Myristicaceae</t>
        </is>
      </c>
      <c r="AI38" t="inlineStr">
        <is>
          <t>Virola</t>
        </is>
      </c>
      <c r="AJ38" t="inlineStr">
        <is>
          <t>calophylla</t>
        </is>
      </c>
      <c r="AK38" s="2" t="n">
        <v>38823</v>
      </c>
      <c r="AL38" t="n">
        <v>17.26</v>
      </c>
      <c r="AM38" s="2" t="n">
        <v>40724</v>
      </c>
      <c r="AN38" t="inlineStr">
        <is>
          <t>20,7</t>
        </is>
      </c>
      <c r="AO38" t="inlineStr">
        <is>
          <t>19,7</t>
        </is>
      </c>
      <c r="AP38" t="inlineStr"/>
      <c r="AQ38" t="n">
        <v>2045</v>
      </c>
      <c r="AR38" t="n">
        <v>1</v>
      </c>
      <c r="AS38" t="inlineStr">
        <is>
          <t>Ο</t>
        </is>
      </c>
      <c r="AT38" t="inlineStr">
        <is>
          <t>Ø</t>
        </is>
      </c>
      <c r="AU38" t="n">
        <v>8955</v>
      </c>
      <c r="AV38" t="n">
        <v>1</v>
      </c>
      <c r="AW38" t="inlineStr"/>
      <c r="AX38" t="inlineStr"/>
      <c r="AY38" s="2" t="n">
        <v>45541</v>
      </c>
      <c r="AZ38" t="n">
        <v>28.35</v>
      </c>
      <c r="BA38" t="n">
        <v>18.2</v>
      </c>
      <c r="BB38" t="inlineStr"/>
      <c r="BC38" t="inlineStr"/>
      <c r="BD38" t="inlineStr">
        <is>
          <t>B</t>
        </is>
      </c>
      <c r="BE38" t="inlineStr"/>
      <c r="BF38" t="inlineStr"/>
      <c r="BG38" t="inlineStr"/>
      <c r="BH38" t="inlineStr"/>
      <c r="BI38" t="inlineStr"/>
      <c r="BJ38" t="n">
        <v>1.1</v>
      </c>
      <c r="BK38" t="n">
        <v>6.3</v>
      </c>
      <c r="BL38" t="n">
        <v>1.2</v>
      </c>
      <c r="BM38" t="n">
        <v>0.62</v>
      </c>
    </row>
    <row r="39">
      <c r="A39" s="1" t="n">
        <v>37</v>
      </c>
      <c r="B39" t="inlineStr"/>
      <c r="C39" t="inlineStr"/>
      <c r="D39" t="n">
        <v>23</v>
      </c>
      <c r="E39" t="inlineStr"/>
      <c r="F39" t="inlineStr"/>
      <c r="G39" t="inlineStr">
        <is>
          <t>565</t>
        </is>
      </c>
      <c r="H39" t="inlineStr"/>
      <c r="I39" t="inlineStr"/>
      <c r="J39" t="n">
        <v>2006</v>
      </c>
      <c r="K39" t="inlineStr"/>
      <c r="L39" t="n">
        <v>0.4535337885511843</v>
      </c>
      <c r="M39" t="n">
        <v>0.0202588111216678</v>
      </c>
      <c r="N39" t="n">
        <v>-33.00425606616213</v>
      </c>
      <c r="O39" t="inlineStr"/>
      <c r="P39" t="inlineStr"/>
      <c r="Q39" t="inlineStr"/>
      <c r="R39" t="inlineStr"/>
      <c r="S39" t="n">
        <v>565</v>
      </c>
      <c r="T39" t="inlineStr">
        <is>
          <t>p23-565</t>
        </is>
      </c>
      <c r="U39" t="inlineStr"/>
      <c r="V39" t="n">
        <v>0.2100976450315908</v>
      </c>
      <c r="W39" t="inlineStr"/>
      <c r="X39" t="inlineStr">
        <is>
          <t>Galeras</t>
        </is>
      </c>
      <c r="Y39" t="n">
        <v>1000</v>
      </c>
      <c r="Z39" t="n">
        <v>23</v>
      </c>
      <c r="AA39" t="inlineStr">
        <is>
          <t>Galeras</t>
        </is>
      </c>
      <c r="AB39" t="inlineStr">
        <is>
          <t>GAL_23</t>
        </is>
      </c>
      <c r="AC39" t="n">
        <v>565</v>
      </c>
      <c r="AD39" t="n">
        <v>1</v>
      </c>
      <c r="AE39" t="inlineStr"/>
      <c r="AF39" t="inlineStr"/>
      <c r="AG39" t="inlineStr"/>
      <c r="AH39" t="inlineStr">
        <is>
          <t>Meliaceae</t>
        </is>
      </c>
      <c r="AI39" t="inlineStr">
        <is>
          <t>Guarea</t>
        </is>
      </c>
      <c r="AJ39" t="inlineStr">
        <is>
          <t>pterorhachis</t>
        </is>
      </c>
      <c r="AK39" s="2" t="n">
        <v>38653</v>
      </c>
      <c r="AL39" t="n">
        <v>10.50422624406509</v>
      </c>
      <c r="AM39" t="inlineStr"/>
      <c r="AN39" t="inlineStr"/>
      <c r="AO39" t="inlineStr"/>
      <c r="AP39" t="inlineStr"/>
      <c r="AQ39" t="inlineStr"/>
      <c r="AR39" t="n">
        <v>1</v>
      </c>
      <c r="AS39" t="inlineStr"/>
      <c r="AT39" t="inlineStr"/>
      <c r="AU39" t="n">
        <v>8972</v>
      </c>
      <c r="AV39" t="n">
        <v>1</v>
      </c>
      <c r="AW39" t="inlineStr"/>
      <c r="AX39" t="inlineStr"/>
      <c r="AY39" s="2" t="n">
        <v>45541</v>
      </c>
      <c r="AZ39" t="n">
        <v>12.15</v>
      </c>
      <c r="BA39" t="n">
        <v>10.6</v>
      </c>
      <c r="BB39" t="inlineStr"/>
      <c r="BC39" t="inlineStr"/>
      <c r="BD39" t="inlineStr">
        <is>
          <t>A</t>
        </is>
      </c>
      <c r="BE39" t="inlineStr"/>
      <c r="BF39" t="inlineStr"/>
      <c r="BG39" t="inlineStr"/>
      <c r="BH39" t="inlineStr">
        <is>
          <t>Sin placa</t>
        </is>
      </c>
      <c r="BI39" t="inlineStr"/>
      <c r="BJ39" t="inlineStr"/>
      <c r="BK39" t="inlineStr"/>
      <c r="BL39" t="inlineStr"/>
      <c r="BM39" t="inlineStr"/>
    </row>
    <row r="40">
      <c r="A40" s="1" t="n">
        <v>38</v>
      </c>
      <c r="B40" t="inlineStr"/>
      <c r="C40" t="inlineStr"/>
      <c r="D40" t="n">
        <v>23</v>
      </c>
      <c r="E40" t="inlineStr"/>
      <c r="F40" t="inlineStr"/>
      <c r="G40" t="inlineStr">
        <is>
          <t>578</t>
        </is>
      </c>
      <c r="H40" t="inlineStr"/>
      <c r="I40" t="inlineStr"/>
      <c r="J40" t="n">
        <v>2006</v>
      </c>
      <c r="K40" t="inlineStr"/>
      <c r="L40" t="n">
        <v>0.4248811927036952</v>
      </c>
      <c r="M40" t="n">
        <v>0.02731250225924158</v>
      </c>
      <c r="N40" t="n">
        <v>-32.66523757509557</v>
      </c>
      <c r="O40" t="inlineStr"/>
      <c r="P40" t="inlineStr"/>
      <c r="Q40" t="inlineStr"/>
      <c r="R40" t="inlineStr"/>
      <c r="S40" t="n">
        <v>578</v>
      </c>
      <c r="T40" t="inlineStr">
        <is>
          <t>p23-578</t>
        </is>
      </c>
      <c r="U40" t="inlineStr"/>
      <c r="V40" t="n">
        <v>1.411476163124641</v>
      </c>
      <c r="W40" t="inlineStr"/>
      <c r="X40" t="inlineStr">
        <is>
          <t>Galeras</t>
        </is>
      </c>
      <c r="Y40" t="n">
        <v>1000</v>
      </c>
      <c r="Z40" t="n">
        <v>23</v>
      </c>
      <c r="AA40" t="inlineStr">
        <is>
          <t>Galeras</t>
        </is>
      </c>
      <c r="AB40" t="inlineStr">
        <is>
          <t>GAL_23</t>
        </is>
      </c>
      <c r="AC40" t="n">
        <v>578</v>
      </c>
      <c r="AD40" t="n">
        <v>1</v>
      </c>
      <c r="AE40" t="inlineStr"/>
      <c r="AF40" t="inlineStr"/>
      <c r="AG40" t="inlineStr"/>
      <c r="AH40" t="inlineStr">
        <is>
          <t>Fabaceae</t>
        </is>
      </c>
      <c r="AI40" t="inlineStr">
        <is>
          <t>Inga</t>
        </is>
      </c>
      <c r="AJ40" t="inlineStr">
        <is>
          <t>leiocalycina</t>
        </is>
      </c>
      <c r="AK40" s="2" t="n">
        <v>38653</v>
      </c>
      <c r="AL40" t="n">
        <v>12.09577567498405</v>
      </c>
      <c r="AM40" t="inlineStr"/>
      <c r="AN40" t="inlineStr"/>
      <c r="AO40" t="inlineStr"/>
      <c r="AP40" t="inlineStr"/>
      <c r="AQ40" t="inlineStr">
        <is>
          <t>2021</t>
        </is>
      </c>
      <c r="AR40" t="n">
        <v>1</v>
      </c>
      <c r="AS40" t="inlineStr"/>
      <c r="AT40" t="inlineStr"/>
      <c r="AU40" t="inlineStr"/>
      <c r="AV40" t="inlineStr"/>
      <c r="AW40" t="inlineStr"/>
      <c r="AX40" t="inlineStr"/>
      <c r="AY40" s="2" t="n">
        <v>45541</v>
      </c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NE</t>
        </is>
      </c>
      <c r="BI40" t="inlineStr"/>
      <c r="BJ40" t="inlineStr"/>
      <c r="BK40" t="inlineStr"/>
      <c r="BL40" t="inlineStr"/>
      <c r="BM40" t="inlineStr"/>
    </row>
    <row r="41">
      <c r="A41" s="1" t="n">
        <v>39</v>
      </c>
      <c r="B41" t="inlineStr"/>
      <c r="C41" t="inlineStr"/>
      <c r="D41" t="n">
        <v>23</v>
      </c>
      <c r="E41" t="inlineStr"/>
      <c r="F41" t="inlineStr"/>
      <c r="G41" t="inlineStr">
        <is>
          <t>566</t>
        </is>
      </c>
      <c r="H41" t="inlineStr"/>
      <c r="I41" t="inlineStr"/>
      <c r="J41" t="n">
        <v>2006</v>
      </c>
      <c r="K41" t="inlineStr"/>
      <c r="L41" t="n">
        <v>0.4456981416018225</v>
      </c>
      <c r="M41" t="n">
        <v>0.01886422637028332</v>
      </c>
      <c r="N41" t="n">
        <v>-32.39193745232646</v>
      </c>
      <c r="O41" t="inlineStr"/>
      <c r="P41" t="inlineStr"/>
      <c r="Q41" t="inlineStr"/>
      <c r="R41" t="inlineStr"/>
      <c r="S41" t="n">
        <v>566</v>
      </c>
      <c r="T41" t="inlineStr">
        <is>
          <t>p23-566</t>
        </is>
      </c>
      <c r="U41" t="inlineStr"/>
      <c r="V41" t="n">
        <v>-0.595567620927937</v>
      </c>
      <c r="W41" t="inlineStr"/>
      <c r="X41" t="inlineStr">
        <is>
          <t>Galeras</t>
        </is>
      </c>
      <c r="Y41" t="n">
        <v>1000</v>
      </c>
      <c r="Z41" t="n">
        <v>23</v>
      </c>
      <c r="AA41" t="inlineStr">
        <is>
          <t>Galeras</t>
        </is>
      </c>
      <c r="AB41" t="inlineStr">
        <is>
          <t>GAL_23</t>
        </is>
      </c>
      <c r="AC41" t="n">
        <v>566</v>
      </c>
      <c r="AD41" t="n">
        <v>1</v>
      </c>
      <c r="AE41" t="inlineStr"/>
      <c r="AF41" t="inlineStr"/>
      <c r="AG41" t="inlineStr"/>
      <c r="AH41" t="inlineStr">
        <is>
          <t>Rubiaceae</t>
        </is>
      </c>
      <c r="AI41" t="inlineStr">
        <is>
          <t>Posoqueria</t>
        </is>
      </c>
      <c r="AJ41" t="inlineStr">
        <is>
          <t>latifolia</t>
        </is>
      </c>
      <c r="AK41" s="2" t="n">
        <v>38653</v>
      </c>
      <c r="AL41" t="n">
        <v>14.32394487827058</v>
      </c>
      <c r="AM41" t="inlineStr"/>
      <c r="AN41" t="inlineStr"/>
      <c r="AO41" t="inlineStr"/>
      <c r="AP41" t="inlineStr"/>
      <c r="AQ41" t="inlineStr">
        <is>
          <t>2016</t>
        </is>
      </c>
      <c r="AR41" t="n">
        <v>1</v>
      </c>
      <c r="AS41" t="inlineStr"/>
      <c r="AT41" t="inlineStr"/>
      <c r="AU41" t="n">
        <v>8631</v>
      </c>
      <c r="AV41" t="n">
        <v>1</v>
      </c>
      <c r="AW41" t="inlineStr"/>
      <c r="AX41" t="inlineStr"/>
      <c r="AY41" s="2" t="n">
        <v>45541</v>
      </c>
      <c r="AZ41" t="n">
        <v>14.41</v>
      </c>
      <c r="BA41" t="n">
        <v>15</v>
      </c>
      <c r="BB41" t="inlineStr"/>
      <c r="BC41" t="inlineStr"/>
      <c r="BD41" t="inlineStr">
        <is>
          <t>D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</row>
    <row r="42">
      <c r="A42" s="1" t="n">
        <v>40</v>
      </c>
      <c r="B42" t="inlineStr"/>
      <c r="C42" t="inlineStr"/>
      <c r="D42" t="n">
        <v>29</v>
      </c>
      <c r="E42" t="inlineStr"/>
      <c r="F42" t="inlineStr"/>
      <c r="G42" t="inlineStr">
        <is>
          <t>792</t>
        </is>
      </c>
      <c r="H42" t="inlineStr"/>
      <c r="I42" t="inlineStr"/>
      <c r="J42" t="n">
        <v>2006</v>
      </c>
      <c r="K42" t="inlineStr"/>
      <c r="L42" t="n">
        <v>0.3854376664498773</v>
      </c>
      <c r="M42" t="n">
        <v>0.01799237158760353</v>
      </c>
      <c r="N42" t="n">
        <v>-33.11311721332316</v>
      </c>
      <c r="O42" t="inlineStr"/>
      <c r="P42" t="inlineStr"/>
      <c r="Q42" t="inlineStr"/>
      <c r="R42" t="inlineStr"/>
      <c r="S42" t="n">
        <v>792</v>
      </c>
      <c r="T42" t="inlineStr">
        <is>
          <t>p29-792</t>
        </is>
      </c>
      <c r="U42" t="inlineStr"/>
      <c r="V42" t="n">
        <v>1.274521224086871</v>
      </c>
      <c r="W42" t="inlineStr"/>
      <c r="X42" t="inlineStr">
        <is>
          <t>Galeras</t>
        </is>
      </c>
      <c r="Y42" t="n">
        <v>1000</v>
      </c>
      <c r="Z42" t="n">
        <v>29</v>
      </c>
      <c r="AA42" t="inlineStr">
        <is>
          <t>Galeras</t>
        </is>
      </c>
      <c r="AB42" t="inlineStr">
        <is>
          <t>GAL_29</t>
        </is>
      </c>
      <c r="AC42" t="n">
        <v>792</v>
      </c>
      <c r="AD42" t="n">
        <v>1</v>
      </c>
      <c r="AE42" t="inlineStr"/>
      <c r="AF42" t="inlineStr"/>
      <c r="AG42" t="inlineStr"/>
      <c r="AH42" t="inlineStr">
        <is>
          <t>Chrysobalanaceae</t>
        </is>
      </c>
      <c r="AI42" t="inlineStr">
        <is>
          <t>Hirtella</t>
        </is>
      </c>
      <c r="AJ42" t="inlineStr">
        <is>
          <t>cf. schultesii</t>
        </is>
      </c>
      <c r="AK42" s="2" t="n">
        <v>38823</v>
      </c>
      <c r="AL42" t="n">
        <v>11.14084601643267</v>
      </c>
      <c r="AM42" t="inlineStr"/>
      <c r="AN42" t="inlineStr"/>
      <c r="AO42" t="inlineStr"/>
      <c r="AP42" t="inlineStr"/>
      <c r="AQ42" t="inlineStr">
        <is>
          <t>3796,2501</t>
        </is>
      </c>
      <c r="AR42" t="n">
        <v>1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</row>
    <row r="43">
      <c r="A43" s="1" t="n">
        <v>41</v>
      </c>
      <c r="B43" t="n">
        <v>344.8480319983142</v>
      </c>
      <c r="C43" t="n">
        <v>0.9025309010921883</v>
      </c>
      <c r="D43" t="n">
        <v>50</v>
      </c>
      <c r="E43" t="inlineStr">
        <is>
          <t>plot 50</t>
        </is>
      </c>
      <c r="F43" t="inlineStr">
        <is>
          <t>jh-3621</t>
        </is>
      </c>
      <c r="G43" t="inlineStr"/>
      <c r="H43" t="inlineStr">
        <is>
          <t>leaf herbarium</t>
        </is>
      </c>
      <c r="I43" t="inlineStr"/>
      <c r="J43" t="n">
        <v>2006</v>
      </c>
      <c r="K43" t="n">
        <v>45.865248457426</v>
      </c>
      <c r="L43" t="inlineStr"/>
      <c r="M43" t="inlineStr"/>
      <c r="N43" t="inlineStr"/>
      <c r="O43" t="inlineStr">
        <is>
          <t>plot 50#1465</t>
        </is>
      </c>
      <c r="P43" t="n">
        <v>23.27623000105362</v>
      </c>
      <c r="Q43" t="inlineStr"/>
      <c r="R43" t="n">
        <v>3621</v>
      </c>
      <c r="S43" t="n">
        <v>1465</v>
      </c>
      <c r="T43" t="inlineStr"/>
      <c r="U43" t="n">
        <v>-31.0890832867233</v>
      </c>
      <c r="V43" t="inlineStr"/>
      <c r="W43" t="n">
        <v>23.5409498368497</v>
      </c>
      <c r="X43" t="inlineStr">
        <is>
          <t>Galeras</t>
        </is>
      </c>
      <c r="Y43" t="n">
        <v>1500</v>
      </c>
      <c r="Z43" t="n">
        <v>50</v>
      </c>
      <c r="AA43" t="inlineStr">
        <is>
          <t>Galeras</t>
        </is>
      </c>
      <c r="AB43" t="inlineStr">
        <is>
          <t>GAL_50</t>
        </is>
      </c>
      <c r="AC43" t="n">
        <v>1465</v>
      </c>
      <c r="AD43" t="n">
        <v>1</v>
      </c>
      <c r="AE43" t="inlineStr"/>
      <c r="AF43" t="inlineStr"/>
      <c r="AG43" t="inlineStr"/>
      <c r="AH43" t="inlineStr">
        <is>
          <t>Lauraceae</t>
        </is>
      </c>
      <c r="AI43" t="inlineStr">
        <is>
          <t>Persea</t>
        </is>
      </c>
      <c r="AJ43" t="inlineStr">
        <is>
          <t>aff. pseudofasciculata</t>
        </is>
      </c>
      <c r="AK43" s="2" t="n">
        <v>38873</v>
      </c>
      <c r="AL43" t="n">
        <v>12.73239544735163</v>
      </c>
      <c r="AM43" t="inlineStr"/>
      <c r="AN43" t="inlineStr"/>
      <c r="AO43" t="inlineStr"/>
      <c r="AP43" t="inlineStr"/>
      <c r="AQ43" t="inlineStr">
        <is>
          <t>3621</t>
        </is>
      </c>
      <c r="AR43" t="inlineStr"/>
      <c r="AS43" t="inlineStr">
        <is>
          <t>Ο</t>
        </is>
      </c>
      <c r="AT43" t="inlineStr">
        <is>
          <t>Ø</t>
        </is>
      </c>
      <c r="AU43" t="n">
        <v>8778</v>
      </c>
      <c r="AV43" t="n">
        <v>1</v>
      </c>
      <c r="AW43" t="inlineStr"/>
      <c r="AX43" t="inlineStr"/>
      <c r="AY43" s="2" t="n">
        <v>45539</v>
      </c>
      <c r="AZ43" t="n">
        <v>13.1</v>
      </c>
      <c r="BA43" t="n">
        <v>21.7</v>
      </c>
      <c r="BB43" t="inlineStr"/>
      <c r="BC43" t="inlineStr"/>
      <c r="BD43" t="inlineStr">
        <is>
          <t>A</t>
        </is>
      </c>
      <c r="BE43" t="inlineStr"/>
      <c r="BF43" t="inlineStr"/>
      <c r="BG43" t="inlineStr"/>
      <c r="BH43" t="inlineStr"/>
      <c r="BI43" t="inlineStr"/>
      <c r="BJ43" t="n">
        <v>0.5</v>
      </c>
      <c r="BK43" t="n">
        <v>5.1</v>
      </c>
      <c r="BL43" t="n">
        <v>1.13</v>
      </c>
      <c r="BM43" t="n">
        <v>0.5</v>
      </c>
    </row>
    <row r="44">
      <c r="A44" s="1" t="n">
        <v>42</v>
      </c>
      <c r="B44" t="n">
        <v>331.7438217482094</v>
      </c>
      <c r="C44" t="n">
        <v>0.8682347660190254</v>
      </c>
      <c r="D44" t="n">
        <v>60</v>
      </c>
      <c r="E44" t="inlineStr">
        <is>
          <t>plot 60</t>
        </is>
      </c>
      <c r="F44" t="inlineStr">
        <is>
          <t>jh-3657</t>
        </is>
      </c>
      <c r="G44" t="inlineStr"/>
      <c r="H44" t="inlineStr">
        <is>
          <t>leaf herbarium</t>
        </is>
      </c>
      <c r="I44" t="inlineStr"/>
      <c r="J44" t="n">
        <v>2006</v>
      </c>
      <c r="K44" t="n">
        <v>47.2527444857905</v>
      </c>
      <c r="L44" t="inlineStr"/>
      <c r="M44" t="inlineStr"/>
      <c r="N44" t="inlineStr"/>
      <c r="O44" t="inlineStr">
        <is>
          <t>plot 60#1813</t>
        </is>
      </c>
      <c r="P44" t="n">
        <v>31.46636140736912</v>
      </c>
      <c r="Q44" t="inlineStr"/>
      <c r="R44" t="n">
        <v>3657</v>
      </c>
      <c r="S44" t="n">
        <v>1813</v>
      </c>
      <c r="T44" t="inlineStr"/>
      <c r="U44" t="n">
        <v>-30.3548040503321</v>
      </c>
      <c r="V44" t="inlineStr"/>
      <c r="W44" t="n">
        <v>22.76585718419622</v>
      </c>
      <c r="X44" t="inlineStr">
        <is>
          <t>Galeras</t>
        </is>
      </c>
      <c r="Y44" t="n">
        <v>1500</v>
      </c>
      <c r="Z44" t="n">
        <v>60</v>
      </c>
      <c r="AA44" t="inlineStr">
        <is>
          <t>Galeras</t>
        </is>
      </c>
      <c r="AB44" t="inlineStr">
        <is>
          <t>GAL_60</t>
        </is>
      </c>
      <c r="AC44" t="n">
        <v>1813</v>
      </c>
      <c r="AD44" t="n">
        <v>1</v>
      </c>
      <c r="AE44" t="n">
        <v>1</v>
      </c>
      <c r="AF44" t="n">
        <v>0</v>
      </c>
      <c r="AG44" t="n">
        <v>0</v>
      </c>
      <c r="AH44" t="inlineStr">
        <is>
          <t>Lauraceae</t>
        </is>
      </c>
      <c r="AI44" t="inlineStr">
        <is>
          <t>Ocotea</t>
        </is>
      </c>
      <c r="AJ44" t="inlineStr"/>
      <c r="AK44" s="2" t="n">
        <v>39176</v>
      </c>
      <c r="AL44" t="n">
        <v>28.98</v>
      </c>
      <c r="AM44" s="2" t="n">
        <v>40724</v>
      </c>
      <c r="AN44" t="n">
        <v>29.59</v>
      </c>
      <c r="AO44" t="n">
        <v>18.5</v>
      </c>
      <c r="AP44" t="inlineStr"/>
      <c r="AQ44" t="n">
        <v>3657</v>
      </c>
      <c r="AR44" t="inlineStr"/>
      <c r="AS44" t="inlineStr">
        <is>
          <t>Ο</t>
        </is>
      </c>
      <c r="AT44" t="inlineStr">
        <is>
          <t>Ø</t>
        </is>
      </c>
      <c r="AU44" t="n">
        <v>8763</v>
      </c>
      <c r="AV44" t="n">
        <v>1</v>
      </c>
      <c r="AW44" t="inlineStr"/>
      <c r="AX44" t="inlineStr"/>
      <c r="AY44" s="2" t="n">
        <v>45539</v>
      </c>
      <c r="AZ44" t="n">
        <v>30.42</v>
      </c>
      <c r="BA44" t="n">
        <v>17.6</v>
      </c>
      <c r="BB44" t="inlineStr"/>
      <c r="BC44" t="inlineStr"/>
      <c r="BD44" t="inlineStr">
        <is>
          <t>C</t>
        </is>
      </c>
      <c r="BE44" t="inlineStr"/>
      <c r="BF44" t="inlineStr"/>
      <c r="BG44" t="inlineStr"/>
      <c r="BH44" t="inlineStr">
        <is>
          <t>Con dendrometro</t>
        </is>
      </c>
      <c r="BI44" t="inlineStr"/>
      <c r="BJ44" t="n">
        <v>1.1</v>
      </c>
      <c r="BK44" t="n">
        <v>6</v>
      </c>
      <c r="BL44" t="n">
        <v>1.19</v>
      </c>
      <c r="BM44" t="n">
        <v>0.57</v>
      </c>
    </row>
    <row r="45">
      <c r="A45" s="1" t="n">
        <v>43</v>
      </c>
      <c r="B45" t="n">
        <v>329.8851433434103</v>
      </c>
      <c r="C45" t="n">
        <v>0.8633702618320562</v>
      </c>
      <c r="D45" t="n">
        <v>24</v>
      </c>
      <c r="E45" t="inlineStr">
        <is>
          <t xml:space="preserve">plot 24 </t>
        </is>
      </c>
      <c r="F45" t="inlineStr">
        <is>
          <t>jh-2070</t>
        </is>
      </c>
      <c r="G45" t="inlineStr"/>
      <c r="H45" t="inlineStr">
        <is>
          <t>leaf herbarium</t>
        </is>
      </c>
      <c r="I45" t="inlineStr"/>
      <c r="J45" t="n">
        <v>2006</v>
      </c>
      <c r="K45" t="n">
        <v>45.3839858150379</v>
      </c>
      <c r="L45" t="inlineStr"/>
      <c r="M45" t="inlineStr"/>
      <c r="N45" t="inlineStr"/>
      <c r="O45" t="inlineStr">
        <is>
          <t>plot 24 # 596, fruits</t>
        </is>
      </c>
      <c r="P45" t="n">
        <v>32.62803541036852</v>
      </c>
      <c r="Q45" t="inlineStr"/>
      <c r="R45" t="n">
        <v>2070</v>
      </c>
      <c r="S45" t="n">
        <v>596</v>
      </c>
      <c r="T45" t="inlineStr"/>
      <c r="U45" t="n">
        <v>-30.2505650268338</v>
      </c>
      <c r="V45" t="inlineStr"/>
      <c r="W45" t="n">
        <v>22.65591938957072</v>
      </c>
      <c r="X45" t="inlineStr">
        <is>
          <t>Galeras</t>
        </is>
      </c>
      <c r="Y45" t="n">
        <v>1000</v>
      </c>
      <c r="Z45" t="n">
        <v>24</v>
      </c>
      <c r="AA45" t="inlineStr">
        <is>
          <t>Galeras</t>
        </is>
      </c>
      <c r="AB45" t="inlineStr">
        <is>
          <t>GAL_24</t>
        </is>
      </c>
      <c r="AC45" t="n">
        <v>596</v>
      </c>
      <c r="AD45" t="n">
        <v>1</v>
      </c>
      <c r="AE45" t="n">
        <v>0</v>
      </c>
      <c r="AF45" t="n">
        <v>0</v>
      </c>
      <c r="AG45" t="n">
        <v>1</v>
      </c>
      <c r="AH45" t="inlineStr">
        <is>
          <t>Lacistemataceae</t>
        </is>
      </c>
      <c r="AI45" t="inlineStr">
        <is>
          <t>Lacistema</t>
        </is>
      </c>
      <c r="AJ45" t="inlineStr"/>
      <c r="AK45" s="2" t="n">
        <v>38822</v>
      </c>
      <c r="AL45" t="n">
        <v>10.58</v>
      </c>
      <c r="AM45" s="2" t="n">
        <v>40724</v>
      </c>
      <c r="AN45" t="inlineStr"/>
      <c r="AO45" t="inlineStr"/>
      <c r="AP45" t="inlineStr">
        <is>
          <t>muerto</t>
        </is>
      </c>
      <c r="AQ45" t="n">
        <v>2070</v>
      </c>
      <c r="AR45" t="n">
        <v>1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</row>
    <row r="46">
      <c r="A46" s="1" t="n">
        <v>44</v>
      </c>
      <c r="B46" t="n">
        <v>369.8012393715846</v>
      </c>
      <c r="C46" t="n">
        <v>0.9678380469826078</v>
      </c>
      <c r="D46" t="n">
        <v>22</v>
      </c>
      <c r="E46" t="inlineStr">
        <is>
          <t xml:space="preserve">plot 22 </t>
        </is>
      </c>
      <c r="F46" t="inlineStr">
        <is>
          <t>jh-2053</t>
        </is>
      </c>
      <c r="G46" t="inlineStr"/>
      <c r="H46" t="inlineStr">
        <is>
          <t>leaf herbarium</t>
        </is>
      </c>
      <c r="I46" t="inlineStr"/>
      <c r="J46" t="n">
        <v>2006</v>
      </c>
      <c r="K46" t="n">
        <v>42.7164489294743</v>
      </c>
      <c r="L46" t="inlineStr"/>
      <c r="M46" t="inlineStr"/>
      <c r="N46" t="inlineStr"/>
      <c r="O46" t="inlineStr">
        <is>
          <t>plot 22 #541</t>
        </is>
      </c>
      <c r="P46" t="n">
        <v>7.68047539275962</v>
      </c>
      <c r="Q46" t="inlineStr"/>
      <c r="R46" t="n">
        <v>2053</v>
      </c>
      <c r="S46" t="n">
        <v>541</v>
      </c>
      <c r="T46" t="inlineStr"/>
      <c r="U46" t="n">
        <v>-32.4842367140312</v>
      </c>
      <c r="V46" t="inlineStr"/>
      <c r="W46" t="n">
        <v>25.01689133397318</v>
      </c>
      <c r="X46" t="inlineStr">
        <is>
          <t>Galeras</t>
        </is>
      </c>
      <c r="Y46" t="n">
        <v>1000</v>
      </c>
      <c r="Z46" t="n">
        <v>22</v>
      </c>
      <c r="AA46" t="inlineStr">
        <is>
          <t>Galeras</t>
        </is>
      </c>
      <c r="AB46" t="inlineStr">
        <is>
          <t>GAL_22</t>
        </is>
      </c>
      <c r="AC46" t="n">
        <v>541</v>
      </c>
      <c r="AD46" t="n">
        <v>1</v>
      </c>
      <c r="AE46" t="n">
        <v>1</v>
      </c>
      <c r="AF46" t="n">
        <v>0</v>
      </c>
      <c r="AG46" t="n">
        <v>0</v>
      </c>
      <c r="AH46" t="inlineStr">
        <is>
          <t>Meliaceae</t>
        </is>
      </c>
      <c r="AI46" t="inlineStr">
        <is>
          <t>Guarea</t>
        </is>
      </c>
      <c r="AJ46" t="inlineStr">
        <is>
          <t>silvatica</t>
        </is>
      </c>
      <c r="AK46" s="2" t="n">
        <v>38823</v>
      </c>
      <c r="AL46" t="n">
        <v>12.46</v>
      </c>
      <c r="AM46" s="2" t="n">
        <v>40724</v>
      </c>
      <c r="AN46" t="inlineStr">
        <is>
          <t>12,68</t>
        </is>
      </c>
      <c r="AO46" t="inlineStr">
        <is>
          <t>15,0</t>
        </is>
      </c>
      <c r="AP46" t="inlineStr"/>
      <c r="AQ46" t="n">
        <v>2053</v>
      </c>
      <c r="AR46" t="n">
        <v>1</v>
      </c>
      <c r="AS46" t="inlineStr"/>
      <c r="AT46" t="inlineStr"/>
      <c r="AU46" t="inlineStr"/>
      <c r="AV46" t="inlineStr"/>
      <c r="AW46" t="inlineStr"/>
      <c r="AX46" t="inlineStr"/>
      <c r="AY46" s="2" t="n">
        <v>45541</v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NE</t>
        </is>
      </c>
      <c r="BI46" t="inlineStr"/>
      <c r="BJ46" t="inlineStr"/>
      <c r="BK46" t="inlineStr"/>
      <c r="BL46" t="inlineStr"/>
      <c r="BM46" t="inlineStr"/>
    </row>
    <row r="47">
      <c r="A47" s="1" t="n">
        <v>45</v>
      </c>
      <c r="B47" t="n">
        <v>312.8393406333384</v>
      </c>
      <c r="C47" t="n">
        <v>0.8187582523314885</v>
      </c>
      <c r="D47" t="n">
        <v>28</v>
      </c>
      <c r="E47" t="inlineStr">
        <is>
          <t>plot 28</t>
        </is>
      </c>
      <c r="F47" t="inlineStr">
        <is>
          <t>jh-3600</t>
        </is>
      </c>
      <c r="G47" t="inlineStr"/>
      <c r="H47" t="inlineStr">
        <is>
          <t>leaf herbarium</t>
        </is>
      </c>
      <c r="I47" t="inlineStr"/>
      <c r="J47" t="n">
        <v>2006</v>
      </c>
      <c r="K47" t="n">
        <v>53.8557358764967</v>
      </c>
      <c r="L47" t="inlineStr"/>
      <c r="M47" t="inlineStr"/>
      <c r="N47" t="inlineStr"/>
      <c r="O47" t="inlineStr">
        <is>
          <t>plot 28#724</t>
        </is>
      </c>
      <c r="P47" t="n">
        <v>43.28166210416348</v>
      </c>
      <c r="Q47" t="inlineStr"/>
      <c r="R47" t="n">
        <v>3600</v>
      </c>
      <c r="S47" t="n">
        <v>724</v>
      </c>
      <c r="T47" t="inlineStr"/>
      <c r="U47" t="n">
        <v>-29.2935503374764</v>
      </c>
      <c r="V47" t="inlineStr"/>
      <c r="W47" t="n">
        <v>21.64768797485788</v>
      </c>
      <c r="X47" t="inlineStr">
        <is>
          <t>Galeras</t>
        </is>
      </c>
      <c r="Y47" t="n">
        <v>2000</v>
      </c>
      <c r="Z47" t="n">
        <v>28</v>
      </c>
      <c r="AA47" t="inlineStr">
        <is>
          <t>Galeras</t>
        </is>
      </c>
      <c r="AB47" t="inlineStr">
        <is>
          <t>GAL_28</t>
        </is>
      </c>
      <c r="AC47" t="n">
        <v>724</v>
      </c>
      <c r="AD47" t="n">
        <v>1</v>
      </c>
      <c r="AE47" t="inlineStr"/>
      <c r="AF47" t="inlineStr"/>
      <c r="AG47" t="inlineStr"/>
      <c r="AH47" t="inlineStr">
        <is>
          <t>Olacaceae</t>
        </is>
      </c>
      <c r="AI47" t="inlineStr"/>
      <c r="AJ47" t="inlineStr"/>
      <c r="AK47" s="2" t="n">
        <v>38821</v>
      </c>
      <c r="AL47" t="n">
        <v>14.64225476445437</v>
      </c>
      <c r="AM47" t="inlineStr"/>
      <c r="AN47" t="inlineStr"/>
      <c r="AO47" t="inlineStr"/>
      <c r="AP47" t="inlineStr"/>
      <c r="AQ47" t="inlineStr">
        <is>
          <t>3600</t>
        </is>
      </c>
      <c r="AR47" t="inlineStr"/>
      <c r="AS47" t="inlineStr"/>
      <c r="AT47" t="inlineStr"/>
      <c r="AU47" t="inlineStr"/>
      <c r="AV47" t="inlineStr"/>
      <c r="AW47" t="inlineStr"/>
      <c r="AX47" t="inlineStr"/>
      <c r="AY47" s="2" t="n">
        <v>45538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>
        <is>
          <t>NE</t>
        </is>
      </c>
      <c r="BI47" t="inlineStr"/>
      <c r="BJ47" t="inlineStr"/>
      <c r="BK47" t="inlineStr"/>
      <c r="BL47" t="inlineStr"/>
      <c r="BM47" t="inlineStr"/>
    </row>
    <row r="48">
      <c r="A48" s="1" t="n">
        <v>46</v>
      </c>
      <c r="B48" t="n">
        <v>336.1525589715948</v>
      </c>
      <c r="C48" t="n">
        <v>0.8797732444491999</v>
      </c>
      <c r="D48" t="n">
        <v>23</v>
      </c>
      <c r="E48" t="inlineStr">
        <is>
          <t xml:space="preserve">plot 23 </t>
        </is>
      </c>
      <c r="F48" t="inlineStr">
        <is>
          <t>jh-2034</t>
        </is>
      </c>
      <c r="G48" t="inlineStr"/>
      <c r="H48" t="inlineStr">
        <is>
          <t>leaf herbarium</t>
        </is>
      </c>
      <c r="I48" t="inlineStr"/>
      <c r="J48" t="n">
        <v>2006</v>
      </c>
      <c r="K48" t="n">
        <v>42.9464182290098</v>
      </c>
      <c r="L48" t="inlineStr"/>
      <c r="M48" t="inlineStr"/>
      <c r="N48" t="inlineStr"/>
      <c r="O48" t="inlineStr">
        <is>
          <t>plot 23 #570, white latex</t>
        </is>
      </c>
      <c r="P48" t="n">
        <v>28.71090064275325</v>
      </c>
      <c r="Q48" t="inlineStr"/>
      <c r="R48" t="n">
        <v>2034</v>
      </c>
      <c r="S48" t="n">
        <v>570</v>
      </c>
      <c r="T48" t="inlineStr"/>
      <c r="U48" t="n">
        <v>-30.6019667295903</v>
      </c>
      <c r="V48" t="inlineStr"/>
      <c r="W48" t="n">
        <v>23.02662679671816</v>
      </c>
      <c r="X48" t="inlineStr">
        <is>
          <t>Galeras</t>
        </is>
      </c>
      <c r="Y48" t="n">
        <v>1000</v>
      </c>
      <c r="Z48" t="n">
        <v>23</v>
      </c>
      <c r="AA48" t="inlineStr">
        <is>
          <t>Galeras</t>
        </is>
      </c>
      <c r="AB48" t="inlineStr">
        <is>
          <t>GAL_23</t>
        </is>
      </c>
      <c r="AC48" t="n">
        <v>570</v>
      </c>
      <c r="AD48" t="n">
        <v>1</v>
      </c>
      <c r="AE48" t="inlineStr"/>
      <c r="AF48" t="inlineStr"/>
      <c r="AG48" t="inlineStr"/>
      <c r="AH48" t="inlineStr">
        <is>
          <t>Moraceae</t>
        </is>
      </c>
      <c r="AI48" t="inlineStr">
        <is>
          <t>Sorocea</t>
        </is>
      </c>
      <c r="AJ48" t="inlineStr">
        <is>
          <t>trophoides</t>
        </is>
      </c>
      <c r="AK48" s="2" t="n">
        <v>38653</v>
      </c>
      <c r="AL48" t="n">
        <v>10.1859163578813</v>
      </c>
      <c r="AM48" t="inlineStr"/>
      <c r="AN48" t="inlineStr"/>
      <c r="AO48" t="inlineStr"/>
      <c r="AP48" t="inlineStr"/>
      <c r="AQ48" t="inlineStr">
        <is>
          <t>2034</t>
        </is>
      </c>
      <c r="AR48" t="inlineStr"/>
      <c r="AS48" t="inlineStr">
        <is>
          <t>Ο</t>
        </is>
      </c>
      <c r="AT48" t="inlineStr">
        <is>
          <t>Ø</t>
        </is>
      </c>
      <c r="AU48" t="n">
        <v>8980</v>
      </c>
      <c r="AV48" t="n">
        <v>1</v>
      </c>
      <c r="AW48" t="inlineStr"/>
      <c r="AX48" t="inlineStr"/>
      <c r="AY48" s="2" t="n">
        <v>45541</v>
      </c>
      <c r="AZ48" t="n">
        <v>13.5</v>
      </c>
      <c r="BA48" t="n">
        <v>10.9</v>
      </c>
      <c r="BB48" t="inlineStr"/>
      <c r="BC48" t="inlineStr"/>
      <c r="BD48" t="inlineStr">
        <is>
          <t>A</t>
        </is>
      </c>
      <c r="BE48" t="inlineStr"/>
      <c r="BF48" t="inlineStr"/>
      <c r="BG48" t="inlineStr"/>
      <c r="BH48" t="inlineStr"/>
      <c r="BI48" t="inlineStr"/>
      <c r="BJ48" t="n">
        <v>0.5</v>
      </c>
      <c r="BK48" t="n">
        <v>6.4</v>
      </c>
      <c r="BL48" t="n">
        <v>1.66</v>
      </c>
      <c r="BM48" t="n">
        <v>0.9399999999999999</v>
      </c>
    </row>
    <row r="49">
      <c r="A49" s="1" t="n">
        <v>47</v>
      </c>
      <c r="B49" t="n">
        <v>284.774546956808</v>
      </c>
      <c r="C49" t="n">
        <v>0.7453075112062814</v>
      </c>
      <c r="D49" t="n">
        <v>50</v>
      </c>
      <c r="E49" t="inlineStr">
        <is>
          <t>plot 50</t>
        </is>
      </c>
      <c r="F49" t="inlineStr">
        <is>
          <t>jh-3620</t>
        </is>
      </c>
      <c r="G49" t="inlineStr"/>
      <c r="H49" t="inlineStr">
        <is>
          <t>leaf herbarium</t>
        </is>
      </c>
      <c r="I49" t="inlineStr"/>
      <c r="J49" t="n">
        <v>2006</v>
      </c>
      <c r="K49" t="n">
        <v>46.8515023190462</v>
      </c>
      <c r="L49" t="inlineStr"/>
      <c r="M49" t="inlineStr"/>
      <c r="N49" t="inlineStr"/>
      <c r="O49" t="inlineStr">
        <is>
          <t>plot 50#1486, fruits</t>
        </is>
      </c>
      <c r="P49" t="n">
        <v>60.82215815199497</v>
      </c>
      <c r="Q49" t="inlineStr"/>
      <c r="R49" t="n">
        <v>3620</v>
      </c>
      <c r="S49" t="n">
        <v>1486</v>
      </c>
      <c r="T49" t="inlineStr"/>
      <c r="U49" t="n">
        <v>-27.7137667360763</v>
      </c>
      <c r="V49" t="inlineStr"/>
      <c r="W49" t="n">
        <v>19.9877012254282</v>
      </c>
      <c r="X49" t="inlineStr">
        <is>
          <t>Galeras</t>
        </is>
      </c>
      <c r="Y49" t="n">
        <v>1500</v>
      </c>
      <c r="Z49" t="n">
        <v>50</v>
      </c>
      <c r="AA49" t="inlineStr">
        <is>
          <t>Galeras</t>
        </is>
      </c>
      <c r="AB49" t="inlineStr">
        <is>
          <t>GAL_50</t>
        </is>
      </c>
      <c r="AC49" t="n">
        <v>1486</v>
      </c>
      <c r="AD49" t="n">
        <v>1</v>
      </c>
      <c r="AE49" t="inlineStr"/>
      <c r="AF49" t="inlineStr"/>
      <c r="AG49" t="inlineStr"/>
      <c r="AH49" t="inlineStr">
        <is>
          <t>Lauraceae</t>
        </is>
      </c>
      <c r="AI49" t="inlineStr">
        <is>
          <t>Ocotea</t>
        </is>
      </c>
      <c r="AJ49" t="inlineStr">
        <is>
          <t xml:space="preserve"> cf. longifolia</t>
        </is>
      </c>
      <c r="AK49" s="2" t="n">
        <v>38873</v>
      </c>
      <c r="AL49" t="n">
        <v>35.01408748021697</v>
      </c>
      <c r="AM49" t="inlineStr"/>
      <c r="AN49" t="inlineStr"/>
      <c r="AO49" t="inlineStr"/>
      <c r="AP49" t="inlineStr"/>
      <c r="AQ49" t="inlineStr">
        <is>
          <t>3620</t>
        </is>
      </c>
      <c r="AR49" t="inlineStr"/>
      <c r="AS49" t="inlineStr">
        <is>
          <t>Ο</t>
        </is>
      </c>
      <c r="AT49" t="inlineStr">
        <is>
          <t>Ø</t>
        </is>
      </c>
      <c r="AU49" t="n">
        <v>8615</v>
      </c>
      <c r="AV49" t="n">
        <v>1</v>
      </c>
      <c r="AW49" t="inlineStr"/>
      <c r="AX49" t="inlineStr"/>
      <c r="AY49" s="2" t="n">
        <v>45540</v>
      </c>
      <c r="AZ49" t="n">
        <v>38.5</v>
      </c>
      <c r="BA49" t="n">
        <v>22</v>
      </c>
      <c r="BB49" t="inlineStr"/>
      <c r="BC49" t="inlineStr"/>
      <c r="BD49" t="inlineStr">
        <is>
          <t>C</t>
        </is>
      </c>
      <c r="BE49" t="inlineStr"/>
      <c r="BF49" t="inlineStr">
        <is>
          <t>JH6788</t>
        </is>
      </c>
      <c r="BG49" t="inlineStr"/>
      <c r="BH49" t="inlineStr"/>
      <c r="BI49" t="inlineStr">
        <is>
          <t>flores</t>
        </is>
      </c>
      <c r="BJ49" t="n">
        <v>1.3</v>
      </c>
      <c r="BK49" t="n">
        <v>3.3</v>
      </c>
      <c r="BL49" t="n">
        <v>0.73</v>
      </c>
      <c r="BM49" t="n">
        <v>0.43</v>
      </c>
    </row>
    <row r="50">
      <c r="A50" s="1" t="n">
        <v>48</v>
      </c>
      <c r="B50" t="n">
        <v>350.3978827013689</v>
      </c>
      <c r="C50" t="n">
        <v>0.9170558839576251</v>
      </c>
      <c r="D50" t="n">
        <v>48</v>
      </c>
      <c r="E50" t="inlineStr">
        <is>
          <t>plot 48</t>
        </is>
      </c>
      <c r="F50" t="inlineStr">
        <is>
          <t>jh-3710</t>
        </is>
      </c>
      <c r="G50" t="inlineStr"/>
      <c r="H50" t="inlineStr">
        <is>
          <t>leaf herbarium</t>
        </is>
      </c>
      <c r="I50" t="inlineStr"/>
      <c r="J50" t="n">
        <v>2006</v>
      </c>
      <c r="K50" t="n">
        <v>45.3228924257647</v>
      </c>
      <c r="L50" t="inlineStr"/>
      <c r="M50" t="inlineStr"/>
      <c r="N50" t="inlineStr"/>
      <c r="O50" t="inlineStr">
        <is>
          <t>plot 48#1414</t>
        </is>
      </c>
      <c r="P50" t="n">
        <v>19.8075733116444</v>
      </c>
      <c r="Q50" t="inlineStr"/>
      <c r="R50" t="n">
        <v>3710</v>
      </c>
      <c r="S50" t="n">
        <v>1414</v>
      </c>
      <c r="T50" t="inlineStr"/>
      <c r="U50" t="n">
        <v>-31.3997276174484</v>
      </c>
      <c r="V50" t="inlineStr"/>
      <c r="W50" t="n">
        <v>23.86921444960857</v>
      </c>
      <c r="X50" t="inlineStr">
        <is>
          <t>Galeras</t>
        </is>
      </c>
      <c r="Y50" t="n">
        <v>1000</v>
      </c>
      <c r="Z50" t="n">
        <v>48</v>
      </c>
      <c r="AA50" t="inlineStr">
        <is>
          <t>Galeras</t>
        </is>
      </c>
      <c r="AB50" t="inlineStr">
        <is>
          <t>GAL_48</t>
        </is>
      </c>
      <c r="AC50" t="n">
        <v>1414</v>
      </c>
      <c r="AD50" t="n">
        <v>1</v>
      </c>
      <c r="AE50" t="inlineStr"/>
      <c r="AF50" t="inlineStr"/>
      <c r="AG50" t="inlineStr"/>
      <c r="AH50" t="inlineStr">
        <is>
          <t>Moraceae</t>
        </is>
      </c>
      <c r="AI50" t="inlineStr">
        <is>
          <t>Pseudolmedia</t>
        </is>
      </c>
      <c r="AJ50" t="inlineStr">
        <is>
          <t>laevis</t>
        </is>
      </c>
      <c r="AK50" s="2" t="n">
        <v>38871</v>
      </c>
      <c r="AL50" t="n">
        <v>12.09577567498405</v>
      </c>
      <c r="AM50" t="inlineStr"/>
      <c r="AN50" t="inlineStr"/>
      <c r="AO50" t="inlineStr"/>
      <c r="AP50" t="inlineStr"/>
      <c r="AQ50" t="inlineStr">
        <is>
          <t>3710</t>
        </is>
      </c>
      <c r="AR50" t="inlineStr"/>
      <c r="AS50" t="inlineStr"/>
      <c r="AT50" t="inlineStr">
        <is>
          <t>ø</t>
        </is>
      </c>
      <c r="AU50" t="n">
        <v>8664</v>
      </c>
      <c r="AV50" t="n">
        <v>1</v>
      </c>
      <c r="AW50" t="inlineStr"/>
      <c r="AX50" t="inlineStr"/>
      <c r="AY50" s="2" t="n">
        <v>45666</v>
      </c>
      <c r="AZ50" t="n">
        <v>12.9</v>
      </c>
      <c r="BA50" t="n">
        <v>14</v>
      </c>
      <c r="BB50" t="inlineStr"/>
      <c r="BC50" t="inlineStr"/>
      <c r="BD50" t="inlineStr">
        <is>
          <t>A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1" t="n">
        <v>49</v>
      </c>
      <c r="B51" t="n">
        <v>335.171859462651</v>
      </c>
      <c r="C51" t="n">
        <v>0.8772065729609542</v>
      </c>
      <c r="D51" t="n">
        <v>62</v>
      </c>
      <c r="E51" t="inlineStr">
        <is>
          <t xml:space="preserve">plot 62 </t>
        </is>
      </c>
      <c r="F51" t="inlineStr">
        <is>
          <t>jh-2531</t>
        </is>
      </c>
      <c r="G51" t="inlineStr"/>
      <c r="H51" t="inlineStr">
        <is>
          <t>leaf herbarium</t>
        </is>
      </c>
      <c r="I51" t="inlineStr"/>
      <c r="J51" t="n">
        <v>2006</v>
      </c>
      <c r="K51" t="n">
        <v>44.5570835754965</v>
      </c>
      <c r="L51" t="inlineStr"/>
      <c r="M51" t="inlineStr"/>
      <c r="N51" t="inlineStr"/>
      <c r="O51" t="inlineStr">
        <is>
          <t>plot 62 #1896</t>
        </is>
      </c>
      <c r="P51" t="n">
        <v>29.32383783584314</v>
      </c>
      <c r="Q51" t="inlineStr"/>
      <c r="R51" t="n">
        <v>2531</v>
      </c>
      <c r="S51" t="n">
        <v>1896</v>
      </c>
      <c r="T51" t="inlineStr"/>
      <c r="U51" t="n">
        <v>-30.5469976395168</v>
      </c>
      <c r="V51" t="inlineStr"/>
      <c r="W51" t="n">
        <v>22.96862002108381</v>
      </c>
      <c r="X51" t="inlineStr">
        <is>
          <t>Galeras</t>
        </is>
      </c>
      <c r="Y51" t="n">
        <v>1500</v>
      </c>
      <c r="Z51" t="n">
        <v>62</v>
      </c>
      <c r="AA51" t="inlineStr">
        <is>
          <t>Galeras</t>
        </is>
      </c>
      <c r="AB51" t="inlineStr">
        <is>
          <t>GAL_62</t>
        </is>
      </c>
      <c r="AC51" t="n">
        <v>1896</v>
      </c>
      <c r="AD51" t="n">
        <v>1</v>
      </c>
      <c r="AE51" t="inlineStr"/>
      <c r="AF51" t="inlineStr"/>
      <c r="AG51" t="inlineStr"/>
      <c r="AH51" t="inlineStr">
        <is>
          <t>Phyllanthaceae</t>
        </is>
      </c>
      <c r="AI51" t="inlineStr">
        <is>
          <t>Hieronyma</t>
        </is>
      </c>
      <c r="AJ51" t="inlineStr">
        <is>
          <t>oblonga</t>
        </is>
      </c>
      <c r="AK51" s="2" t="n">
        <v>38902</v>
      </c>
      <c r="AL51" t="n">
        <v>14.96056465063816</v>
      </c>
      <c r="AM51" t="inlineStr"/>
      <c r="AN51" t="inlineStr"/>
      <c r="AO51" t="inlineStr"/>
      <c r="AP51" t="inlineStr"/>
      <c r="AQ51" t="inlineStr">
        <is>
          <t>2531</t>
        </is>
      </c>
      <c r="AR51" t="inlineStr"/>
      <c r="AS51" t="inlineStr">
        <is>
          <t>Ο</t>
        </is>
      </c>
      <c r="AT51" t="inlineStr">
        <is>
          <t>Ø</t>
        </is>
      </c>
      <c r="AU51" t="n">
        <v>8904</v>
      </c>
      <c r="AV51" t="n">
        <v>1</v>
      </c>
      <c r="AW51" t="inlineStr"/>
      <c r="AX51" t="inlineStr"/>
      <c r="AY51" s="2" t="n">
        <v>45540</v>
      </c>
      <c r="AZ51" t="n">
        <v>14.4</v>
      </c>
      <c r="BA51" t="n">
        <v>3</v>
      </c>
      <c r="BB51" t="inlineStr"/>
      <c r="BC51" t="inlineStr"/>
      <c r="BD51" t="inlineStr">
        <is>
          <t>A</t>
        </is>
      </c>
      <c r="BE51" t="inlineStr"/>
      <c r="BF51" t="inlineStr"/>
      <c r="BG51" t="inlineStr"/>
      <c r="BH51" t="inlineStr">
        <is>
          <t>inclinado</t>
        </is>
      </c>
      <c r="BI51" t="inlineStr"/>
      <c r="BJ51" t="n">
        <v>0.7</v>
      </c>
      <c r="BK51" t="n">
        <v>4.9</v>
      </c>
      <c r="BL51" t="n">
        <v>1.23</v>
      </c>
      <c r="BM51" t="n">
        <v>0.64</v>
      </c>
    </row>
    <row r="52">
      <c r="A52" s="1" t="n">
        <v>50</v>
      </c>
      <c r="B52" t="n">
        <v>331.7769593137301</v>
      </c>
      <c r="C52" t="n">
        <v>0.8683214931396531</v>
      </c>
      <c r="D52" t="n">
        <v>60</v>
      </c>
      <c r="E52" t="inlineStr">
        <is>
          <t xml:space="preserve">plot 60 </t>
        </is>
      </c>
      <c r="F52" t="inlineStr">
        <is>
          <t>jh-2525</t>
        </is>
      </c>
      <c r="G52" t="inlineStr"/>
      <c r="H52" t="inlineStr">
        <is>
          <t>leaf herbarium</t>
        </is>
      </c>
      <c r="I52" t="inlineStr"/>
      <c r="J52" t="n">
        <v>2006</v>
      </c>
      <c r="K52" t="n">
        <v>45.7823754579709</v>
      </c>
      <c r="L52" t="inlineStr"/>
      <c r="M52" t="inlineStr"/>
      <c r="N52" t="inlineStr"/>
      <c r="O52" t="inlineStr">
        <is>
          <t>plot 60 #1807</t>
        </is>
      </c>
      <c r="P52" t="n">
        <v>31.44565042891871</v>
      </c>
      <c r="Q52" t="inlineStr"/>
      <c r="R52" t="n">
        <v>2525</v>
      </c>
      <c r="S52" t="n">
        <v>1807</v>
      </c>
      <c r="T52" t="inlineStr"/>
      <c r="U52" t="n">
        <v>-30.3566622790315</v>
      </c>
      <c r="V52" t="inlineStr"/>
      <c r="W52" t="n">
        <v>22.76781721712241</v>
      </c>
      <c r="X52" t="inlineStr">
        <is>
          <t>Galeras</t>
        </is>
      </c>
      <c r="Y52" t="n">
        <v>1500</v>
      </c>
      <c r="Z52" t="n">
        <v>60</v>
      </c>
      <c r="AA52" t="inlineStr">
        <is>
          <t>Galeras</t>
        </is>
      </c>
      <c r="AB52" t="inlineStr">
        <is>
          <t>GAL_60</t>
        </is>
      </c>
      <c r="AC52" t="n">
        <v>1807</v>
      </c>
      <c r="AD52" t="n">
        <v>1</v>
      </c>
      <c r="AE52" t="n">
        <v>1</v>
      </c>
      <c r="AF52" t="n">
        <v>0</v>
      </c>
      <c r="AG52" t="n">
        <v>0</v>
      </c>
      <c r="AH52" t="inlineStr">
        <is>
          <t>Peraceae</t>
        </is>
      </c>
      <c r="AI52" t="inlineStr">
        <is>
          <t>Chaetocarpus</t>
        </is>
      </c>
      <c r="AJ52" t="inlineStr"/>
      <c r="AK52" s="2" t="n">
        <v>39176</v>
      </c>
      <c r="AL52" t="n">
        <v>38.41</v>
      </c>
      <c r="AM52" s="2" t="n">
        <v>40724</v>
      </c>
      <c r="AN52" t="n">
        <v>38.85</v>
      </c>
      <c r="AO52" t="n">
        <v>13.9</v>
      </c>
      <c r="AP52" t="inlineStr"/>
      <c r="AQ52" t="n">
        <v>2525</v>
      </c>
      <c r="AR52" t="n">
        <v>1</v>
      </c>
      <c r="AS52" t="inlineStr">
        <is>
          <t>Ο</t>
        </is>
      </c>
      <c r="AT52" t="inlineStr">
        <is>
          <t>Ø</t>
        </is>
      </c>
      <c r="AU52" t="n">
        <v>8769</v>
      </c>
      <c r="AV52" t="n">
        <v>1</v>
      </c>
      <c r="AW52" t="inlineStr"/>
      <c r="AX52" t="inlineStr"/>
      <c r="AY52" s="2" t="n">
        <v>45539</v>
      </c>
      <c r="AZ52" t="n">
        <v>40.6</v>
      </c>
      <c r="BA52" t="n">
        <v>18.5</v>
      </c>
      <c r="BB52" t="inlineStr"/>
      <c r="BC52" t="inlineStr"/>
      <c r="BD52" t="inlineStr">
        <is>
          <t>D</t>
        </is>
      </c>
      <c r="BE52" t="inlineStr"/>
      <c r="BF52" t="inlineStr">
        <is>
          <t>JH6781</t>
        </is>
      </c>
      <c r="BG52" t="inlineStr"/>
      <c r="BH52" t="inlineStr">
        <is>
          <t>dendrometro roto</t>
        </is>
      </c>
      <c r="BI52" t="inlineStr">
        <is>
          <t>frutos</t>
        </is>
      </c>
      <c r="BJ52" t="n">
        <v>0.6</v>
      </c>
      <c r="BK52" t="n">
        <v>5.9</v>
      </c>
      <c r="BL52" t="n">
        <v>1.34</v>
      </c>
      <c r="BM52" t="n">
        <v>0.83</v>
      </c>
    </row>
    <row r="53">
      <c r="A53" s="1" t="n">
        <v>51</v>
      </c>
      <c r="B53" t="n">
        <v>309.9618687785161</v>
      </c>
      <c r="C53" t="n">
        <v>0.8112273777866893</v>
      </c>
      <c r="D53" t="n">
        <v>48</v>
      </c>
      <c r="E53" t="inlineStr">
        <is>
          <t>plot 48</t>
        </is>
      </c>
      <c r="F53" t="inlineStr">
        <is>
          <t>jh-2456</t>
        </is>
      </c>
      <c r="G53" t="inlineStr"/>
      <c r="H53" t="inlineStr">
        <is>
          <t>leaf herbarium</t>
        </is>
      </c>
      <c r="I53" t="inlineStr"/>
      <c r="J53" t="n">
        <v>2006</v>
      </c>
      <c r="K53" t="n">
        <v>43.9496696730377</v>
      </c>
      <c r="L53" t="inlineStr"/>
      <c r="M53" t="inlineStr"/>
      <c r="N53" t="inlineStr"/>
      <c r="O53" t="inlineStr">
        <is>
          <t>plot 48#1390</t>
        </is>
      </c>
      <c r="P53" t="n">
        <v>45.08008201342742</v>
      </c>
      <c r="Q53" t="inlineStr"/>
      <c r="R53" t="n">
        <v>2456</v>
      </c>
      <c r="S53" t="n">
        <v>1390</v>
      </c>
      <c r="T53" t="inlineStr"/>
      <c r="U53" t="n">
        <v>-29.1318120030462</v>
      </c>
      <c r="V53" t="inlineStr"/>
      <c r="W53" t="n">
        <v>21.47749021014542</v>
      </c>
      <c r="X53" t="inlineStr">
        <is>
          <t>Galeras</t>
        </is>
      </c>
      <c r="Y53" t="n">
        <v>1000</v>
      </c>
      <c r="Z53" t="n">
        <v>48</v>
      </c>
      <c r="AA53" t="inlineStr">
        <is>
          <t>Galeras</t>
        </is>
      </c>
      <c r="AB53" t="inlineStr">
        <is>
          <t>GAL_48</t>
        </is>
      </c>
      <c r="AC53" t="n">
        <v>1390</v>
      </c>
      <c r="AD53" t="n">
        <v>1</v>
      </c>
      <c r="AE53" t="inlineStr"/>
      <c r="AF53" t="inlineStr"/>
      <c r="AG53" t="inlineStr"/>
      <c r="AH53" t="inlineStr">
        <is>
          <t>Annonaceae</t>
        </is>
      </c>
      <c r="AI53" t="inlineStr">
        <is>
          <t>Guatteria</t>
        </is>
      </c>
      <c r="AJ53" t="inlineStr">
        <is>
          <t>gentryi</t>
        </is>
      </c>
      <c r="AK53" s="2" t="n">
        <v>38871</v>
      </c>
      <c r="AL53" t="n">
        <v>10.50422624406509</v>
      </c>
      <c r="AM53" t="inlineStr"/>
      <c r="AN53" t="inlineStr"/>
      <c r="AO53" t="inlineStr"/>
      <c r="AP53" t="inlineStr"/>
      <c r="AQ53" t="inlineStr">
        <is>
          <t>3707,2456</t>
        </is>
      </c>
      <c r="AR53" t="inlineStr"/>
      <c r="AS53" t="inlineStr"/>
      <c r="AT53" t="inlineStr">
        <is>
          <t>ø</t>
        </is>
      </c>
      <c r="AU53" t="n">
        <v>8686</v>
      </c>
      <c r="AV53" t="n">
        <v>1</v>
      </c>
      <c r="AW53" t="inlineStr"/>
      <c r="AX53" t="inlineStr"/>
      <c r="AY53" s="2" t="n">
        <v>45666</v>
      </c>
      <c r="AZ53" t="n">
        <v>11.3</v>
      </c>
      <c r="BA53" t="n">
        <v>11</v>
      </c>
      <c r="BB53" t="inlineStr"/>
      <c r="BC53" t="inlineStr"/>
      <c r="BD53" t="inlineStr">
        <is>
          <t>D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1" t="n">
        <v>52</v>
      </c>
      <c r="B54" t="n">
        <v>274.5749445385884</v>
      </c>
      <c r="C54" t="n">
        <v>0.7186132705346605</v>
      </c>
      <c r="D54" t="n">
        <v>50</v>
      </c>
      <c r="E54" t="inlineStr">
        <is>
          <t>plot 50</t>
        </is>
      </c>
      <c r="F54" t="inlineStr">
        <is>
          <t>jh-3625</t>
        </is>
      </c>
      <c r="G54" t="inlineStr"/>
      <c r="H54" t="inlineStr">
        <is>
          <t>leaf herbarium</t>
        </is>
      </c>
      <c r="I54" t="inlineStr"/>
      <c r="J54" t="n">
        <v>2006</v>
      </c>
      <c r="K54" t="n">
        <v>45.4401972883233</v>
      </c>
      <c r="L54" t="inlineStr"/>
      <c r="M54" t="inlineStr"/>
      <c r="N54" t="inlineStr"/>
      <c r="O54" t="inlineStr">
        <is>
          <t>plot 50#1464</t>
        </is>
      </c>
      <c r="P54" t="n">
        <v>67.19690966338223</v>
      </c>
      <c r="Q54" t="inlineStr"/>
      <c r="R54" t="n">
        <v>3625</v>
      </c>
      <c r="S54" t="n">
        <v>1464</v>
      </c>
      <c r="T54" t="inlineStr"/>
      <c r="U54" t="n">
        <v>-27.1383504370339</v>
      </c>
      <c r="V54" t="inlineStr"/>
      <c r="W54" t="n">
        <v>19.38441138624957</v>
      </c>
      <c r="X54" t="inlineStr">
        <is>
          <t>Galeras</t>
        </is>
      </c>
      <c r="Y54" t="n">
        <v>1500</v>
      </c>
      <c r="Z54" t="n">
        <v>50</v>
      </c>
      <c r="AA54" t="inlineStr">
        <is>
          <t>Galeras</t>
        </is>
      </c>
      <c r="AB54" t="inlineStr">
        <is>
          <t>GAL_50</t>
        </is>
      </c>
      <c r="AC54" t="n">
        <v>1464</v>
      </c>
      <c r="AD54" t="n">
        <v>1</v>
      </c>
      <c r="AE54" t="inlineStr"/>
      <c r="AF54" t="inlineStr"/>
      <c r="AG54" t="inlineStr"/>
      <c r="AH54" t="inlineStr">
        <is>
          <t>Euphorbiaceae</t>
        </is>
      </c>
      <c r="AI54" t="inlineStr">
        <is>
          <t>Alchornea</t>
        </is>
      </c>
      <c r="AJ54" t="inlineStr">
        <is>
          <t>triplinervia</t>
        </is>
      </c>
      <c r="AK54" s="2" t="n">
        <v>38873</v>
      </c>
      <c r="AL54" t="n">
        <v>13.687325105903</v>
      </c>
      <c r="AM54" t="inlineStr"/>
      <c r="AN54" t="inlineStr"/>
      <c r="AO54" t="inlineStr"/>
      <c r="AP54" t="inlineStr"/>
      <c r="AQ54" t="inlineStr">
        <is>
          <t>3625</t>
        </is>
      </c>
      <c r="AR54" t="inlineStr"/>
      <c r="AS54" t="inlineStr">
        <is>
          <t>Ο</t>
        </is>
      </c>
      <c r="AT54" t="inlineStr">
        <is>
          <t>Ø</t>
        </is>
      </c>
      <c r="AU54" t="n">
        <v>8800</v>
      </c>
      <c r="AV54" t="n">
        <v>1</v>
      </c>
      <c r="AW54" t="inlineStr"/>
      <c r="AX54" t="inlineStr"/>
      <c r="AY54" s="2" t="n">
        <v>45539</v>
      </c>
      <c r="AZ54" t="n">
        <v>13.4</v>
      </c>
      <c r="BA54" t="n">
        <v>15.3</v>
      </c>
      <c r="BB54" t="inlineStr"/>
      <c r="BC54" t="inlineStr"/>
      <c r="BD54" t="inlineStr">
        <is>
          <t>A</t>
        </is>
      </c>
      <c r="BE54" t="inlineStr"/>
      <c r="BF54" t="inlineStr"/>
      <c r="BG54" t="inlineStr"/>
      <c r="BH54" t="inlineStr"/>
      <c r="BI54" t="inlineStr"/>
      <c r="BJ54" t="n">
        <v>0.4</v>
      </c>
      <c r="BK54" t="n">
        <v>4.8</v>
      </c>
      <c r="BL54" t="n">
        <v>1.21</v>
      </c>
      <c r="BM54" t="n">
        <v>0.51</v>
      </c>
    </row>
    <row r="55">
      <c r="A55" s="1" t="n">
        <v>53</v>
      </c>
      <c r="B55" t="n">
        <v>274.5099611707</v>
      </c>
      <c r="C55" t="n">
        <v>0.7184431970758198</v>
      </c>
      <c r="D55" t="n">
        <v>48</v>
      </c>
      <c r="E55" t="inlineStr">
        <is>
          <t>plot 48</t>
        </is>
      </c>
      <c r="F55" t="inlineStr">
        <is>
          <t>jh-3698</t>
        </is>
      </c>
      <c r="G55" t="inlineStr"/>
      <c r="H55" t="inlineStr">
        <is>
          <t>leaf herbarium</t>
        </is>
      </c>
      <c r="I55" t="inlineStr"/>
      <c r="J55" t="n">
        <v>2006</v>
      </c>
      <c r="K55" t="n">
        <v>44.35597340306</v>
      </c>
      <c r="L55" t="inlineStr"/>
      <c r="M55" t="inlineStr"/>
      <c r="N55" t="inlineStr"/>
      <c r="O55" t="inlineStr">
        <is>
          <t>plot 48#1400</t>
        </is>
      </c>
      <c r="P55" t="n">
        <v>67.2375242683125</v>
      </c>
      <c r="Q55" t="inlineStr"/>
      <c r="R55" t="n">
        <v>3698</v>
      </c>
      <c r="S55" t="n">
        <v>1400</v>
      </c>
      <c r="T55" t="inlineStr"/>
      <c r="U55" t="n">
        <v>-27.1346821803577</v>
      </c>
      <c r="V55" t="inlineStr"/>
      <c r="W55" t="n">
        <v>19.38056772607977</v>
      </c>
      <c r="X55" t="inlineStr">
        <is>
          <t>Galeras</t>
        </is>
      </c>
      <c r="Y55" t="n">
        <v>1000</v>
      </c>
      <c r="Z55" t="n">
        <v>48</v>
      </c>
      <c r="AA55" t="inlineStr">
        <is>
          <t>Galeras</t>
        </is>
      </c>
      <c r="AB55" t="inlineStr">
        <is>
          <t>GAL_48</t>
        </is>
      </c>
      <c r="AC55" t="n">
        <v>1400</v>
      </c>
      <c r="AD55" t="n">
        <v>1</v>
      </c>
      <c r="AE55" t="inlineStr"/>
      <c r="AF55" t="inlineStr"/>
      <c r="AG55" t="inlineStr"/>
      <c r="AH55" t="inlineStr">
        <is>
          <t>Moraceae</t>
        </is>
      </c>
      <c r="AI55" t="inlineStr">
        <is>
          <t>Naucleopsis</t>
        </is>
      </c>
      <c r="AJ55" t="inlineStr">
        <is>
          <t>ulei</t>
        </is>
      </c>
      <c r="AK55" s="2" t="n">
        <v>38871</v>
      </c>
      <c r="AL55" t="n">
        <v>21.32676237431398</v>
      </c>
      <c r="AM55" t="inlineStr"/>
      <c r="AN55" t="inlineStr"/>
      <c r="AO55" t="inlineStr"/>
      <c r="AP55" t="inlineStr"/>
      <c r="AQ55" t="inlineStr">
        <is>
          <t>3698</t>
        </is>
      </c>
      <c r="AR55" t="inlineStr"/>
      <c r="AS55" t="inlineStr"/>
      <c r="AT55" t="inlineStr">
        <is>
          <t>ø</t>
        </is>
      </c>
      <c r="AU55" t="n">
        <v>8672</v>
      </c>
      <c r="AV55" t="inlineStr"/>
      <c r="AW55" t="inlineStr"/>
      <c r="AX55" t="inlineStr"/>
      <c r="AY55" s="2" t="n">
        <v>45666</v>
      </c>
      <c r="AZ55" t="n">
        <v>23.9</v>
      </c>
      <c r="BA55" t="n">
        <v>16.2</v>
      </c>
      <c r="BB55" t="inlineStr"/>
      <c r="BC55" t="inlineStr"/>
      <c r="BD55" t="inlineStr">
        <is>
          <t>C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</row>
    <row r="56">
      <c r="A56" s="1" t="n">
        <v>54</v>
      </c>
      <c r="B56" t="n">
        <v>323.3504926675928</v>
      </c>
      <c r="C56" t="n">
        <v>0.8462678758082985</v>
      </c>
      <c r="D56" t="n">
        <v>50</v>
      </c>
      <c r="E56" t="inlineStr">
        <is>
          <t>plot 50</t>
        </is>
      </c>
      <c r="F56" t="inlineStr">
        <is>
          <t>jh-3623</t>
        </is>
      </c>
      <c r="G56" t="inlineStr"/>
      <c r="H56" t="inlineStr">
        <is>
          <t>leaf herbarium</t>
        </is>
      </c>
      <c r="I56" t="inlineStr"/>
      <c r="J56" t="n">
        <v>2006</v>
      </c>
      <c r="K56" t="n">
        <v>45.4280590398283</v>
      </c>
      <c r="L56" t="inlineStr"/>
      <c r="M56" t="inlineStr"/>
      <c r="N56" t="inlineStr"/>
      <c r="O56" t="inlineStr">
        <is>
          <t>plot 50#1495</t>
        </is>
      </c>
      <c r="P56" t="n">
        <v>36.71219208275451</v>
      </c>
      <c r="Q56" t="inlineStr"/>
      <c r="R56" t="n">
        <v>3623</v>
      </c>
      <c r="S56" t="n">
        <v>1495</v>
      </c>
      <c r="T56" t="inlineStr"/>
      <c r="U56" t="n">
        <v>-29.8839085881914</v>
      </c>
      <c r="V56" t="inlineStr"/>
      <c r="W56" t="n">
        <v>22.2694054654338</v>
      </c>
      <c r="X56" t="inlineStr">
        <is>
          <t>Galeras</t>
        </is>
      </c>
      <c r="Y56" t="n">
        <v>1500</v>
      </c>
      <c r="Z56" t="n">
        <v>50</v>
      </c>
      <c r="AA56" t="inlineStr">
        <is>
          <t>Galeras</t>
        </is>
      </c>
      <c r="AB56" t="inlineStr">
        <is>
          <t>GAL_50</t>
        </is>
      </c>
      <c r="AC56" t="n">
        <v>1495</v>
      </c>
      <c r="AD56" t="n">
        <v>1</v>
      </c>
      <c r="AE56" t="inlineStr"/>
      <c r="AF56" t="inlineStr"/>
      <c r="AG56" t="inlineStr"/>
      <c r="AH56" t="inlineStr">
        <is>
          <t>Simaroubaceae</t>
        </is>
      </c>
      <c r="AI56" t="inlineStr">
        <is>
          <t>Simarouba</t>
        </is>
      </c>
      <c r="AJ56" t="inlineStr">
        <is>
          <t>amara</t>
        </is>
      </c>
      <c r="AK56" s="2" t="n">
        <v>38873</v>
      </c>
      <c r="AL56" t="n">
        <v>19.73521294339502</v>
      </c>
      <c r="AM56" t="inlineStr"/>
      <c r="AN56" t="inlineStr"/>
      <c r="AO56" t="inlineStr"/>
      <c r="AP56" t="inlineStr"/>
      <c r="AQ56" t="inlineStr">
        <is>
          <t>3623</t>
        </is>
      </c>
      <c r="AR56" t="inlineStr"/>
      <c r="AS56" t="inlineStr">
        <is>
          <t>Ο</t>
        </is>
      </c>
      <c r="AT56" t="inlineStr">
        <is>
          <t>Ø</t>
        </is>
      </c>
      <c r="AU56" t="n">
        <v>8609</v>
      </c>
      <c r="AV56" t="n">
        <v>1</v>
      </c>
      <c r="AW56" t="inlineStr"/>
      <c r="AX56" t="inlineStr"/>
      <c r="AY56" s="2" t="n">
        <v>45540</v>
      </c>
      <c r="AZ56" t="n">
        <v>27.05</v>
      </c>
      <c r="BA56" t="inlineStr"/>
      <c r="BB56" t="inlineStr"/>
      <c r="BC56" t="inlineStr"/>
      <c r="BD56" t="inlineStr">
        <is>
          <t>C</t>
        </is>
      </c>
      <c r="BE56" t="inlineStr"/>
      <c r="BF56" t="inlineStr"/>
      <c r="BG56" t="inlineStr"/>
      <c r="BH56" t="inlineStr">
        <is>
          <t>FALTA ALTURA</t>
        </is>
      </c>
      <c r="BI56" t="inlineStr"/>
      <c r="BJ56" t="n">
        <v>0.7</v>
      </c>
      <c r="BK56" t="n">
        <v>6.2</v>
      </c>
      <c r="BL56" t="n">
        <v>1.14</v>
      </c>
      <c r="BM56" t="n">
        <v>0.44</v>
      </c>
    </row>
    <row r="57">
      <c r="A57" s="1" t="n">
        <v>55</v>
      </c>
      <c r="B57" t="n">
        <v>368.1952235133581</v>
      </c>
      <c r="C57" t="n">
        <v>0.9636348072793272</v>
      </c>
      <c r="D57" t="n">
        <v>60</v>
      </c>
      <c r="E57" t="inlineStr">
        <is>
          <t>plot 60</t>
        </is>
      </c>
      <c r="F57" t="inlineStr">
        <is>
          <t>jh-3659</t>
        </is>
      </c>
      <c r="G57" t="inlineStr"/>
      <c r="H57" t="inlineStr">
        <is>
          <t>leaf herbarium</t>
        </is>
      </c>
      <c r="I57" t="inlineStr"/>
      <c r="J57" t="n">
        <v>2006</v>
      </c>
      <c r="K57" t="n">
        <v>44.7846716829324</v>
      </c>
      <c r="L57" t="inlineStr"/>
      <c r="M57" t="inlineStr"/>
      <c r="N57" t="inlineStr"/>
      <c r="O57" t="inlineStr">
        <is>
          <t>plot 60#1804</t>
        </is>
      </c>
      <c r="P57" t="n">
        <v>8.684235304151178</v>
      </c>
      <c r="Q57" t="inlineStr"/>
      <c r="R57" t="n">
        <v>3659</v>
      </c>
      <c r="S57" t="n">
        <v>1804</v>
      </c>
      <c r="T57" t="inlineStr"/>
      <c r="U57" t="n">
        <v>-32.3945640908721</v>
      </c>
      <c r="V57" t="inlineStr"/>
      <c r="W57" t="n">
        <v>24.92189811667904</v>
      </c>
      <c r="X57" t="inlineStr">
        <is>
          <t>Galeras</t>
        </is>
      </c>
      <c r="Y57" t="n">
        <v>1500</v>
      </c>
      <c r="Z57" t="n">
        <v>60</v>
      </c>
      <c r="AA57" t="inlineStr">
        <is>
          <t>Galeras</t>
        </is>
      </c>
      <c r="AB57" t="inlineStr">
        <is>
          <t>GAL_60</t>
        </is>
      </c>
      <c r="AC57" t="n">
        <v>1804</v>
      </c>
      <c r="AD57" t="n">
        <v>1</v>
      </c>
      <c r="AE57" t="n">
        <v>1</v>
      </c>
      <c r="AF57" t="n">
        <v>0</v>
      </c>
      <c r="AG57" t="n">
        <v>0</v>
      </c>
      <c r="AH57" t="inlineStr">
        <is>
          <t>Lauraceae</t>
        </is>
      </c>
      <c r="AI57" t="inlineStr">
        <is>
          <t>Ocotea</t>
        </is>
      </c>
      <c r="AJ57" t="inlineStr"/>
      <c r="AK57" s="2" t="n">
        <v>39176</v>
      </c>
      <c r="AL57" t="n">
        <v>20.17</v>
      </c>
      <c r="AM57" s="2" t="n">
        <v>40724</v>
      </c>
      <c r="AN57" t="n">
        <v>20.19</v>
      </c>
      <c r="AO57" t="n">
        <v>13.1</v>
      </c>
      <c r="AP57" t="inlineStr"/>
      <c r="AQ57" t="inlineStr">
        <is>
          <t>3659 und 2524</t>
        </is>
      </c>
      <c r="AR57" t="inlineStr"/>
      <c r="AS57" t="inlineStr">
        <is>
          <t>Ο</t>
        </is>
      </c>
      <c r="AT57" t="inlineStr">
        <is>
          <t>Ø</t>
        </is>
      </c>
      <c r="AU57" t="n">
        <v>8777</v>
      </c>
      <c r="AV57" t="n">
        <v>1</v>
      </c>
      <c r="AW57" t="inlineStr"/>
      <c r="AX57" t="inlineStr"/>
      <c r="AY57" s="2" t="n">
        <v>45539</v>
      </c>
      <c r="AZ57" t="n">
        <v>20.67</v>
      </c>
      <c r="BA57" t="n">
        <v>15.9</v>
      </c>
      <c r="BB57" t="inlineStr"/>
      <c r="BC57" t="inlineStr"/>
      <c r="BD57" t="inlineStr">
        <is>
          <t>D</t>
        </is>
      </c>
      <c r="BE57" t="inlineStr"/>
      <c r="BF57" t="inlineStr"/>
      <c r="BG57" t="inlineStr"/>
      <c r="BH57" t="inlineStr">
        <is>
          <t>Con dendrometro</t>
        </is>
      </c>
      <c r="BI57" t="inlineStr"/>
      <c r="BJ57" t="n">
        <v>0.5</v>
      </c>
      <c r="BK57" t="n">
        <v>6.5</v>
      </c>
      <c r="BL57" t="n">
        <v>1.59</v>
      </c>
      <c r="BM57" t="n">
        <v>0.8</v>
      </c>
    </row>
    <row r="58">
      <c r="A58" s="1" t="n">
        <v>56</v>
      </c>
      <c r="B58" t="n">
        <v>378.506323948365</v>
      </c>
      <c r="C58" t="n">
        <v>0.9906208588247928</v>
      </c>
      <c r="D58" t="n">
        <v>62</v>
      </c>
      <c r="E58" t="inlineStr">
        <is>
          <t xml:space="preserve">plot 62 </t>
        </is>
      </c>
      <c r="F58" t="inlineStr">
        <is>
          <t>jh-2529</t>
        </is>
      </c>
      <c r="G58" t="inlineStr"/>
      <c r="H58" t="inlineStr">
        <is>
          <t>leaf herbarium</t>
        </is>
      </c>
      <c r="I58" t="inlineStr"/>
      <c r="J58" t="n">
        <v>2006</v>
      </c>
      <c r="K58" t="n">
        <v>43.84</v>
      </c>
      <c r="L58" t="inlineStr"/>
      <c r="M58" t="inlineStr"/>
      <c r="N58" t="inlineStr"/>
      <c r="O58" t="inlineStr">
        <is>
          <t>plot 62 #1882, flower buds</t>
        </is>
      </c>
      <c r="P58" t="n">
        <v>2.239797532271828</v>
      </c>
      <c r="Q58" t="inlineStr"/>
      <c r="R58" t="n">
        <v>2529</v>
      </c>
      <c r="S58" t="n">
        <v>1882</v>
      </c>
      <c r="T58" t="inlineStr"/>
      <c r="U58" t="n">
        <v>-32.97</v>
      </c>
      <c r="V58" t="inlineStr"/>
      <c r="W58" t="n">
        <v>25.53178288160656</v>
      </c>
      <c r="X58" t="inlineStr">
        <is>
          <t>Galeras</t>
        </is>
      </c>
      <c r="Y58" t="n">
        <v>1500</v>
      </c>
      <c r="Z58" t="n">
        <v>62</v>
      </c>
      <c r="AA58" t="inlineStr">
        <is>
          <t>Galeras</t>
        </is>
      </c>
      <c r="AB58" t="inlineStr">
        <is>
          <t>GAL_62</t>
        </is>
      </c>
      <c r="AC58" t="n">
        <v>1882</v>
      </c>
      <c r="AD58" t="n">
        <v>1</v>
      </c>
      <c r="AE58" t="inlineStr"/>
      <c r="AF58" t="inlineStr"/>
      <c r="AG58" t="inlineStr"/>
      <c r="AH58" t="inlineStr">
        <is>
          <t>Symplocaceae</t>
        </is>
      </c>
      <c r="AI58" t="inlineStr">
        <is>
          <t>Symplocos</t>
        </is>
      </c>
      <c r="AJ58" t="inlineStr">
        <is>
          <t>cf guacamayensis</t>
        </is>
      </c>
      <c r="AK58" s="2" t="n">
        <v>38902</v>
      </c>
      <c r="AL58" t="n">
        <v>12.73239544735163</v>
      </c>
      <c r="AM58" t="inlineStr"/>
      <c r="AN58" t="inlineStr"/>
      <c r="AO58" t="inlineStr"/>
      <c r="AP58" t="inlineStr"/>
      <c r="AQ58" t="inlineStr">
        <is>
          <t>3612,2529</t>
        </is>
      </c>
      <c r="AR58" t="inlineStr"/>
      <c r="AS58" t="inlineStr">
        <is>
          <t>Ο</t>
        </is>
      </c>
      <c r="AT58" t="inlineStr">
        <is>
          <t>Ø</t>
        </is>
      </c>
      <c r="AU58" t="n">
        <v>8909</v>
      </c>
      <c r="AV58" t="n">
        <v>1</v>
      </c>
      <c r="AW58" t="inlineStr"/>
      <c r="AX58" t="inlineStr"/>
      <c r="AY58" s="2" t="n">
        <v>45540</v>
      </c>
      <c r="AZ58" t="n">
        <v>20</v>
      </c>
      <c r="BA58" t="n">
        <v>8.5</v>
      </c>
      <c r="BB58" t="inlineStr"/>
      <c r="BC58" t="inlineStr"/>
      <c r="BD58" t="inlineStr">
        <is>
          <t>A</t>
        </is>
      </c>
      <c r="BE58" t="inlineStr">
        <is>
          <t>Antes Symplocos cf spruceana, Ahora Symplocos cf  guacamayensis</t>
        </is>
      </c>
      <c r="BF58" t="inlineStr">
        <is>
          <t>JH6797</t>
        </is>
      </c>
      <c r="BG58" t="inlineStr"/>
      <c r="BH58" t="inlineStr">
        <is>
          <t>tiene protuberancia</t>
        </is>
      </c>
      <c r="BI58" t="inlineStr"/>
      <c r="BJ58" t="n">
        <v>1.1</v>
      </c>
      <c r="BK58" t="n">
        <v>7</v>
      </c>
      <c r="BL58" t="n">
        <v>1.73</v>
      </c>
      <c r="BM58" t="n">
        <v>0.74</v>
      </c>
    </row>
    <row r="59">
      <c r="A59" s="1" t="n">
        <v>57</v>
      </c>
      <c r="B59" t="n">
        <v>335.7606388164221</v>
      </c>
      <c r="C59" t="n">
        <v>0.8787475171201081</v>
      </c>
      <c r="D59" t="n">
        <v>62</v>
      </c>
      <c r="E59" t="inlineStr">
        <is>
          <t>plot 62</t>
        </is>
      </c>
      <c r="F59" t="inlineStr">
        <is>
          <t>jh-3608</t>
        </is>
      </c>
      <c r="G59" t="inlineStr"/>
      <c r="H59" t="inlineStr">
        <is>
          <t>leaf herbarium</t>
        </is>
      </c>
      <c r="I59" t="inlineStr"/>
      <c r="J59" t="n">
        <v>2006</v>
      </c>
      <c r="K59" t="n">
        <v>45.67</v>
      </c>
      <c r="L59" t="inlineStr"/>
      <c r="M59" t="inlineStr"/>
      <c r="N59" t="inlineStr"/>
      <c r="O59" t="inlineStr">
        <is>
          <t>plot 62#1894</t>
        </is>
      </c>
      <c r="P59" t="n">
        <v>28.95585073973618</v>
      </c>
      <c r="Q59" t="inlineStr"/>
      <c r="R59" t="n">
        <v>3608</v>
      </c>
      <c r="S59" t="n">
        <v>1894</v>
      </c>
      <c r="T59" t="inlineStr"/>
      <c r="U59" t="n">
        <v>-30.58</v>
      </c>
      <c r="V59" t="inlineStr"/>
      <c r="W59" t="n">
        <v>23.00344535908069</v>
      </c>
      <c r="X59" t="inlineStr">
        <is>
          <t>Galeras</t>
        </is>
      </c>
      <c r="Y59" t="n">
        <v>1500</v>
      </c>
      <c r="Z59" t="n">
        <v>62</v>
      </c>
      <c r="AA59" t="inlineStr">
        <is>
          <t>Galeras</t>
        </is>
      </c>
      <c r="AB59" t="inlineStr">
        <is>
          <t>GAL_62</t>
        </is>
      </c>
      <c r="AC59" t="n">
        <v>1894</v>
      </c>
      <c r="AD59" t="n">
        <v>1</v>
      </c>
      <c r="AE59" t="inlineStr"/>
      <c r="AF59" t="inlineStr"/>
      <c r="AG59" t="inlineStr"/>
      <c r="AH59" t="inlineStr">
        <is>
          <t>Lauraceae</t>
        </is>
      </c>
      <c r="AI59" t="inlineStr">
        <is>
          <t>Ocotea</t>
        </is>
      </c>
      <c r="AJ59" t="inlineStr">
        <is>
          <t>aciphylla</t>
        </is>
      </c>
      <c r="AK59" s="2" t="n">
        <v>38902</v>
      </c>
      <c r="AL59" t="n">
        <v>24.19155134996809</v>
      </c>
      <c r="AM59" t="inlineStr"/>
      <c r="AN59" t="inlineStr"/>
      <c r="AO59" t="inlineStr"/>
      <c r="AP59" t="inlineStr"/>
      <c r="AQ59" t="inlineStr">
        <is>
          <t>3608,2530</t>
        </is>
      </c>
      <c r="AR59" t="inlineStr"/>
      <c r="AS59" t="inlineStr"/>
      <c r="AT59" t="inlineStr"/>
      <c r="AU59" t="inlineStr"/>
      <c r="AV59" t="inlineStr"/>
      <c r="AW59" t="inlineStr"/>
      <c r="AX59" t="inlineStr"/>
      <c r="AY59" s="2" t="n">
        <v>45540</v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NE</t>
        </is>
      </c>
      <c r="BI59" t="inlineStr"/>
      <c r="BJ59" t="inlineStr"/>
      <c r="BK59" t="inlineStr"/>
      <c r="BL59" t="inlineStr"/>
      <c r="BM59" t="inlineStr"/>
    </row>
    <row r="60">
      <c r="A60" s="1" t="n">
        <v>58</v>
      </c>
      <c r="B60" t="n">
        <v>318.8281587636356</v>
      </c>
      <c r="C60" t="n">
        <v>0.8344320939140926</v>
      </c>
      <c r="D60" t="n">
        <v>28</v>
      </c>
      <c r="E60" t="inlineStr">
        <is>
          <t>plot 28</t>
        </is>
      </c>
      <c r="F60" t="inlineStr">
        <is>
          <t>jh-3582</t>
        </is>
      </c>
      <c r="G60" t="inlineStr"/>
      <c r="H60" t="inlineStr">
        <is>
          <t>leaf herbarium</t>
        </is>
      </c>
      <c r="I60" t="inlineStr"/>
      <c r="J60" t="n">
        <v>2006</v>
      </c>
      <c r="K60" t="n">
        <v>46.66</v>
      </c>
      <c r="L60" t="inlineStr"/>
      <c r="M60" t="inlineStr"/>
      <c r="N60" t="inlineStr"/>
      <c r="O60" t="inlineStr">
        <is>
          <t>plot 28#755, fruits</t>
        </is>
      </c>
      <c r="P60" t="n">
        <v>39.53865077272773</v>
      </c>
      <c r="Q60" t="inlineStr"/>
      <c r="R60" t="n">
        <v>3582</v>
      </c>
      <c r="S60" t="n">
        <v>755</v>
      </c>
      <c r="T60" t="inlineStr"/>
      <c r="U60" t="n">
        <v>-29.63</v>
      </c>
      <c r="V60" t="inlineStr"/>
      <c r="W60" t="n">
        <v>22.00191679462473</v>
      </c>
      <c r="X60" t="inlineStr">
        <is>
          <t>Galeras</t>
        </is>
      </c>
      <c r="Y60" t="n">
        <v>2000</v>
      </c>
      <c r="Z60" t="n">
        <v>28</v>
      </c>
      <c r="AA60" t="inlineStr">
        <is>
          <t>Galeras</t>
        </is>
      </c>
      <c r="AB60" t="inlineStr">
        <is>
          <t>GAL_28</t>
        </is>
      </c>
      <c r="AC60" t="n">
        <v>755</v>
      </c>
      <c r="AD60" t="n">
        <v>1</v>
      </c>
      <c r="AE60" t="inlineStr"/>
      <c r="AF60" t="inlineStr"/>
      <c r="AG60" t="inlineStr"/>
      <c r="AH60" t="inlineStr">
        <is>
          <t>Lauraceae</t>
        </is>
      </c>
      <c r="AI60" t="inlineStr">
        <is>
          <t>Ocotea</t>
        </is>
      </c>
      <c r="AJ60" t="inlineStr">
        <is>
          <t>subrutilans</t>
        </is>
      </c>
      <c r="AK60" s="2" t="n">
        <v>38821</v>
      </c>
      <c r="AL60" t="n">
        <v>17.82535362629228</v>
      </c>
      <c r="AM60" t="inlineStr"/>
      <c r="AN60" t="inlineStr"/>
      <c r="AO60" t="inlineStr"/>
      <c r="AP60" t="inlineStr"/>
      <c r="AQ60" t="inlineStr">
        <is>
          <t>3582</t>
        </is>
      </c>
      <c r="AR60" t="inlineStr"/>
      <c r="AS60" t="inlineStr">
        <is>
          <t>Ο</t>
        </is>
      </c>
      <c r="AT60" t="inlineStr">
        <is>
          <t>Ø</t>
        </is>
      </c>
      <c r="AU60" t="n">
        <v>8708</v>
      </c>
      <c r="AV60" t="n">
        <v>1</v>
      </c>
      <c r="AW60" t="inlineStr"/>
      <c r="AX60" t="inlineStr"/>
      <c r="AY60" s="2" t="n">
        <v>45538</v>
      </c>
      <c r="AZ60" t="n">
        <v>18.2</v>
      </c>
      <c r="BA60" t="inlineStr"/>
      <c r="BB60" t="inlineStr"/>
      <c r="BC60" t="inlineStr"/>
      <c r="BD60" t="inlineStr">
        <is>
          <t>A</t>
        </is>
      </c>
      <c r="BE60" t="inlineStr"/>
      <c r="BF60" t="inlineStr"/>
      <c r="BG60" t="inlineStr"/>
      <c r="BH60" t="inlineStr">
        <is>
          <t>POM 1.30 m. FALTA ALTURA</t>
        </is>
      </c>
      <c r="BI60" t="inlineStr"/>
      <c r="BJ60" t="n">
        <v>0.7</v>
      </c>
      <c r="BK60" t="inlineStr">
        <is>
          <t>2.1-2.6</t>
        </is>
      </c>
      <c r="BL60" t="n">
        <v>1.08</v>
      </c>
      <c r="BM60" t="n">
        <v>0.42</v>
      </c>
    </row>
    <row r="61">
      <c r="A61" s="1" t="n">
        <v>59</v>
      </c>
      <c r="B61" t="n">
        <v>327.3793712561327</v>
      </c>
      <c r="C61" t="n">
        <v>0.8568121941326198</v>
      </c>
      <c r="D61" t="n">
        <v>48</v>
      </c>
      <c r="E61" t="inlineStr">
        <is>
          <t>plot 48</t>
        </is>
      </c>
      <c r="F61" t="inlineStr">
        <is>
          <t>jh-3706</t>
        </is>
      </c>
      <c r="G61" t="inlineStr"/>
      <c r="H61" t="inlineStr">
        <is>
          <t>leaf herbarium</t>
        </is>
      </c>
      <c r="I61" t="inlineStr"/>
      <c r="J61" t="n">
        <v>2006</v>
      </c>
      <c r="K61" t="n">
        <v>44.99</v>
      </c>
      <c r="L61" t="inlineStr"/>
      <c r="M61" t="inlineStr"/>
      <c r="N61" t="inlineStr"/>
      <c r="O61" t="inlineStr">
        <is>
          <t>plot 48#1417, fruits</t>
        </is>
      </c>
      <c r="P61" t="n">
        <v>34.19414296491706</v>
      </c>
      <c r="Q61" t="inlineStr"/>
      <c r="R61" t="n">
        <v>3706</v>
      </c>
      <c r="S61" t="n">
        <v>1417</v>
      </c>
      <c r="T61" t="inlineStr"/>
      <c r="U61" t="n">
        <v>-30.11</v>
      </c>
      <c r="V61" t="inlineStr"/>
      <c r="W61" t="n">
        <v>22.50770705956345</v>
      </c>
      <c r="X61" t="inlineStr">
        <is>
          <t>Galeras</t>
        </is>
      </c>
      <c r="Y61" t="n">
        <v>1000</v>
      </c>
      <c r="Z61" t="n">
        <v>48</v>
      </c>
      <c r="AA61" t="inlineStr">
        <is>
          <t>Galeras</t>
        </is>
      </c>
      <c r="AB61" t="inlineStr">
        <is>
          <t>GAL_48</t>
        </is>
      </c>
      <c r="AC61" t="n">
        <v>1417</v>
      </c>
      <c r="AD61" t="n">
        <v>1</v>
      </c>
      <c r="AE61" t="inlineStr"/>
      <c r="AF61" t="inlineStr"/>
      <c r="AG61" t="inlineStr"/>
      <c r="AH61" t="inlineStr">
        <is>
          <t>Moraceae</t>
        </is>
      </c>
      <c r="AI61" t="inlineStr">
        <is>
          <t>Sorocea</t>
        </is>
      </c>
      <c r="AJ61" t="inlineStr">
        <is>
          <t>sp.</t>
        </is>
      </c>
      <c r="AK61" s="2" t="n">
        <v>38871</v>
      </c>
      <c r="AL61" t="n">
        <v>13.687325105903</v>
      </c>
      <c r="AM61" t="inlineStr"/>
      <c r="AN61" t="inlineStr"/>
      <c r="AO61" t="inlineStr"/>
      <c r="AP61" t="inlineStr"/>
      <c r="AQ61" t="inlineStr">
        <is>
          <t>3706</t>
        </is>
      </c>
      <c r="AR61" t="inlineStr"/>
      <c r="AS61" t="inlineStr">
        <is>
          <t xml:space="preserve"> </t>
        </is>
      </c>
      <c r="AT61" t="inlineStr">
        <is>
          <t>ø</t>
        </is>
      </c>
      <c r="AU61" t="n">
        <v>8658</v>
      </c>
      <c r="AV61" t="n">
        <v>1</v>
      </c>
      <c r="AW61" t="inlineStr"/>
      <c r="AX61" t="inlineStr"/>
      <c r="AY61" s="2" t="n">
        <v>45666</v>
      </c>
      <c r="AZ61" t="n">
        <v>13.3</v>
      </c>
      <c r="BA61" t="n">
        <v>9</v>
      </c>
      <c r="BB61" t="inlineStr"/>
      <c r="BC61" t="inlineStr"/>
      <c r="BD61" t="inlineStr">
        <is>
          <t>A</t>
        </is>
      </c>
      <c r="BE61" t="inlineStr">
        <is>
          <t>Antes Brosimum Ahora Sorocea</t>
        </is>
      </c>
      <c r="BF61" t="inlineStr"/>
      <c r="BG61" t="n">
        <v>2</v>
      </c>
      <c r="BH61" t="inlineStr"/>
      <c r="BI61" t="inlineStr"/>
      <c r="BJ61" t="inlineStr"/>
      <c r="BK61" t="inlineStr"/>
      <c r="BL61" t="inlineStr"/>
      <c r="BM61" t="inlineStr"/>
    </row>
    <row r="62">
      <c r="A62" s="1" t="n">
        <v>60</v>
      </c>
      <c r="B62" t="n">
        <v>263.0969870652341</v>
      </c>
      <c r="C62" t="n">
        <v>0.6885733389129109</v>
      </c>
      <c r="D62" t="n">
        <v>62</v>
      </c>
      <c r="E62" t="inlineStr">
        <is>
          <t>plot 62</t>
        </is>
      </c>
      <c r="F62" t="inlineStr">
        <is>
          <t>jh-3607</t>
        </is>
      </c>
      <c r="G62" t="inlineStr"/>
      <c r="H62" t="inlineStr">
        <is>
          <t>leaf herbarium</t>
        </is>
      </c>
      <c r="I62" t="inlineStr"/>
      <c r="J62" t="n">
        <v>2006</v>
      </c>
      <c r="K62" t="n">
        <v>46.08</v>
      </c>
      <c r="L62" t="inlineStr"/>
      <c r="M62" t="inlineStr"/>
      <c r="N62" t="inlineStr"/>
      <c r="O62" t="inlineStr">
        <is>
          <t>plot 62#1906</t>
        </is>
      </c>
      <c r="P62" t="n">
        <v>74.37063308422866</v>
      </c>
      <c r="Q62" t="inlineStr"/>
      <c r="R62" t="n">
        <v>3607</v>
      </c>
      <c r="S62" t="n">
        <v>1906</v>
      </c>
      <c r="T62" t="inlineStr"/>
      <c r="U62" t="n">
        <v>-26.49</v>
      </c>
      <c r="V62" t="inlineStr"/>
      <c r="W62" t="n">
        <v>18.70550893159803</v>
      </c>
      <c r="X62" t="inlineStr">
        <is>
          <t>Galeras</t>
        </is>
      </c>
      <c r="Y62" t="n">
        <v>1500</v>
      </c>
      <c r="Z62" t="n">
        <v>62</v>
      </c>
      <c r="AA62" t="inlineStr">
        <is>
          <t>Galeras</t>
        </is>
      </c>
      <c r="AB62" t="inlineStr">
        <is>
          <t>GAL_62</t>
        </is>
      </c>
      <c r="AC62" t="n">
        <v>1906</v>
      </c>
      <c r="AD62" t="n">
        <v>1</v>
      </c>
      <c r="AE62" t="inlineStr"/>
      <c r="AF62" t="inlineStr"/>
      <c r="AG62" t="inlineStr"/>
      <c r="AH62" t="inlineStr">
        <is>
          <t>Cunnoniaceae</t>
        </is>
      </c>
      <c r="AI62" t="inlineStr">
        <is>
          <t>Weinmannia</t>
        </is>
      </c>
      <c r="AJ62" t="inlineStr">
        <is>
          <t>pinnata</t>
        </is>
      </c>
      <c r="AK62" s="2" t="n">
        <v>38902</v>
      </c>
      <c r="AL62" t="n">
        <v>22.28169203286535</v>
      </c>
      <c r="AM62" t="inlineStr"/>
      <c r="AN62" t="inlineStr"/>
      <c r="AO62" t="inlineStr"/>
      <c r="AP62" t="inlineStr"/>
      <c r="AQ62" t="inlineStr">
        <is>
          <t>3607</t>
        </is>
      </c>
      <c r="AR62" t="inlineStr"/>
      <c r="AS62" t="inlineStr">
        <is>
          <t>Ο</t>
        </is>
      </c>
      <c r="AT62" t="inlineStr">
        <is>
          <t>Ø</t>
        </is>
      </c>
      <c r="AU62" t="n">
        <v>8911</v>
      </c>
      <c r="AV62" t="n">
        <v>1</v>
      </c>
      <c r="AW62" t="inlineStr"/>
      <c r="AX62" t="inlineStr"/>
      <c r="AY62" s="2" t="n">
        <v>45540</v>
      </c>
      <c r="AZ62" t="n">
        <v>21.6</v>
      </c>
      <c r="BA62" t="n">
        <v>7</v>
      </c>
      <c r="BB62" t="inlineStr"/>
      <c r="BC62" t="inlineStr"/>
      <c r="BD62" t="inlineStr">
        <is>
          <t>A</t>
        </is>
      </c>
      <c r="BE62" t="inlineStr"/>
      <c r="BF62" t="inlineStr"/>
      <c r="BG62" t="inlineStr"/>
      <c r="BH62" t="inlineStr">
        <is>
          <t>inclinado</t>
        </is>
      </c>
      <c r="BI62" t="inlineStr"/>
      <c r="BJ62" t="n">
        <v>0.7</v>
      </c>
      <c r="BK62" t="n">
        <v>5</v>
      </c>
      <c r="BL62" t="n">
        <v>1.28</v>
      </c>
      <c r="BM62" t="n">
        <v>0.68</v>
      </c>
    </row>
    <row r="63">
      <c r="A63" s="1" t="n">
        <v>61</v>
      </c>
      <c r="B63" t="n">
        <v>357.1965290964552</v>
      </c>
      <c r="C63" t="n">
        <v>0.934849195468228</v>
      </c>
      <c r="D63" t="n">
        <v>28</v>
      </c>
      <c r="E63" t="inlineStr">
        <is>
          <t>plot 28</t>
        </is>
      </c>
      <c r="F63" t="inlineStr">
        <is>
          <t>jh-3580</t>
        </is>
      </c>
      <c r="G63" t="inlineStr"/>
      <c r="H63" t="inlineStr">
        <is>
          <t>leaf herbarium</t>
        </is>
      </c>
      <c r="I63" t="inlineStr"/>
      <c r="J63" t="n">
        <v>2006</v>
      </c>
      <c r="K63" t="n">
        <v>44.17</v>
      </c>
      <c r="L63" t="inlineStr"/>
      <c r="M63" t="inlineStr"/>
      <c r="N63" t="inlineStr"/>
      <c r="O63" t="inlineStr">
        <is>
          <t>plot 28#757</t>
        </is>
      </c>
      <c r="P63" t="n">
        <v>15.55841931471548</v>
      </c>
      <c r="Q63" t="inlineStr"/>
      <c r="R63" t="n">
        <v>3580</v>
      </c>
      <c r="S63" t="n">
        <v>757</v>
      </c>
      <c r="T63" t="inlineStr"/>
      <c r="U63" t="n">
        <v>-31.78</v>
      </c>
      <c r="V63" t="inlineStr"/>
      <c r="W63" t="n">
        <v>24.2713432897482</v>
      </c>
      <c r="X63" t="inlineStr">
        <is>
          <t>Galeras</t>
        </is>
      </c>
      <c r="Y63" t="n">
        <v>2000</v>
      </c>
      <c r="Z63" t="n">
        <v>28</v>
      </c>
      <c r="AA63" t="inlineStr">
        <is>
          <t>Galeras</t>
        </is>
      </c>
      <c r="AB63" t="inlineStr">
        <is>
          <t>GAL_28</t>
        </is>
      </c>
      <c r="AC63" t="n">
        <v>757</v>
      </c>
      <c r="AD63" t="n">
        <v>1</v>
      </c>
      <c r="AE63" t="inlineStr"/>
      <c r="AF63" t="inlineStr"/>
      <c r="AG63" t="inlineStr"/>
      <c r="AH63" t="inlineStr">
        <is>
          <t>Peraceae</t>
        </is>
      </c>
      <c r="AI63" t="inlineStr">
        <is>
          <t>Chaetocarpus</t>
        </is>
      </c>
      <c r="AJ63" t="inlineStr"/>
      <c r="AK63" s="2" t="n">
        <v>38821</v>
      </c>
      <c r="AL63" t="n">
        <v>14.00563499208679</v>
      </c>
      <c r="AM63" t="inlineStr"/>
      <c r="AN63" t="inlineStr"/>
      <c r="AO63" t="inlineStr"/>
      <c r="AP63" t="inlineStr"/>
      <c r="AQ63" t="inlineStr">
        <is>
          <t>3580</t>
        </is>
      </c>
      <c r="AR63" t="inlineStr"/>
      <c r="AS63" t="inlineStr">
        <is>
          <t>Ο</t>
        </is>
      </c>
      <c r="AT63" t="inlineStr">
        <is>
          <t>Ø</t>
        </is>
      </c>
      <c r="AU63" t="n">
        <v>8702</v>
      </c>
      <c r="AV63" t="n">
        <v>1</v>
      </c>
      <c r="AW63" t="inlineStr"/>
      <c r="AX63" t="inlineStr"/>
      <c r="AY63" s="2" t="n">
        <v>45538</v>
      </c>
      <c r="AZ63" t="n">
        <v>13.85</v>
      </c>
      <c r="BA63" t="n">
        <v>10.4</v>
      </c>
      <c r="BB63" t="inlineStr"/>
      <c r="BC63" t="inlineStr"/>
      <c r="BD63" t="inlineStr">
        <is>
          <t>A</t>
        </is>
      </c>
      <c r="BE63" t="inlineStr"/>
      <c r="BF63" t="inlineStr"/>
      <c r="BG63" t="inlineStr"/>
      <c r="BH63" t="inlineStr"/>
      <c r="BI63" t="inlineStr">
        <is>
          <t>Antes Euphorbiaceae Ahora Peraceae</t>
        </is>
      </c>
      <c r="BJ63" t="n">
        <v>0.8</v>
      </c>
      <c r="BK63" t="n">
        <v>6</v>
      </c>
      <c r="BL63" t="n">
        <v>1.5</v>
      </c>
      <c r="BM63" t="n">
        <v>0.86</v>
      </c>
    </row>
    <row r="64">
      <c r="A64" s="1" t="n">
        <v>62</v>
      </c>
      <c r="B64" t="n">
        <v>245.0705106005717</v>
      </c>
      <c r="C64" t="n">
        <v>0.64139472532799</v>
      </c>
      <c r="D64" t="n">
        <v>48</v>
      </c>
      <c r="E64" t="inlineStr">
        <is>
          <t>plot 48</t>
        </is>
      </c>
      <c r="F64" t="inlineStr">
        <is>
          <t>jh-3696</t>
        </is>
      </c>
      <c r="G64" t="inlineStr"/>
      <c r="H64" t="inlineStr">
        <is>
          <t>leaf herbarium</t>
        </is>
      </c>
      <c r="I64" t="inlineStr"/>
      <c r="J64" t="n">
        <v>2006</v>
      </c>
      <c r="K64" t="n">
        <v>46.66</v>
      </c>
      <c r="L64" t="inlineStr"/>
      <c r="M64" t="inlineStr"/>
      <c r="N64" t="inlineStr"/>
      <c r="O64" t="inlineStr">
        <is>
          <t>plot 48#1411</t>
        </is>
      </c>
      <c r="P64" t="n">
        <v>85.63718087464268</v>
      </c>
      <c r="Q64" t="inlineStr"/>
      <c r="R64" t="n">
        <v>3696</v>
      </c>
      <c r="S64" t="n">
        <v>1411</v>
      </c>
      <c r="T64" t="inlineStr"/>
      <c r="U64" t="n">
        <v>-25.47</v>
      </c>
      <c r="V64" t="inlineStr"/>
      <c r="W64" t="n">
        <v>17.63927226457882</v>
      </c>
      <c r="X64" t="inlineStr">
        <is>
          <t>Galeras</t>
        </is>
      </c>
      <c r="Y64" t="n">
        <v>1000</v>
      </c>
      <c r="Z64" t="n">
        <v>48</v>
      </c>
      <c r="AA64" t="inlineStr">
        <is>
          <t>Galeras</t>
        </is>
      </c>
      <c r="AB64" t="inlineStr">
        <is>
          <t>GAL_48</t>
        </is>
      </c>
      <c r="AC64" t="n">
        <v>1411</v>
      </c>
      <c r="AD64" t="n">
        <v>1</v>
      </c>
      <c r="AE64" t="inlineStr"/>
      <c r="AF64" t="inlineStr"/>
      <c r="AG64" t="inlineStr"/>
      <c r="AH64" t="inlineStr">
        <is>
          <t>Moraceae</t>
        </is>
      </c>
      <c r="AI64" t="inlineStr">
        <is>
          <t>Helicostylis</t>
        </is>
      </c>
      <c r="AJ64" t="inlineStr">
        <is>
          <t>tomentosa</t>
        </is>
      </c>
      <c r="AK64" s="2" t="n">
        <v>38871</v>
      </c>
      <c r="AL64" t="n">
        <v>23.23662169141672</v>
      </c>
      <c r="AM64" t="inlineStr"/>
      <c r="AN64" t="inlineStr"/>
      <c r="AO64" t="inlineStr"/>
      <c r="AP64" t="inlineStr"/>
      <c r="AQ64" t="inlineStr">
        <is>
          <t>3696</t>
        </is>
      </c>
      <c r="AR64" t="inlineStr"/>
      <c r="AS64" t="inlineStr"/>
      <c r="AT64" t="inlineStr">
        <is>
          <t>ø</t>
        </is>
      </c>
      <c r="AU64" t="n">
        <v>8665</v>
      </c>
      <c r="AV64" t="n">
        <v>1</v>
      </c>
      <c r="AW64" t="inlineStr"/>
      <c r="AX64" t="inlineStr"/>
      <c r="AY64" s="2" t="n">
        <v>45666</v>
      </c>
      <c r="AZ64" t="n">
        <v>26.2</v>
      </c>
      <c r="BA64" t="n">
        <v>14.3</v>
      </c>
      <c r="BB64" t="inlineStr"/>
      <c r="BC64" t="inlineStr"/>
      <c r="BD64" t="inlineStr">
        <is>
          <t>A</t>
        </is>
      </c>
      <c r="BE64" t="inlineStr"/>
      <c r="BF64" t="inlineStr"/>
      <c r="BG64" t="inlineStr">
        <is>
          <t>3 - flores</t>
        </is>
      </c>
      <c r="BH64" t="inlineStr"/>
      <c r="BI64" t="inlineStr"/>
      <c r="BJ64" t="inlineStr"/>
      <c r="BK64" t="inlineStr"/>
      <c r="BL64" t="inlineStr"/>
      <c r="BM64" t="inlineStr"/>
    </row>
    <row r="65">
      <c r="A65" s="1" t="n">
        <v>63</v>
      </c>
      <c r="B65" t="n">
        <v>391.0660143546484</v>
      </c>
      <c r="C65" t="n">
        <v>1.023491885039254</v>
      </c>
      <c r="D65" t="n">
        <v>48</v>
      </c>
      <c r="E65" t="inlineStr">
        <is>
          <t>plot 48</t>
        </is>
      </c>
      <c r="F65" t="inlineStr">
        <is>
          <t>jh-3703</t>
        </is>
      </c>
      <c r="G65" t="inlineStr"/>
      <c r="H65" t="inlineStr">
        <is>
          <t>leaf herbarium</t>
        </is>
      </c>
      <c r="I65" t="inlineStr"/>
      <c r="J65" t="n">
        <v>2006</v>
      </c>
      <c r="K65" t="n">
        <v>45.47</v>
      </c>
      <c r="L65" t="inlineStr"/>
      <c r="M65" t="inlineStr"/>
      <c r="N65" t="inlineStr"/>
      <c r="O65" t="inlineStr">
        <is>
          <t>plot 48#1406, fruits</t>
        </is>
      </c>
      <c r="P65" t="n">
        <v>-5.610008971655252</v>
      </c>
      <c r="Q65" t="inlineStr"/>
      <c r="R65" t="n">
        <v>3703</v>
      </c>
      <c r="S65" t="n">
        <v>1406</v>
      </c>
      <c r="T65" t="inlineStr"/>
      <c r="U65" t="n">
        <v>-33.67</v>
      </c>
      <c r="V65" t="inlineStr"/>
      <c r="W65" t="n">
        <v>26.27466807405338</v>
      </c>
      <c r="X65" t="inlineStr">
        <is>
          <t>Galeras</t>
        </is>
      </c>
      <c r="Y65" t="n">
        <v>1000</v>
      </c>
      <c r="Z65" t="n">
        <v>48</v>
      </c>
      <c r="AA65" t="inlineStr">
        <is>
          <t>Galeras</t>
        </is>
      </c>
      <c r="AB65" t="inlineStr">
        <is>
          <t>GAL_48</t>
        </is>
      </c>
      <c r="AC65" t="n">
        <v>1406</v>
      </c>
      <c r="AD65" t="n">
        <v>1</v>
      </c>
      <c r="AE65" t="inlineStr"/>
      <c r="AF65" t="inlineStr"/>
      <c r="AG65" t="inlineStr"/>
      <c r="AH65" t="inlineStr">
        <is>
          <t>Malpighiaceae</t>
        </is>
      </c>
      <c r="AI65" t="inlineStr">
        <is>
          <t>Byrsonima</t>
        </is>
      </c>
      <c r="AJ65" t="inlineStr"/>
      <c r="AK65" s="2" t="n">
        <v>38871</v>
      </c>
      <c r="AL65" t="n">
        <v>23.8732414637843</v>
      </c>
      <c r="AM65" t="inlineStr"/>
      <c r="AN65" t="inlineStr"/>
      <c r="AO65" t="inlineStr"/>
      <c r="AP65" t="inlineStr"/>
      <c r="AQ65" t="inlineStr">
        <is>
          <t>3703, 2461</t>
        </is>
      </c>
      <c r="AR65" t="inlineStr"/>
      <c r="AS65" t="inlineStr"/>
      <c r="AT65" t="inlineStr">
        <is>
          <t>ø</t>
        </is>
      </c>
      <c r="AU65" t="n">
        <v>8666</v>
      </c>
      <c r="AV65" t="n">
        <v>1</v>
      </c>
      <c r="AW65" t="inlineStr"/>
      <c r="AX65" t="inlineStr"/>
      <c r="AY65" s="2" t="n">
        <v>45666</v>
      </c>
      <c r="AZ65" t="n">
        <v>29.5</v>
      </c>
      <c r="BA65" t="n">
        <v>20.5</v>
      </c>
      <c r="BB65" t="inlineStr"/>
      <c r="BC65" t="inlineStr"/>
      <c r="BD65" t="inlineStr">
        <is>
          <t>A</t>
        </is>
      </c>
      <c r="BE65" t="inlineStr"/>
      <c r="BF65" t="inlineStr"/>
      <c r="BG65" t="inlineStr">
        <is>
          <t>3 - frutos</t>
        </is>
      </c>
      <c r="BH65" t="inlineStr"/>
      <c r="BI65" t="inlineStr"/>
      <c r="BJ65" t="inlineStr"/>
      <c r="BK65" t="inlineStr"/>
      <c r="BL65" t="inlineStr"/>
      <c r="BM65" t="inlineStr"/>
    </row>
    <row r="66">
      <c r="A66" s="1" t="n">
        <v>64</v>
      </c>
      <c r="B66" t="n">
        <v>312.9541058683133</v>
      </c>
      <c r="C66" t="n">
        <v>0.8190586141179129</v>
      </c>
      <c r="D66" t="n">
        <v>60</v>
      </c>
      <c r="E66" t="inlineStr">
        <is>
          <t>plot 60</t>
        </is>
      </c>
      <c r="F66" t="inlineStr">
        <is>
          <t>jh-3662</t>
        </is>
      </c>
      <c r="G66" t="inlineStr"/>
      <c r="H66" t="inlineStr">
        <is>
          <t>leaf herbarium</t>
        </is>
      </c>
      <c r="I66" t="inlineStr"/>
      <c r="J66" t="n">
        <v>2006</v>
      </c>
      <c r="K66" t="n">
        <v>47.76</v>
      </c>
      <c r="L66" t="inlineStr"/>
      <c r="M66" t="inlineStr"/>
      <c r="N66" t="inlineStr"/>
      <c r="O66" t="inlineStr">
        <is>
          <t>plot 60#1806</t>
        </is>
      </c>
      <c r="P66" t="n">
        <v>43.20993383230415</v>
      </c>
      <c r="Q66" t="inlineStr"/>
      <c r="R66" t="n">
        <v>3662</v>
      </c>
      <c r="S66" t="n">
        <v>1806</v>
      </c>
      <c r="T66" t="inlineStr"/>
      <c r="U66" t="n">
        <v>-29.3</v>
      </c>
      <c r="V66" t="inlineStr"/>
      <c r="W66" t="n">
        <v>21.65447615123107</v>
      </c>
      <c r="X66" t="inlineStr">
        <is>
          <t>Galeras</t>
        </is>
      </c>
      <c r="Y66" t="n">
        <v>1500</v>
      </c>
      <c r="Z66" t="n">
        <v>60</v>
      </c>
      <c r="AA66" t="inlineStr">
        <is>
          <t>Galeras</t>
        </is>
      </c>
      <c r="AB66" t="inlineStr">
        <is>
          <t>GAL_60</t>
        </is>
      </c>
      <c r="AC66" t="n">
        <v>1806</v>
      </c>
      <c r="AD66" t="n">
        <v>1</v>
      </c>
      <c r="AE66" t="n">
        <v>1</v>
      </c>
      <c r="AF66" t="n">
        <v>0</v>
      </c>
      <c r="AG66" t="n">
        <v>0</v>
      </c>
      <c r="AH66" t="inlineStr">
        <is>
          <t>Calophyllaceae</t>
        </is>
      </c>
      <c r="AI66" t="inlineStr">
        <is>
          <t>Marila</t>
        </is>
      </c>
      <c r="AJ66" t="inlineStr"/>
      <c r="AK66" s="2" t="n">
        <v>39176</v>
      </c>
      <c r="AL66" t="n">
        <v>16.78</v>
      </c>
      <c r="AM66" s="2" t="n">
        <v>40724</v>
      </c>
      <c r="AN66" t="n">
        <v>16.78</v>
      </c>
      <c r="AO66" t="n">
        <v>18.6</v>
      </c>
      <c r="AP66" t="inlineStr"/>
      <c r="AQ66" t="inlineStr">
        <is>
          <t>3662, =2512</t>
        </is>
      </c>
      <c r="AR66" t="inlineStr"/>
      <c r="AS66" t="inlineStr">
        <is>
          <t>Ο</t>
        </is>
      </c>
      <c r="AT66" t="inlineStr">
        <is>
          <t>Ø</t>
        </is>
      </c>
      <c r="AU66" t="n">
        <v>8743</v>
      </c>
      <c r="AV66" t="n">
        <v>1</v>
      </c>
      <c r="AW66" t="inlineStr"/>
      <c r="AX66" t="inlineStr"/>
      <c r="AY66" s="2" t="n">
        <v>45539</v>
      </c>
      <c r="AZ66" t="n">
        <v>16.8</v>
      </c>
      <c r="BA66" t="n">
        <v>15</v>
      </c>
      <c r="BB66" t="inlineStr"/>
      <c r="BC66" t="inlineStr"/>
      <c r="BD66" t="inlineStr">
        <is>
          <t>A</t>
        </is>
      </c>
      <c r="BE66" t="inlineStr"/>
      <c r="BF66" t="inlineStr"/>
      <c r="BG66" t="inlineStr"/>
      <c r="BH66" t="inlineStr">
        <is>
          <t>Con dendrometro</t>
        </is>
      </c>
      <c r="BI66" t="inlineStr"/>
      <c r="BJ66" t="n">
        <v>0.7</v>
      </c>
      <c r="BK66" t="n">
        <v>4.6</v>
      </c>
      <c r="BL66" t="n">
        <v>1.19</v>
      </c>
      <c r="BM66" t="n">
        <v>0.63</v>
      </c>
    </row>
    <row r="67">
      <c r="A67" s="1" t="n">
        <v>65</v>
      </c>
      <c r="B67" t="n">
        <v>312.2423708397991</v>
      </c>
      <c r="C67" t="n">
        <v>0.8171958722808739</v>
      </c>
      <c r="D67" t="n">
        <v>28</v>
      </c>
      <c r="E67" t="inlineStr">
        <is>
          <t>plot 28</t>
        </is>
      </c>
      <c r="F67" t="inlineStr">
        <is>
          <t>jh-3601</t>
        </is>
      </c>
      <c r="G67" t="inlineStr"/>
      <c r="H67" t="inlineStr">
        <is>
          <t>leaf herbarium</t>
        </is>
      </c>
      <c r="I67" t="inlineStr"/>
      <c r="J67" t="n">
        <v>2006</v>
      </c>
      <c r="K67" t="n">
        <v>45.63</v>
      </c>
      <c r="L67" t="inlineStr"/>
      <c r="M67" t="inlineStr"/>
      <c r="N67" t="inlineStr"/>
      <c r="O67" t="inlineStr">
        <is>
          <t>plot 28#726, flower buds</t>
        </is>
      </c>
      <c r="P67" t="n">
        <v>43.65476822512556</v>
      </c>
      <c r="Q67" t="inlineStr"/>
      <c r="R67" t="n">
        <v>3601</v>
      </c>
      <c r="S67" t="n">
        <v>726</v>
      </c>
      <c r="T67" t="inlineStr"/>
      <c r="U67" t="n">
        <v>-29.26</v>
      </c>
      <c r="V67" t="inlineStr"/>
      <c r="W67" t="n">
        <v>21.61237818571399</v>
      </c>
      <c r="X67" t="inlineStr">
        <is>
          <t>Galeras</t>
        </is>
      </c>
      <c r="Y67" t="n">
        <v>2000</v>
      </c>
      <c r="Z67" t="n">
        <v>28</v>
      </c>
      <c r="AA67" t="inlineStr">
        <is>
          <t>Galeras</t>
        </is>
      </c>
      <c r="AB67" t="inlineStr">
        <is>
          <t>GAL_28</t>
        </is>
      </c>
      <c r="AC67" t="n">
        <v>726</v>
      </c>
      <c r="AD67" t="n">
        <v>1</v>
      </c>
      <c r="AE67" t="inlineStr"/>
      <c r="AF67" t="inlineStr"/>
      <c r="AG67" t="inlineStr"/>
      <c r="AH67" t="inlineStr">
        <is>
          <t>Sapotaceae</t>
        </is>
      </c>
      <c r="AI67" t="inlineStr">
        <is>
          <t>Sapo28</t>
        </is>
      </c>
      <c r="AJ67" t="inlineStr"/>
      <c r="AK67" s="2" t="n">
        <v>38821</v>
      </c>
      <c r="AL67" t="n">
        <v>26.10141066707084</v>
      </c>
      <c r="AM67" t="inlineStr"/>
      <c r="AN67" t="inlineStr"/>
      <c r="AO67" t="inlineStr"/>
      <c r="AP67" t="inlineStr"/>
      <c r="AQ67" t="inlineStr">
        <is>
          <t>3601</t>
        </is>
      </c>
      <c r="AR67" t="inlineStr"/>
      <c r="AS67" t="inlineStr">
        <is>
          <t>Ο</t>
        </is>
      </c>
      <c r="AT67" t="inlineStr">
        <is>
          <t>Ø</t>
        </is>
      </c>
      <c r="AU67" t="n">
        <v>8733</v>
      </c>
      <c r="AV67" t="n">
        <v>1</v>
      </c>
      <c r="AW67" t="inlineStr"/>
      <c r="AX67" t="inlineStr"/>
      <c r="AY67" s="2" t="n">
        <v>45538</v>
      </c>
      <c r="AZ67" t="n">
        <v>27.5</v>
      </c>
      <c r="BA67" t="n">
        <v>15.2</v>
      </c>
      <c r="BB67" t="inlineStr"/>
      <c r="BC67" t="inlineStr"/>
      <c r="BD67" t="inlineStr">
        <is>
          <t>D</t>
        </is>
      </c>
      <c r="BE67" t="inlineStr">
        <is>
          <t>Antes Protium , Ahora Sapotaceae</t>
        </is>
      </c>
      <c r="BF67" t="inlineStr">
        <is>
          <t>JH6773</t>
        </is>
      </c>
      <c r="BG67" t="inlineStr"/>
      <c r="BH67" t="inlineStr"/>
      <c r="BI67" t="inlineStr"/>
      <c r="BJ67" t="n">
        <v>1</v>
      </c>
      <c r="BK67" t="n">
        <v>4.4</v>
      </c>
      <c r="BL67" t="n">
        <v>1.21</v>
      </c>
      <c r="BM67" t="n">
        <v>0.82</v>
      </c>
    </row>
    <row r="68">
      <c r="A68" s="1" t="n">
        <v>66</v>
      </c>
      <c r="B68" t="n">
        <v>336.6527413197203</v>
      </c>
      <c r="C68" t="n">
        <v>0.8810823139043691</v>
      </c>
      <c r="D68" t="n">
        <v>28</v>
      </c>
      <c r="E68" t="inlineStr">
        <is>
          <t>plot 28</t>
        </is>
      </c>
      <c r="F68" t="inlineStr">
        <is>
          <t>jh-3579</t>
        </is>
      </c>
      <c r="G68" t="inlineStr"/>
      <c r="H68" t="inlineStr">
        <is>
          <t>leaf herbarium</t>
        </is>
      </c>
      <c r="I68" t="inlineStr"/>
      <c r="J68" t="n">
        <v>2006</v>
      </c>
      <c r="K68" t="n">
        <v>44.99</v>
      </c>
      <c r="L68" t="inlineStr"/>
      <c r="M68" t="inlineStr"/>
      <c r="N68" t="inlineStr"/>
      <c r="O68" t="inlineStr">
        <is>
          <t>plot 28#719</t>
        </is>
      </c>
      <c r="P68" t="n">
        <v>28.39828667517476</v>
      </c>
      <c r="Q68" t="inlineStr"/>
      <c r="R68" t="n">
        <v>3579</v>
      </c>
      <c r="S68" t="n">
        <v>719</v>
      </c>
      <c r="T68" t="inlineStr"/>
      <c r="U68" t="n">
        <v>-30.63</v>
      </c>
      <c r="V68" t="inlineStr"/>
      <c r="W68" t="n">
        <v>23.05621176640499</v>
      </c>
      <c r="X68" t="inlineStr">
        <is>
          <t>Galeras</t>
        </is>
      </c>
      <c r="Y68" t="n">
        <v>2000</v>
      </c>
      <c r="Z68" t="n">
        <v>28</v>
      </c>
      <c r="AA68" t="inlineStr">
        <is>
          <t>Galeras</t>
        </is>
      </c>
      <c r="AB68" t="inlineStr">
        <is>
          <t>GAL_28</t>
        </is>
      </c>
      <c r="AC68" t="n">
        <v>719</v>
      </c>
      <c r="AD68" t="n">
        <v>1</v>
      </c>
      <c r="AE68" t="inlineStr"/>
      <c r="AF68" t="inlineStr"/>
      <c r="AG68" t="inlineStr"/>
      <c r="AH68" t="inlineStr">
        <is>
          <t>Fabaceae</t>
        </is>
      </c>
      <c r="AI68" t="inlineStr">
        <is>
          <t>Diplotropis</t>
        </is>
      </c>
      <c r="AJ68" t="inlineStr">
        <is>
          <t>aff purpurea</t>
        </is>
      </c>
      <c r="AK68" s="2" t="n">
        <v>38821</v>
      </c>
      <c r="AL68" t="n">
        <v>12.09577567498405</v>
      </c>
      <c r="AM68" t="inlineStr"/>
      <c r="AN68" t="inlineStr"/>
      <c r="AO68" t="inlineStr"/>
      <c r="AP68" t="inlineStr"/>
      <c r="AQ68" t="inlineStr">
        <is>
          <t>3579,2295</t>
        </is>
      </c>
      <c r="AR68" t="inlineStr"/>
      <c r="AS68" t="inlineStr">
        <is>
          <t>Ο</t>
        </is>
      </c>
      <c r="AT68" t="inlineStr">
        <is>
          <t>Ø</t>
        </is>
      </c>
      <c r="AU68" t="n">
        <v>8735</v>
      </c>
      <c r="AV68" t="n">
        <v>1</v>
      </c>
      <c r="AW68" t="inlineStr"/>
      <c r="AX68" t="inlineStr"/>
      <c r="AY68" s="2" t="n">
        <v>45538</v>
      </c>
      <c r="AZ68" t="n">
        <v>13</v>
      </c>
      <c r="BA68" t="n">
        <v>8</v>
      </c>
      <c r="BB68" t="inlineStr"/>
      <c r="BC68" t="inlineStr"/>
      <c r="BD68" t="inlineStr">
        <is>
          <t>D</t>
        </is>
      </c>
      <c r="BE68" t="inlineStr"/>
      <c r="BF68" t="inlineStr"/>
      <c r="BG68" t="inlineStr"/>
      <c r="BH68" t="inlineStr"/>
      <c r="BI68" t="inlineStr"/>
      <c r="BJ68" t="n">
        <v>1.1</v>
      </c>
      <c r="BK68" t="n">
        <v>4.6</v>
      </c>
      <c r="BL68" t="n">
        <v>1.25</v>
      </c>
      <c r="BM68" t="n">
        <v>0.73</v>
      </c>
    </row>
    <row r="69">
      <c r="A69" s="1" t="n">
        <v>67</v>
      </c>
      <c r="B69" t="n">
        <v>306.3727941507092</v>
      </c>
      <c r="C69" t="n">
        <v>0.8018341075419645</v>
      </c>
      <c r="D69" t="n">
        <v>28</v>
      </c>
      <c r="E69" t="inlineStr">
        <is>
          <t>plot 28</t>
        </is>
      </c>
      <c r="F69" t="inlineStr">
        <is>
          <t>jh-3589</t>
        </is>
      </c>
      <c r="G69" t="inlineStr"/>
      <c r="H69" t="inlineStr">
        <is>
          <t>leaf herbarium</t>
        </is>
      </c>
      <c r="I69" t="inlineStr"/>
      <c r="J69" t="n">
        <v>2006</v>
      </c>
      <c r="K69" t="n">
        <v>43.11</v>
      </c>
      <c r="L69" t="inlineStr"/>
      <c r="M69" t="inlineStr"/>
      <c r="N69" t="inlineStr"/>
      <c r="O69" t="inlineStr">
        <is>
          <t>plot 28#716</t>
        </is>
      </c>
      <c r="P69" t="n">
        <v>47.32325365580674</v>
      </c>
      <c r="Q69" t="inlineStr"/>
      <c r="R69" t="n">
        <v>3589</v>
      </c>
      <c r="S69" t="n">
        <v>716</v>
      </c>
      <c r="T69" t="inlineStr"/>
      <c r="U69" t="n">
        <v>-28.93</v>
      </c>
      <c r="V69" t="inlineStr"/>
      <c r="W69" t="n">
        <v>21.26520230261464</v>
      </c>
      <c r="X69" t="inlineStr">
        <is>
          <t>Galeras</t>
        </is>
      </c>
      <c r="Y69" t="n">
        <v>2000</v>
      </c>
      <c r="Z69" t="n">
        <v>28</v>
      </c>
      <c r="AA69" t="inlineStr">
        <is>
          <t>Galeras</t>
        </is>
      </c>
      <c r="AB69" t="inlineStr">
        <is>
          <t>GAL_28</t>
        </is>
      </c>
      <c r="AC69" t="n">
        <v>716</v>
      </c>
      <c r="AD69" t="n">
        <v>1</v>
      </c>
      <c r="AE69" t="inlineStr"/>
      <c r="AF69" t="inlineStr"/>
      <c r="AG69" t="inlineStr"/>
      <c r="AH69" t="inlineStr">
        <is>
          <t>Chrysobalanaceae</t>
        </is>
      </c>
      <c r="AI69" t="inlineStr">
        <is>
          <t>Moquilea</t>
        </is>
      </c>
      <c r="AJ69" t="inlineStr">
        <is>
          <t>magnifructa</t>
        </is>
      </c>
      <c r="AK69" s="2" t="n">
        <v>38821</v>
      </c>
      <c r="AL69" t="n">
        <v>12.09577567498405</v>
      </c>
      <c r="AM69" t="inlineStr"/>
      <c r="AN69" t="inlineStr"/>
      <c r="AO69" t="inlineStr"/>
      <c r="AP69" t="inlineStr"/>
      <c r="AQ69" t="inlineStr">
        <is>
          <t>3589</t>
        </is>
      </c>
      <c r="AR69" t="inlineStr"/>
      <c r="AS69" t="inlineStr">
        <is>
          <t>Ο</t>
        </is>
      </c>
      <c r="AT69" t="inlineStr">
        <is>
          <t>Ø</t>
        </is>
      </c>
      <c r="AU69" t="n">
        <v>8736</v>
      </c>
      <c r="AV69" t="n">
        <v>1</v>
      </c>
      <c r="AW69" t="inlineStr"/>
      <c r="AX69" t="inlineStr"/>
      <c r="AY69" s="2" t="n">
        <v>45538</v>
      </c>
      <c r="AZ69" t="n">
        <v>12.7</v>
      </c>
      <c r="BA69" t="n">
        <v>11.4</v>
      </c>
      <c r="BB69" t="inlineStr"/>
      <c r="BC69" t="inlineStr"/>
      <c r="BD69" t="inlineStr">
        <is>
          <t>D</t>
        </is>
      </c>
      <c r="BE69" t="inlineStr"/>
      <c r="BF69" t="inlineStr"/>
      <c r="BG69" t="inlineStr"/>
      <c r="BH69" t="inlineStr"/>
      <c r="BI69" t="inlineStr">
        <is>
          <t>Antes L. macrocarpa Ahora Moquilea magnifructa</t>
        </is>
      </c>
      <c r="BJ69" t="n">
        <v>0.4</v>
      </c>
      <c r="BK69" t="n">
        <v>4.6</v>
      </c>
      <c r="BL69" t="n">
        <v>1.16</v>
      </c>
      <c r="BM69" t="n">
        <v>0.7</v>
      </c>
    </row>
    <row r="70">
      <c r="A70" s="1" t="n">
        <v>68</v>
      </c>
      <c r="B70" t="n">
        <v>321.4995037563781</v>
      </c>
      <c r="C70" t="n">
        <v>0.8414234964442361</v>
      </c>
      <c r="D70" t="n">
        <v>48</v>
      </c>
      <c r="E70" t="inlineStr">
        <is>
          <t>plot 48</t>
        </is>
      </c>
      <c r="F70" t="inlineStr">
        <is>
          <t>jh-3707</t>
        </is>
      </c>
      <c r="G70" t="inlineStr"/>
      <c r="H70" t="inlineStr">
        <is>
          <t>leaf herbarium</t>
        </is>
      </c>
      <c r="I70" t="inlineStr"/>
      <c r="J70" t="n">
        <v>2006</v>
      </c>
      <c r="K70" t="n">
        <v>59.24</v>
      </c>
      <c r="L70" t="inlineStr"/>
      <c r="M70" t="inlineStr"/>
      <c r="N70" t="inlineStr"/>
      <c r="O70" t="inlineStr">
        <is>
          <t>plot 48#1390, flowers and fruits</t>
        </is>
      </c>
      <c r="P70" t="n">
        <v>37.86906015226364</v>
      </c>
      <c r="Q70" t="inlineStr"/>
      <c r="R70" t="n">
        <v>3707</v>
      </c>
      <c r="S70" t="n">
        <v>1390</v>
      </c>
      <c r="T70" t="inlineStr"/>
      <c r="U70" t="n">
        <v>-29.78</v>
      </c>
      <c r="V70" t="inlineStr"/>
      <c r="W70" t="n">
        <v>22.15992249180598</v>
      </c>
      <c r="X70" t="inlineStr">
        <is>
          <t>Galeras</t>
        </is>
      </c>
      <c r="Y70" t="n">
        <v>1000</v>
      </c>
      <c r="Z70" t="n">
        <v>48</v>
      </c>
      <c r="AA70" t="inlineStr">
        <is>
          <t>Galeras</t>
        </is>
      </c>
      <c r="AB70" t="inlineStr">
        <is>
          <t>GAL_48</t>
        </is>
      </c>
      <c r="AC70" t="n">
        <v>1390</v>
      </c>
      <c r="AD70" t="n">
        <v>1</v>
      </c>
      <c r="AE70" t="inlineStr"/>
      <c r="AF70" t="inlineStr"/>
      <c r="AG70" t="inlineStr"/>
      <c r="AH70" t="inlineStr">
        <is>
          <t>Annonaceae</t>
        </is>
      </c>
      <c r="AI70" t="inlineStr">
        <is>
          <t>Guatteria</t>
        </is>
      </c>
      <c r="AJ70" t="inlineStr">
        <is>
          <t>gentryi</t>
        </is>
      </c>
      <c r="AK70" s="2" t="n">
        <v>38871</v>
      </c>
      <c r="AL70" t="n">
        <v>10.50422624406509</v>
      </c>
      <c r="AM70" t="inlineStr"/>
      <c r="AN70" t="inlineStr"/>
      <c r="AO70" t="inlineStr"/>
      <c r="AP70" t="inlineStr"/>
      <c r="AQ70" t="inlineStr">
        <is>
          <t>3707,2456</t>
        </is>
      </c>
      <c r="AR70" t="inlineStr"/>
      <c r="AS70" t="inlineStr"/>
      <c r="AT70" t="inlineStr">
        <is>
          <t>ø</t>
        </is>
      </c>
      <c r="AU70" t="n">
        <v>8686</v>
      </c>
      <c r="AV70" t="n">
        <v>1</v>
      </c>
      <c r="AW70" t="inlineStr"/>
      <c r="AX70" t="inlineStr"/>
      <c r="AY70" s="2" t="n">
        <v>45666</v>
      </c>
      <c r="AZ70" t="n">
        <v>11.3</v>
      </c>
      <c r="BA70" t="n">
        <v>11</v>
      </c>
      <c r="BB70" t="inlineStr"/>
      <c r="BC70" t="inlineStr"/>
      <c r="BD70" t="inlineStr">
        <is>
          <t>D</t>
        </is>
      </c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</row>
    <row r="71">
      <c r="A71" s="1" t="n">
        <v>69</v>
      </c>
      <c r="B71" t="n">
        <v>257.9679703451673</v>
      </c>
      <c r="C71" t="n">
        <v>0.675149756196622</v>
      </c>
      <c r="D71" t="n">
        <v>62</v>
      </c>
      <c r="E71" t="inlineStr">
        <is>
          <t>plot 62</t>
        </is>
      </c>
      <c r="F71" t="inlineStr">
        <is>
          <t>jh-3611</t>
        </is>
      </c>
      <c r="G71" t="inlineStr"/>
      <c r="H71" t="inlineStr">
        <is>
          <t>leaf herbarium</t>
        </is>
      </c>
      <c r="I71" t="inlineStr"/>
      <c r="J71" t="n">
        <v>2006</v>
      </c>
      <c r="K71" t="n">
        <v>45.19</v>
      </c>
      <c r="L71" t="inlineStr"/>
      <c r="M71" t="inlineStr"/>
      <c r="N71" t="inlineStr"/>
      <c r="O71" t="inlineStr">
        <is>
          <t>plot 62#1901, old fruits</t>
        </is>
      </c>
      <c r="P71" t="n">
        <v>77.57626853427044</v>
      </c>
      <c r="Q71" t="inlineStr"/>
      <c r="R71" t="n">
        <v>3611</v>
      </c>
      <c r="S71" t="n">
        <v>1901</v>
      </c>
      <c r="T71" t="inlineStr"/>
      <c r="U71" t="n">
        <v>-26.2</v>
      </c>
      <c r="V71" t="inlineStr"/>
      <c r="W71" t="n">
        <v>18.4021359622099</v>
      </c>
      <c r="X71" t="inlineStr">
        <is>
          <t>Galeras</t>
        </is>
      </c>
      <c r="Y71" t="n">
        <v>1500</v>
      </c>
      <c r="Z71" t="n">
        <v>62</v>
      </c>
      <c r="AA71" t="inlineStr">
        <is>
          <t>Galeras</t>
        </is>
      </c>
      <c r="AB71" t="inlineStr">
        <is>
          <t>GAL_62</t>
        </is>
      </c>
      <c r="AC71" t="n">
        <v>1901</v>
      </c>
      <c r="AD71" t="n">
        <v>1</v>
      </c>
      <c r="AE71" t="inlineStr"/>
      <c r="AF71" t="inlineStr"/>
      <c r="AG71" t="inlineStr"/>
      <c r="AH71" t="inlineStr">
        <is>
          <t>Rubiaceae</t>
        </is>
      </c>
      <c r="AI71" t="inlineStr">
        <is>
          <t>Rubi28</t>
        </is>
      </c>
      <c r="AJ71" t="inlineStr"/>
      <c r="AK71" s="2" t="n">
        <v>38902</v>
      </c>
      <c r="AL71" t="n">
        <v>16.23380419537332</v>
      </c>
      <c r="AM71" t="inlineStr"/>
      <c r="AN71" t="inlineStr"/>
      <c r="AO71" t="inlineStr"/>
      <c r="AP71" t="inlineStr"/>
      <c r="AQ71" t="inlineStr">
        <is>
          <t>3611</t>
        </is>
      </c>
      <c r="AR71" t="inlineStr"/>
      <c r="AS71" t="inlineStr"/>
      <c r="AT71" t="inlineStr"/>
      <c r="AU71" t="n">
        <v>8924</v>
      </c>
      <c r="AV71" t="n">
        <v>1</v>
      </c>
      <c r="AW71" t="inlineStr"/>
      <c r="AX71" t="inlineStr"/>
      <c r="AY71" s="2" t="n">
        <v>45540</v>
      </c>
      <c r="AZ71" t="n">
        <v>26.8</v>
      </c>
      <c r="BA71" t="inlineStr"/>
      <c r="BB71" t="inlineStr"/>
      <c r="BC71" t="inlineStr"/>
      <c r="BD71" t="inlineStr">
        <is>
          <t>C</t>
        </is>
      </c>
      <c r="BE71" t="inlineStr">
        <is>
          <t>Antes Ladenbergia, Ahora Rubi28</t>
        </is>
      </c>
      <c r="BF71" t="inlineStr">
        <is>
          <t xml:space="preserve"> =JH6776</t>
        </is>
      </c>
      <c r="BG71" t="inlineStr"/>
      <c r="BH71" t="inlineStr">
        <is>
          <t>inclinado, FALTA ALTURA</t>
        </is>
      </c>
      <c r="BI71" t="inlineStr"/>
      <c r="BJ71" t="inlineStr"/>
      <c r="BK71" t="inlineStr"/>
      <c r="BL71" t="inlineStr"/>
      <c r="BM71" t="inlineStr"/>
    </row>
    <row r="72">
      <c r="A72" s="1" t="n">
        <v>70</v>
      </c>
      <c r="B72" t="n">
        <v>300.5072054383692</v>
      </c>
      <c r="C72" t="n">
        <v>0.7864827800737241</v>
      </c>
      <c r="D72" t="n">
        <v>62</v>
      </c>
      <c r="E72" t="inlineStr">
        <is>
          <t>plot 62</t>
        </is>
      </c>
      <c r="F72" t="inlineStr">
        <is>
          <t>jh-3595</t>
        </is>
      </c>
      <c r="G72" t="inlineStr"/>
      <c r="H72" t="inlineStr">
        <is>
          <t>leaf herbarium</t>
        </is>
      </c>
      <c r="I72" t="inlineStr"/>
      <c r="J72" t="n">
        <v>2006</v>
      </c>
      <c r="K72" t="n">
        <v>45.05</v>
      </c>
      <c r="L72" t="inlineStr"/>
      <c r="M72" t="inlineStr"/>
      <c r="N72" t="inlineStr"/>
      <c r="O72" t="inlineStr">
        <is>
          <t>plot 62#1872, fruits</t>
        </is>
      </c>
      <c r="P72" t="n">
        <v>50.98924660101923</v>
      </c>
      <c r="Q72" t="inlineStr"/>
      <c r="R72" t="n">
        <v>3595</v>
      </c>
      <c r="S72" t="n">
        <v>1872</v>
      </c>
      <c r="T72" t="inlineStr"/>
      <c r="U72" t="n">
        <v>-28.6</v>
      </c>
      <c r="V72" t="inlineStr"/>
      <c r="W72" t="n">
        <v>20.91826230183241</v>
      </c>
      <c r="X72" t="inlineStr">
        <is>
          <t>Galeras</t>
        </is>
      </c>
      <c r="Y72" t="n">
        <v>1500</v>
      </c>
      <c r="Z72" t="n">
        <v>62</v>
      </c>
      <c r="AA72" t="inlineStr">
        <is>
          <t>Galeras</t>
        </is>
      </c>
      <c r="AB72" t="inlineStr">
        <is>
          <t>GAL_62</t>
        </is>
      </c>
      <c r="AC72" t="n">
        <v>1872</v>
      </c>
      <c r="AD72" t="n">
        <v>1</v>
      </c>
      <c r="AE72" t="inlineStr"/>
      <c r="AF72" t="inlineStr"/>
      <c r="AG72" t="inlineStr"/>
      <c r="AH72" t="inlineStr"/>
      <c r="AI72" t="inlineStr"/>
      <c r="AJ72" t="inlineStr"/>
      <c r="AK72" s="2" t="n">
        <v>38902</v>
      </c>
      <c r="AL72" t="n">
        <v>16.23380419537332</v>
      </c>
      <c r="AM72" t="inlineStr"/>
      <c r="AN72" t="inlineStr"/>
      <c r="AO72" t="inlineStr"/>
      <c r="AP72" t="inlineStr"/>
      <c r="AQ72" t="inlineStr">
        <is>
          <t>3595</t>
        </is>
      </c>
      <c r="AR72" t="inlineStr"/>
      <c r="AS72" t="inlineStr">
        <is>
          <t>Ο</t>
        </is>
      </c>
      <c r="AT72" t="inlineStr">
        <is>
          <t>Ø</t>
        </is>
      </c>
      <c r="AU72" t="n">
        <v>8920</v>
      </c>
      <c r="AV72" t="n">
        <v>1</v>
      </c>
      <c r="AW72" t="inlineStr"/>
      <c r="AX72" t="inlineStr"/>
      <c r="AY72" s="2" t="n">
        <v>45540</v>
      </c>
      <c r="AZ72" t="n">
        <v>18.7</v>
      </c>
      <c r="BA72" t="inlineStr"/>
      <c r="BB72" t="inlineStr"/>
      <c r="BC72" t="inlineStr"/>
      <c r="BD72" t="inlineStr">
        <is>
          <t>B</t>
        </is>
      </c>
      <c r="BE72" t="inlineStr">
        <is>
          <t>Antes Aniba, Ahora ???</t>
        </is>
      </c>
      <c r="BF72" t="inlineStr">
        <is>
          <t>JH6798</t>
        </is>
      </c>
      <c r="BG72" t="inlineStr"/>
      <c r="BH72" t="inlineStr">
        <is>
          <t>FALTA ALTURA</t>
        </is>
      </c>
      <c r="BI72" t="inlineStr"/>
      <c r="BJ72" t="n">
        <v>0.4</v>
      </c>
      <c r="BK72" t="n">
        <v>6.2</v>
      </c>
      <c r="BL72" t="n">
        <v>1.42</v>
      </c>
      <c r="BM72" t="n">
        <v>0.8100000000000001</v>
      </c>
    </row>
    <row r="73">
      <c r="A73" s="1" t="n">
        <v>71</v>
      </c>
      <c r="B73" t="n">
        <v>288.2556615474167</v>
      </c>
      <c r="C73" t="n">
        <v>0.7544182301222663</v>
      </c>
      <c r="D73" t="n">
        <v>28</v>
      </c>
      <c r="E73" t="inlineStr">
        <is>
          <t>plot 28</t>
        </is>
      </c>
      <c r="F73" t="inlineStr">
        <is>
          <t>jh-3581</t>
        </is>
      </c>
      <c r="G73" t="inlineStr"/>
      <c r="H73" t="inlineStr">
        <is>
          <t>leaf herbarium</t>
        </is>
      </c>
      <c r="I73" t="inlineStr"/>
      <c r="J73" t="n">
        <v>2006</v>
      </c>
      <c r="K73" t="n">
        <v>47.09</v>
      </c>
      <c r="L73" t="inlineStr"/>
      <c r="M73" t="inlineStr"/>
      <c r="N73" t="inlineStr"/>
      <c r="O73" t="inlineStr">
        <is>
          <t>plot 28#739</t>
        </is>
      </c>
      <c r="P73" t="n">
        <v>58.64646153286454</v>
      </c>
      <c r="Q73" t="inlineStr"/>
      <c r="R73" t="n">
        <v>3581</v>
      </c>
      <c r="S73" t="n">
        <v>739</v>
      </c>
      <c r="T73" t="inlineStr"/>
      <c r="U73" t="n">
        <v>-27.91</v>
      </c>
      <c r="V73" t="inlineStr"/>
      <c r="W73" t="n">
        <v>20.19360347292946</v>
      </c>
      <c r="X73" t="inlineStr">
        <is>
          <t>Galeras</t>
        </is>
      </c>
      <c r="Y73" t="n">
        <v>2000</v>
      </c>
      <c r="Z73" t="n">
        <v>28</v>
      </c>
      <c r="AA73" t="inlineStr">
        <is>
          <t>Galeras</t>
        </is>
      </c>
      <c r="AB73" t="inlineStr">
        <is>
          <t>GAL_28</t>
        </is>
      </c>
      <c r="AC73" t="n">
        <v>739</v>
      </c>
      <c r="AD73" t="n">
        <v>1</v>
      </c>
      <c r="AE73" t="inlineStr"/>
      <c r="AF73" t="inlineStr"/>
      <c r="AG73" t="inlineStr"/>
      <c r="AH73" t="inlineStr">
        <is>
          <t>Rubiaceae</t>
        </is>
      </c>
      <c r="AI73" t="inlineStr">
        <is>
          <t>Elaeagia</t>
        </is>
      </c>
      <c r="AJ73" t="inlineStr">
        <is>
          <t>mariae</t>
        </is>
      </c>
      <c r="AK73" s="2" t="n">
        <v>38821</v>
      </c>
      <c r="AL73" t="n">
        <v>20.05352282957881</v>
      </c>
      <c r="AM73" t="inlineStr"/>
      <c r="AN73" t="inlineStr"/>
      <c r="AO73" t="inlineStr"/>
      <c r="AP73" t="inlineStr"/>
      <c r="AQ73" t="inlineStr">
        <is>
          <t>3581</t>
        </is>
      </c>
      <c r="AR73" t="inlineStr"/>
      <c r="AS73" t="inlineStr">
        <is>
          <t>Ο</t>
        </is>
      </c>
      <c r="AT73" t="inlineStr">
        <is>
          <t>Ø</t>
        </is>
      </c>
      <c r="AU73" t="n">
        <v>8726</v>
      </c>
      <c r="AV73" t="n">
        <v>1</v>
      </c>
      <c r="AW73" t="inlineStr"/>
      <c r="AX73" t="inlineStr"/>
      <c r="AY73" s="2" t="n">
        <v>45538</v>
      </c>
      <c r="AZ73" t="n">
        <v>23.3</v>
      </c>
      <c r="BA73" t="n">
        <v>16</v>
      </c>
      <c r="BB73" t="inlineStr"/>
      <c r="BC73" t="inlineStr"/>
      <c r="BD73" t="inlineStr">
        <is>
          <t>D</t>
        </is>
      </c>
      <c r="BE73" t="inlineStr"/>
      <c r="BF73" t="inlineStr"/>
      <c r="BG73" t="inlineStr"/>
      <c r="BH73" t="inlineStr"/>
      <c r="BI73" t="inlineStr"/>
      <c r="BJ73" t="n">
        <v>0.9</v>
      </c>
      <c r="BK73" t="inlineStr">
        <is>
          <t>1.9-2.7</t>
        </is>
      </c>
      <c r="BL73" t="n">
        <v>1.13</v>
      </c>
      <c r="BM73" t="n">
        <v>0.53</v>
      </c>
    </row>
    <row r="74">
      <c r="A74" s="1" t="n">
        <v>72</v>
      </c>
      <c r="B74" t="n">
        <v>330.4099557102332</v>
      </c>
      <c r="C74" t="n">
        <v>0.864743792588744</v>
      </c>
      <c r="D74" t="n">
        <v>62</v>
      </c>
      <c r="E74" t="inlineStr">
        <is>
          <t>plot 62</t>
        </is>
      </c>
      <c r="F74" t="inlineStr">
        <is>
          <t>jh-3609</t>
        </is>
      </c>
      <c r="G74" t="inlineStr"/>
      <c r="H74" t="inlineStr">
        <is>
          <t>leaf herbarium</t>
        </is>
      </c>
      <c r="I74" t="inlineStr"/>
      <c r="J74" t="n">
        <v>2006</v>
      </c>
      <c r="K74" t="n">
        <v>44.13</v>
      </c>
      <c r="L74" t="inlineStr"/>
      <c r="M74" t="inlineStr"/>
      <c r="N74" t="inlineStr"/>
      <c r="O74" t="inlineStr">
        <is>
          <t>plot 62#1907</t>
        </is>
      </c>
      <c r="P74" t="n">
        <v>32.30002768110425</v>
      </c>
      <c r="Q74" t="inlineStr"/>
      <c r="R74" t="n">
        <v>3609</v>
      </c>
      <c r="S74" t="n">
        <v>1907</v>
      </c>
      <c r="T74" t="inlineStr"/>
      <c r="U74" t="n">
        <v>-30.28</v>
      </c>
      <c r="V74" t="inlineStr"/>
      <c r="W74" t="n">
        <v>22.68696118467186</v>
      </c>
      <c r="X74" t="inlineStr">
        <is>
          <t>Galeras</t>
        </is>
      </c>
      <c r="Y74" t="n">
        <v>1500</v>
      </c>
      <c r="Z74" t="n">
        <v>62</v>
      </c>
      <c r="AA74" t="inlineStr">
        <is>
          <t>Galeras</t>
        </is>
      </c>
      <c r="AB74" t="inlineStr">
        <is>
          <t>GAL_62</t>
        </is>
      </c>
      <c r="AC74" t="n">
        <v>1907</v>
      </c>
      <c r="AD74" t="n">
        <v>1</v>
      </c>
      <c r="AE74" t="inlineStr"/>
      <c r="AF74" t="inlineStr"/>
      <c r="AG74" t="inlineStr"/>
      <c r="AH74" t="inlineStr">
        <is>
          <t>Lauraceae</t>
        </is>
      </c>
      <c r="AI74" t="inlineStr">
        <is>
          <t>Aniba</t>
        </is>
      </c>
      <c r="AJ74" t="inlineStr"/>
      <c r="AK74" s="2" t="n">
        <v>38902</v>
      </c>
      <c r="AL74" t="n">
        <v>19.09859317102744</v>
      </c>
      <c r="AM74" t="inlineStr"/>
      <c r="AN74" t="inlineStr"/>
      <c r="AO74" t="inlineStr"/>
      <c r="AP74" t="inlineStr"/>
      <c r="AQ74" t="inlineStr">
        <is>
          <t>3609</t>
        </is>
      </c>
      <c r="AR74" t="inlineStr"/>
      <c r="AS74" t="inlineStr"/>
      <c r="AT74" t="inlineStr"/>
      <c r="AU74" t="n">
        <v>8915</v>
      </c>
      <c r="AV74" t="n">
        <v>1</v>
      </c>
      <c r="AW74" t="inlineStr"/>
      <c r="AX74" t="n">
        <v>1</v>
      </c>
      <c r="AY74" s="2" t="n">
        <v>45540</v>
      </c>
      <c r="AZ74" t="inlineStr"/>
      <c r="BA74" t="inlineStr"/>
      <c r="BB74" t="inlineStr"/>
      <c r="BC74" t="inlineStr"/>
      <c r="BD74" t="inlineStr">
        <is>
          <t>B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</row>
    <row r="75">
      <c r="A75" s="1" t="n">
        <v>73</v>
      </c>
      <c r="B75" t="n">
        <v>358.0908443490825</v>
      </c>
      <c r="C75" t="n">
        <v>0.9371897834255871</v>
      </c>
      <c r="D75" t="n">
        <v>60</v>
      </c>
      <c r="E75" t="inlineStr">
        <is>
          <t>plot 60</t>
        </is>
      </c>
      <c r="F75" t="inlineStr">
        <is>
          <t>jh-3659</t>
        </is>
      </c>
      <c r="G75" t="inlineStr"/>
      <c r="H75" t="inlineStr">
        <is>
          <t>leaf herbarium</t>
        </is>
      </c>
      <c r="I75" t="inlineStr"/>
      <c r="J75" t="n">
        <v>2006</v>
      </c>
      <c r="K75" t="n">
        <v>44.55</v>
      </c>
      <c r="L75" t="inlineStr"/>
      <c r="M75" t="inlineStr"/>
      <c r="N75" t="inlineStr"/>
      <c r="O75" t="inlineStr">
        <is>
          <t>plot 60#1804</t>
        </is>
      </c>
      <c r="P75" t="n">
        <v>14.99947228182338</v>
      </c>
      <c r="Q75" t="inlineStr"/>
      <c r="R75" t="n">
        <v>3659</v>
      </c>
      <c r="S75" t="n">
        <v>1804</v>
      </c>
      <c r="T75" t="inlineStr"/>
      <c r="U75" t="n">
        <v>-31.83</v>
      </c>
      <c r="V75" t="inlineStr"/>
      <c r="W75" t="n">
        <v>24.32424057758451</v>
      </c>
      <c r="X75" t="inlineStr">
        <is>
          <t>Galeras</t>
        </is>
      </c>
      <c r="Y75" t="n">
        <v>1500</v>
      </c>
      <c r="Z75" t="n">
        <v>60</v>
      </c>
      <c r="AA75" t="inlineStr">
        <is>
          <t>Galeras</t>
        </is>
      </c>
      <c r="AB75" t="inlineStr">
        <is>
          <t>GAL_60</t>
        </is>
      </c>
      <c r="AC75" t="n">
        <v>1804</v>
      </c>
      <c r="AD75" t="n">
        <v>1</v>
      </c>
      <c r="AE75" t="n">
        <v>1</v>
      </c>
      <c r="AF75" t="n">
        <v>0</v>
      </c>
      <c r="AG75" t="n">
        <v>0</v>
      </c>
      <c r="AH75" t="inlineStr">
        <is>
          <t>Lauraceae</t>
        </is>
      </c>
      <c r="AI75" t="inlineStr">
        <is>
          <t>Ocotea</t>
        </is>
      </c>
      <c r="AJ75" t="inlineStr"/>
      <c r="AK75" s="2" t="n">
        <v>39176</v>
      </c>
      <c r="AL75" t="n">
        <v>20.17</v>
      </c>
      <c r="AM75" s="2" t="n">
        <v>40724</v>
      </c>
      <c r="AN75" t="n">
        <v>20.19</v>
      </c>
      <c r="AO75" t="n">
        <v>13.1</v>
      </c>
      <c r="AP75" t="inlineStr"/>
      <c r="AQ75" t="inlineStr">
        <is>
          <t>3659 und 2524</t>
        </is>
      </c>
      <c r="AR75" t="inlineStr"/>
      <c r="AS75" t="inlineStr">
        <is>
          <t>Ο</t>
        </is>
      </c>
      <c r="AT75" t="inlineStr">
        <is>
          <t>Ø</t>
        </is>
      </c>
      <c r="AU75" t="n">
        <v>8777</v>
      </c>
      <c r="AV75" t="n">
        <v>1</v>
      </c>
      <c r="AW75" t="inlineStr"/>
      <c r="AX75" t="inlineStr"/>
      <c r="AY75" s="2" t="n">
        <v>45539</v>
      </c>
      <c r="AZ75" t="n">
        <v>20.67</v>
      </c>
      <c r="BA75" t="n">
        <v>15.9</v>
      </c>
      <c r="BB75" t="inlineStr"/>
      <c r="BC75" t="inlineStr"/>
      <c r="BD75" t="inlineStr">
        <is>
          <t>D</t>
        </is>
      </c>
      <c r="BE75" t="inlineStr"/>
      <c r="BF75" t="inlineStr"/>
      <c r="BG75" t="inlineStr"/>
      <c r="BH75" t="inlineStr">
        <is>
          <t>Con dendrometro</t>
        </is>
      </c>
      <c r="BI75" t="inlineStr"/>
      <c r="BJ75" t="n">
        <v>0.5</v>
      </c>
      <c r="BK75" t="n">
        <v>6.5</v>
      </c>
      <c r="BL75" t="n">
        <v>1.59</v>
      </c>
      <c r="BM75" t="n">
        <v>0.8</v>
      </c>
    </row>
    <row r="76">
      <c r="A76" s="1" t="n">
        <v>74</v>
      </c>
      <c r="B76" t="n">
        <v>325.4189708968159</v>
      </c>
      <c r="C76" t="n">
        <v>0.8516814648297939</v>
      </c>
      <c r="D76" t="n">
        <v>48</v>
      </c>
      <c r="E76" t="inlineStr">
        <is>
          <t>plot 48</t>
        </is>
      </c>
      <c r="F76" t="inlineStr">
        <is>
          <t>jh-3697</t>
        </is>
      </c>
      <c r="G76" t="inlineStr"/>
      <c r="H76" t="inlineStr">
        <is>
          <t>leaf herbarium</t>
        </is>
      </c>
      <c r="I76" t="inlineStr"/>
      <c r="J76" t="n">
        <v>2006</v>
      </c>
      <c r="K76" t="n">
        <v>50.79</v>
      </c>
      <c r="L76" t="inlineStr"/>
      <c r="M76" t="inlineStr"/>
      <c r="N76" t="inlineStr"/>
      <c r="O76" t="inlineStr">
        <is>
          <t>plot 48#1404</t>
        </is>
      </c>
      <c r="P76" t="n">
        <v>35.41939318949003</v>
      </c>
      <c r="Q76" t="inlineStr"/>
      <c r="R76" t="n">
        <v>3697</v>
      </c>
      <c r="S76" t="n">
        <v>1404</v>
      </c>
      <c r="T76" t="inlineStr"/>
      <c r="U76" t="n">
        <v>-30</v>
      </c>
      <c r="V76" t="inlineStr"/>
      <c r="W76" t="n">
        <v>22.39175257731959</v>
      </c>
      <c r="X76" t="inlineStr">
        <is>
          <t>Galeras</t>
        </is>
      </c>
      <c r="Y76" t="n">
        <v>1000</v>
      </c>
      <c r="Z76" t="n">
        <v>48</v>
      </c>
      <c r="AA76" t="inlineStr">
        <is>
          <t>Galeras</t>
        </is>
      </c>
      <c r="AB76" t="inlineStr">
        <is>
          <t>GAL_48</t>
        </is>
      </c>
      <c r="AC76" t="n">
        <v>1404</v>
      </c>
      <c r="AD76" t="n">
        <v>1</v>
      </c>
      <c r="AE76" t="inlineStr"/>
      <c r="AF76" t="inlineStr"/>
      <c r="AG76" t="inlineStr"/>
      <c r="AH76" t="inlineStr">
        <is>
          <t>Apocynaceae</t>
        </is>
      </c>
      <c r="AI76" t="inlineStr">
        <is>
          <t>Lacmellea</t>
        </is>
      </c>
      <c r="AJ76" t="inlineStr">
        <is>
          <t>speciosa</t>
        </is>
      </c>
      <c r="AK76" s="2" t="n">
        <v>38871</v>
      </c>
      <c r="AL76" t="n">
        <v>10.1859163578813</v>
      </c>
      <c r="AM76" t="inlineStr"/>
      <c r="AN76" t="inlineStr"/>
      <c r="AO76" t="inlineStr"/>
      <c r="AP76" t="inlineStr"/>
      <c r="AQ76" t="inlineStr">
        <is>
          <t>3697</t>
        </is>
      </c>
      <c r="AR76" t="inlineStr"/>
      <c r="AS76" t="inlineStr"/>
      <c r="AT76" t="inlineStr">
        <is>
          <t>ø</t>
        </is>
      </c>
      <c r="AU76" t="n">
        <v>8669</v>
      </c>
      <c r="AV76" t="n">
        <v>1</v>
      </c>
      <c r="AW76" t="inlineStr"/>
      <c r="AX76" t="inlineStr"/>
      <c r="AY76" s="2" t="n">
        <v>45666</v>
      </c>
      <c r="AZ76" t="n">
        <v>11.2</v>
      </c>
      <c r="BA76" t="n">
        <v>12</v>
      </c>
      <c r="BB76" t="inlineStr"/>
      <c r="BC76" t="inlineStr"/>
      <c r="BD76" t="inlineStr">
        <is>
          <t>B</t>
        </is>
      </c>
      <c r="BE76" t="inlineStr"/>
      <c r="BF76" t="inlineStr"/>
      <c r="BG76" t="n">
        <v>2</v>
      </c>
      <c r="BH76" t="inlineStr"/>
      <c r="BI76" t="inlineStr"/>
      <c r="BJ76" t="inlineStr"/>
      <c r="BK76" t="inlineStr"/>
      <c r="BL76" t="inlineStr"/>
      <c r="BM76" t="inlineStr"/>
    </row>
    <row r="77">
      <c r="A77" s="1" t="n">
        <v>75</v>
      </c>
      <c r="B77" t="inlineStr"/>
      <c r="C77" t="inlineStr"/>
      <c r="D77" t="n">
        <v>22</v>
      </c>
      <c r="E77" t="inlineStr"/>
      <c r="F77" t="inlineStr">
        <is>
          <t>jh-p22-3782</t>
        </is>
      </c>
      <c r="G77" t="inlineStr"/>
      <c r="H77" t="inlineStr">
        <is>
          <t>leaf herbarium</t>
        </is>
      </c>
      <c r="I77" t="inlineStr">
        <is>
          <t>Miscelanea</t>
        </is>
      </c>
      <c r="J77" t="n">
        <v>2006</v>
      </c>
      <c r="K77" t="n">
        <v>0.4543</v>
      </c>
      <c r="L77" t="inlineStr"/>
      <c r="M77" t="inlineStr"/>
      <c r="N77" t="inlineStr"/>
      <c r="O77" t="inlineStr">
        <is>
          <t>plot 22#547</t>
        </is>
      </c>
      <c r="P77" t="inlineStr"/>
      <c r="Q77" t="inlineStr"/>
      <c r="R77" t="n">
        <v>3782</v>
      </c>
      <c r="S77" t="n">
        <v>547</v>
      </c>
      <c r="T77" t="inlineStr"/>
      <c r="U77" t="n">
        <v>-29.02</v>
      </c>
      <c r="V77" t="inlineStr"/>
      <c r="W77" t="inlineStr"/>
      <c r="X77" t="inlineStr">
        <is>
          <t>Galeras</t>
        </is>
      </c>
      <c r="Y77" t="n">
        <v>1000</v>
      </c>
      <c r="Z77" t="n">
        <v>22</v>
      </c>
      <c r="AA77" t="inlineStr">
        <is>
          <t>Galeras</t>
        </is>
      </c>
      <c r="AB77" t="inlineStr">
        <is>
          <t>GAL_22</t>
        </is>
      </c>
      <c r="AC77" t="n">
        <v>547</v>
      </c>
      <c r="AD77" t="n">
        <v>1</v>
      </c>
      <c r="AE77" t="n">
        <v>1</v>
      </c>
      <c r="AF77" t="n">
        <v>0</v>
      </c>
      <c r="AG77" t="n">
        <v>0</v>
      </c>
      <c r="AH77" t="inlineStr">
        <is>
          <t>Myristicaceae</t>
        </is>
      </c>
      <c r="AI77" t="inlineStr">
        <is>
          <t>Virola</t>
        </is>
      </c>
      <c r="AJ77" t="inlineStr">
        <is>
          <t>pavonis</t>
        </is>
      </c>
      <c r="AK77" s="2" t="n">
        <v>38823</v>
      </c>
      <c r="AL77" t="n">
        <v>33.2</v>
      </c>
      <c r="AM77" s="2" t="n">
        <v>40724</v>
      </c>
      <c r="AN77" t="n">
        <v>37.24</v>
      </c>
      <c r="AO77" t="inlineStr">
        <is>
          <t>31,5</t>
        </is>
      </c>
      <c r="AP77" t="inlineStr"/>
      <c r="AQ77" t="n">
        <v>3782</v>
      </c>
      <c r="AR77" t="inlineStr"/>
      <c r="AS77" t="inlineStr">
        <is>
          <t>Ο</t>
        </is>
      </c>
      <c r="AT77" t="inlineStr">
        <is>
          <t>Ø</t>
        </is>
      </c>
      <c r="AU77" t="n">
        <v>8968</v>
      </c>
      <c r="AV77" t="n">
        <v>1</v>
      </c>
      <c r="AW77" t="inlineStr"/>
      <c r="AX77" t="inlineStr"/>
      <c r="AY77" s="2" t="n">
        <v>45541</v>
      </c>
      <c r="AZ77" t="n">
        <v>51.5</v>
      </c>
      <c r="BA77" t="n">
        <v>26</v>
      </c>
      <c r="BB77" t="inlineStr"/>
      <c r="BC77" t="inlineStr"/>
      <c r="BD77" t="inlineStr">
        <is>
          <t>D</t>
        </is>
      </c>
      <c r="BE77" t="inlineStr"/>
      <c r="BF77" t="inlineStr"/>
      <c r="BG77" t="inlineStr"/>
      <c r="BH77" t="inlineStr">
        <is>
          <t>Solo colectada hojas jovenes</t>
        </is>
      </c>
      <c r="BI77" t="inlineStr"/>
      <c r="BJ77" t="n">
        <v>1.5</v>
      </c>
      <c r="BK77" t="n">
        <v>6.3</v>
      </c>
      <c r="BL77" t="n">
        <v>1.42</v>
      </c>
      <c r="BM77" t="n">
        <v>0.74</v>
      </c>
    </row>
    <row r="78">
      <c r="A78" s="1" t="n">
        <v>76</v>
      </c>
      <c r="B78" t="inlineStr"/>
      <c r="C78" t="inlineStr"/>
      <c r="D78" t="n">
        <v>50</v>
      </c>
      <c r="E78" t="inlineStr"/>
      <c r="F78" t="inlineStr">
        <is>
          <t>jh-p50-3620</t>
        </is>
      </c>
      <c r="G78" t="inlineStr"/>
      <c r="H78" t="inlineStr">
        <is>
          <t>leaf herbarium</t>
        </is>
      </c>
      <c r="I78" t="inlineStr">
        <is>
          <t>Miscelanea</t>
        </is>
      </c>
      <c r="J78" t="n">
        <v>2006</v>
      </c>
      <c r="K78" t="n">
        <v>0.4387</v>
      </c>
      <c r="L78" t="inlineStr"/>
      <c r="M78" t="inlineStr"/>
      <c r="N78" t="inlineStr"/>
      <c r="O78" t="inlineStr">
        <is>
          <t>plot 50#1486, fruits</t>
        </is>
      </c>
      <c r="P78" t="inlineStr"/>
      <c r="Q78" t="inlineStr"/>
      <c r="R78" t="n">
        <v>3620</v>
      </c>
      <c r="S78" t="n">
        <v>1486</v>
      </c>
      <c r="T78" t="inlineStr"/>
      <c r="U78" t="n">
        <v>-27.97</v>
      </c>
      <c r="V78" t="inlineStr"/>
      <c r="W78" t="inlineStr"/>
      <c r="X78" t="inlineStr">
        <is>
          <t>Galeras</t>
        </is>
      </c>
      <c r="Y78" t="n">
        <v>1500</v>
      </c>
      <c r="Z78" t="n">
        <v>50</v>
      </c>
      <c r="AA78" t="inlineStr">
        <is>
          <t>Galeras</t>
        </is>
      </c>
      <c r="AB78" t="inlineStr">
        <is>
          <t>GAL_50</t>
        </is>
      </c>
      <c r="AC78" t="n">
        <v>1486</v>
      </c>
      <c r="AD78" t="n">
        <v>1</v>
      </c>
      <c r="AE78" t="inlineStr"/>
      <c r="AF78" t="inlineStr"/>
      <c r="AG78" t="inlineStr"/>
      <c r="AH78" t="inlineStr">
        <is>
          <t>Lauraceae</t>
        </is>
      </c>
      <c r="AI78" t="inlineStr">
        <is>
          <t>Ocotea</t>
        </is>
      </c>
      <c r="AJ78" t="inlineStr">
        <is>
          <t xml:space="preserve"> cf. longifolia</t>
        </is>
      </c>
      <c r="AK78" s="2" t="n">
        <v>38873</v>
      </c>
      <c r="AL78" t="n">
        <v>35.01408748021697</v>
      </c>
      <c r="AM78" t="inlineStr"/>
      <c r="AN78" t="inlineStr"/>
      <c r="AO78" t="inlineStr"/>
      <c r="AP78" t="inlineStr"/>
      <c r="AQ78" t="inlineStr">
        <is>
          <t>3620</t>
        </is>
      </c>
      <c r="AR78" t="inlineStr"/>
      <c r="AS78" t="inlineStr">
        <is>
          <t>Ο</t>
        </is>
      </c>
      <c r="AT78" t="inlineStr">
        <is>
          <t>Ø</t>
        </is>
      </c>
      <c r="AU78" t="n">
        <v>8615</v>
      </c>
      <c r="AV78" t="n">
        <v>1</v>
      </c>
      <c r="AW78" t="inlineStr"/>
      <c r="AX78" t="inlineStr"/>
      <c r="AY78" s="2" t="n">
        <v>45540</v>
      </c>
      <c r="AZ78" t="n">
        <v>38.5</v>
      </c>
      <c r="BA78" t="n">
        <v>22</v>
      </c>
      <c r="BB78" t="inlineStr"/>
      <c r="BC78" t="inlineStr"/>
      <c r="BD78" t="inlineStr">
        <is>
          <t>C</t>
        </is>
      </c>
      <c r="BE78" t="inlineStr"/>
      <c r="BF78" t="inlineStr">
        <is>
          <t>JH6788</t>
        </is>
      </c>
      <c r="BG78" t="inlineStr"/>
      <c r="BH78" t="inlineStr"/>
      <c r="BI78" t="inlineStr">
        <is>
          <t>flores</t>
        </is>
      </c>
      <c r="BJ78" t="n">
        <v>1.3</v>
      </c>
      <c r="BK78" t="n">
        <v>3.3</v>
      </c>
      <c r="BL78" t="n">
        <v>0.73</v>
      </c>
      <c r="BM78" t="n">
        <v>0.43</v>
      </c>
    </row>
    <row r="79">
      <c r="A79" s="1" t="n">
        <v>77</v>
      </c>
      <c r="B79" t="inlineStr"/>
      <c r="C79" t="inlineStr"/>
      <c r="D79" t="n">
        <v>50</v>
      </c>
      <c r="E79" t="inlineStr"/>
      <c r="F79" t="inlineStr">
        <is>
          <t>jh-p50-3627</t>
        </is>
      </c>
      <c r="G79" t="inlineStr"/>
      <c r="H79" t="inlineStr">
        <is>
          <t>leaf herbarium</t>
        </is>
      </c>
      <c r="I79" t="inlineStr">
        <is>
          <t>Miscelanea</t>
        </is>
      </c>
      <c r="J79" t="n">
        <v>2006</v>
      </c>
      <c r="K79" t="n">
        <v>0.4391</v>
      </c>
      <c r="L79" t="inlineStr"/>
      <c r="M79" t="inlineStr"/>
      <c r="N79" t="inlineStr"/>
      <c r="O79" t="inlineStr">
        <is>
          <t>plot 50#1461 (silica dried leaves have been collected separately)</t>
        </is>
      </c>
      <c r="P79" t="inlineStr"/>
      <c r="Q79" t="inlineStr"/>
      <c r="R79" t="n">
        <v>3627</v>
      </c>
      <c r="S79" t="n">
        <v>1461</v>
      </c>
      <c r="T79" t="inlineStr"/>
      <c r="U79" t="n">
        <v>-31.58</v>
      </c>
      <c r="V79" t="inlineStr"/>
      <c r="W79" t="inlineStr"/>
      <c r="X79" t="inlineStr">
        <is>
          <t>Galeras</t>
        </is>
      </c>
      <c r="Y79" t="n">
        <v>1500</v>
      </c>
      <c r="Z79" t="n">
        <v>50</v>
      </c>
      <c r="AA79" t="inlineStr">
        <is>
          <t>Galeras</t>
        </is>
      </c>
      <c r="AB79" t="inlineStr">
        <is>
          <t>GAL_50</t>
        </is>
      </c>
      <c r="AC79" t="n">
        <v>1461</v>
      </c>
      <c r="AD79" t="n">
        <v>1</v>
      </c>
      <c r="AE79" t="inlineStr"/>
      <c r="AF79" t="inlineStr"/>
      <c r="AG79" t="inlineStr"/>
      <c r="AH79" t="inlineStr">
        <is>
          <t>Chrysobalanaceae</t>
        </is>
      </c>
      <c r="AI79" t="inlineStr">
        <is>
          <t>Licania</t>
        </is>
      </c>
      <c r="AJ79" t="inlineStr">
        <is>
          <t>micrantha</t>
        </is>
      </c>
      <c r="AK79" s="2" t="n">
        <v>38873</v>
      </c>
      <c r="AL79" t="n">
        <v>14.32394487827058</v>
      </c>
      <c r="AM79" t="inlineStr"/>
      <c r="AN79" t="inlineStr"/>
      <c r="AO79" t="inlineStr"/>
      <c r="AP79" t="inlineStr"/>
      <c r="AQ79" t="inlineStr">
        <is>
          <t>3627</t>
        </is>
      </c>
      <c r="AR79" t="inlineStr"/>
      <c r="AS79" t="inlineStr">
        <is>
          <t>Ο</t>
        </is>
      </c>
      <c r="AT79" t="inlineStr">
        <is>
          <t>Ø</t>
        </is>
      </c>
      <c r="AU79" t="n">
        <v>8796</v>
      </c>
      <c r="AV79" t="n">
        <v>1</v>
      </c>
      <c r="AW79" t="inlineStr"/>
      <c r="AX79" t="inlineStr"/>
      <c r="AY79" s="2" t="n">
        <v>45539</v>
      </c>
      <c r="AZ79" t="n">
        <v>14.9</v>
      </c>
      <c r="BA79" t="n">
        <v>8.800000000000001</v>
      </c>
      <c r="BB79" t="inlineStr"/>
      <c r="BC79" t="inlineStr"/>
      <c r="BD79" t="inlineStr">
        <is>
          <t>A</t>
        </is>
      </c>
      <c r="BE79" t="inlineStr"/>
      <c r="BF79" t="inlineStr"/>
      <c r="BG79" t="inlineStr"/>
      <c r="BH79" t="inlineStr">
        <is>
          <t>Placa nueva a 1.20 m, DBH a 10 cm debajo de la placa</t>
        </is>
      </c>
      <c r="BI79" t="inlineStr"/>
      <c r="BJ79" t="n">
        <v>0.3</v>
      </c>
      <c r="BK79" t="n">
        <v>5</v>
      </c>
      <c r="BL79" t="n">
        <v>1.3</v>
      </c>
      <c r="BM79" t="n">
        <v>0.86</v>
      </c>
    </row>
    <row r="80">
      <c r="A80" s="1" t="n">
        <v>78</v>
      </c>
      <c r="B80" t="inlineStr"/>
      <c r="C80" t="inlineStr"/>
      <c r="D80" t="n">
        <v>23</v>
      </c>
      <c r="E80" t="inlineStr"/>
      <c r="F80" t="inlineStr">
        <is>
          <t>jh-p23-3742</t>
        </is>
      </c>
      <c r="G80" t="inlineStr"/>
      <c r="H80" t="inlineStr">
        <is>
          <t>leaf herbarium</t>
        </is>
      </c>
      <c r="I80" t="inlineStr">
        <is>
          <t>Miscelanea</t>
        </is>
      </c>
      <c r="J80" t="n">
        <v>2006</v>
      </c>
      <c r="K80" t="n">
        <v>0.4123</v>
      </c>
      <c r="L80" t="inlineStr"/>
      <c r="M80" t="inlineStr"/>
      <c r="N80" t="inlineStr"/>
      <c r="O80" t="inlineStr">
        <is>
          <t>plot 23#576</t>
        </is>
      </c>
      <c r="P80" t="inlineStr"/>
      <c r="Q80" t="inlineStr"/>
      <c r="R80" t="n">
        <v>3742</v>
      </c>
      <c r="S80" t="n">
        <v>576</v>
      </c>
      <c r="T80" t="inlineStr"/>
      <c r="U80" t="n">
        <v>-32.18</v>
      </c>
      <c r="V80" t="inlineStr"/>
      <c r="W80" t="inlineStr"/>
      <c r="X80" t="inlineStr">
        <is>
          <t>Galeras</t>
        </is>
      </c>
      <c r="Y80" t="n">
        <v>1000</v>
      </c>
      <c r="Z80" t="n">
        <v>23</v>
      </c>
      <c r="AA80" t="inlineStr">
        <is>
          <t>Galeras</t>
        </is>
      </c>
      <c r="AB80" t="inlineStr">
        <is>
          <t>GAL_23</t>
        </is>
      </c>
      <c r="AC80" t="n">
        <v>576</v>
      </c>
      <c r="AD80" t="n">
        <v>1</v>
      </c>
      <c r="AE80" t="inlineStr"/>
      <c r="AF80" t="inlineStr"/>
      <c r="AG80" t="inlineStr"/>
      <c r="AH80" t="inlineStr">
        <is>
          <t>Rubiaceae</t>
        </is>
      </c>
      <c r="AI80" t="inlineStr">
        <is>
          <t>Kutchubaea</t>
        </is>
      </c>
      <c r="AJ80" t="inlineStr">
        <is>
          <t>semisericea</t>
        </is>
      </c>
      <c r="AK80" s="2" t="n">
        <v>38653</v>
      </c>
      <c r="AL80" t="n">
        <v>30.23943918746011</v>
      </c>
      <c r="AM80" t="inlineStr"/>
      <c r="AN80" t="inlineStr"/>
      <c r="AO80" t="inlineStr"/>
      <c r="AP80" t="inlineStr"/>
      <c r="AQ80" t="inlineStr">
        <is>
          <t>3742</t>
        </is>
      </c>
      <c r="AR80" t="inlineStr"/>
      <c r="AS80" t="inlineStr">
        <is>
          <t>Ο</t>
        </is>
      </c>
      <c r="AT80" t="inlineStr">
        <is>
          <t>Ø</t>
        </is>
      </c>
      <c r="AU80" t="n">
        <v>8990</v>
      </c>
      <c r="AV80" t="n">
        <v>1</v>
      </c>
      <c r="AW80" t="inlineStr"/>
      <c r="AX80" t="inlineStr"/>
      <c r="AY80" s="2" t="n">
        <v>45541</v>
      </c>
      <c r="AZ80" t="n">
        <v>32.9</v>
      </c>
      <c r="BA80" t="n">
        <v>19.4</v>
      </c>
      <c r="BB80" t="inlineStr"/>
      <c r="BC80" t="inlineStr"/>
      <c r="BD80" t="inlineStr">
        <is>
          <t>C</t>
        </is>
      </c>
      <c r="BE80" t="inlineStr"/>
      <c r="BF80" t="inlineStr"/>
      <c r="BG80" t="inlineStr"/>
      <c r="BH80" t="inlineStr"/>
      <c r="BI80" t="inlineStr"/>
      <c r="BJ80" t="n">
        <v>0.6</v>
      </c>
      <c r="BK80" t="inlineStr">
        <is>
          <t>1.3-1.4-1.5</t>
        </is>
      </c>
      <c r="BL80" t="n">
        <v>1.05</v>
      </c>
      <c r="BM80" t="n">
        <v>0.57</v>
      </c>
    </row>
    <row r="81">
      <c r="A81" s="1" t="n">
        <v>79</v>
      </c>
      <c r="B81" t="inlineStr"/>
      <c r="C81" t="inlineStr"/>
      <c r="D81" t="n">
        <v>48</v>
      </c>
      <c r="E81" t="inlineStr"/>
      <c r="F81" t="inlineStr">
        <is>
          <t>jh-p48-3712</t>
        </is>
      </c>
      <c r="G81" t="inlineStr"/>
      <c r="H81" t="inlineStr">
        <is>
          <t>leaf herbarium</t>
        </is>
      </c>
      <c r="I81" t="inlineStr">
        <is>
          <t>Miscelanea</t>
        </is>
      </c>
      <c r="J81" t="n">
        <v>2006</v>
      </c>
      <c r="K81" t="n">
        <v>0.4121</v>
      </c>
      <c r="L81" t="inlineStr"/>
      <c r="M81" t="inlineStr"/>
      <c r="N81" t="inlineStr"/>
      <c r="O81" t="inlineStr">
        <is>
          <t>plot 48#1393</t>
        </is>
      </c>
      <c r="P81" t="inlineStr"/>
      <c r="Q81" t="inlineStr"/>
      <c r="R81" t="n">
        <v>3712</v>
      </c>
      <c r="S81" t="n">
        <v>1393</v>
      </c>
      <c r="T81" t="inlineStr"/>
      <c r="U81" t="n">
        <v>-29.93</v>
      </c>
      <c r="V81" t="inlineStr"/>
      <c r="W81" t="inlineStr"/>
      <c r="X81" t="inlineStr">
        <is>
          <t>Galeras</t>
        </is>
      </c>
      <c r="Y81" t="n">
        <v>1000</v>
      </c>
      <c r="Z81" t="n">
        <v>48</v>
      </c>
      <c r="AA81" t="inlineStr">
        <is>
          <t>Galeras</t>
        </is>
      </c>
      <c r="AB81" t="inlineStr">
        <is>
          <t>GAL_48</t>
        </is>
      </c>
      <c r="AC81" t="n">
        <v>1393</v>
      </c>
      <c r="AD81" t="n">
        <v>1</v>
      </c>
      <c r="AE81" t="inlineStr"/>
      <c r="AF81" t="inlineStr"/>
      <c r="AG81" t="inlineStr"/>
      <c r="AH81" t="inlineStr">
        <is>
          <t>Urticaceae</t>
        </is>
      </c>
      <c r="AI81" t="inlineStr">
        <is>
          <t>Pourouma</t>
        </is>
      </c>
      <c r="AJ81" t="inlineStr">
        <is>
          <t>cf bicolor</t>
        </is>
      </c>
      <c r="AK81" s="2" t="n">
        <v>38871</v>
      </c>
      <c r="AL81" t="n">
        <v>24.50986123615188</v>
      </c>
      <c r="AM81" t="inlineStr"/>
      <c r="AN81" t="inlineStr"/>
      <c r="AO81" t="inlineStr"/>
      <c r="AP81" t="inlineStr"/>
      <c r="AQ81" t="inlineStr">
        <is>
          <t>3712</t>
        </is>
      </c>
      <c r="AR81" t="inlineStr"/>
      <c r="AS81" t="inlineStr"/>
      <c r="AT81" t="inlineStr"/>
      <c r="AU81" t="n">
        <v>8683</v>
      </c>
      <c r="AV81" t="n">
        <v>1</v>
      </c>
      <c r="AW81" t="inlineStr"/>
      <c r="AX81" t="inlineStr"/>
      <c r="AY81" s="2" t="n">
        <v>45666</v>
      </c>
      <c r="AZ81" t="n">
        <v>43.1</v>
      </c>
      <c r="BA81" t="n">
        <v>28.6</v>
      </c>
      <c r="BB81" t="inlineStr"/>
      <c r="BC81" t="inlineStr"/>
      <c r="BD81" t="inlineStr">
        <is>
          <t>D</t>
        </is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</row>
    <row r="82">
      <c r="A82" s="1" t="n">
        <v>80</v>
      </c>
      <c r="B82" t="inlineStr"/>
      <c r="C82" t="inlineStr"/>
      <c r="D82" t="n">
        <v>28</v>
      </c>
      <c r="E82" t="inlineStr"/>
      <c r="F82" t="inlineStr">
        <is>
          <t>jh-p28-3581</t>
        </is>
      </c>
      <c r="G82" t="inlineStr"/>
      <c r="H82" t="inlineStr">
        <is>
          <t>leaf herbarium</t>
        </is>
      </c>
      <c r="I82" t="inlineStr">
        <is>
          <t>Miscelanea</t>
        </is>
      </c>
      <c r="J82" t="n">
        <v>2006</v>
      </c>
      <c r="K82" t="n">
        <v>0.4369</v>
      </c>
      <c r="L82" t="inlineStr"/>
      <c r="M82" t="inlineStr"/>
      <c r="N82" t="inlineStr"/>
      <c r="O82" t="inlineStr">
        <is>
          <t>plot 28#739</t>
        </is>
      </c>
      <c r="P82" t="inlineStr"/>
      <c r="Q82" t="inlineStr"/>
      <c r="R82" t="n">
        <v>3581</v>
      </c>
      <c r="S82" t="n">
        <v>739</v>
      </c>
      <c r="T82" t="inlineStr"/>
      <c r="U82" t="n">
        <v>-26.37</v>
      </c>
      <c r="V82" t="inlineStr"/>
      <c r="W82" t="inlineStr"/>
      <c r="X82" t="inlineStr">
        <is>
          <t>Galeras</t>
        </is>
      </c>
      <c r="Y82" t="n">
        <v>2000</v>
      </c>
      <c r="Z82" t="n">
        <v>28</v>
      </c>
      <c r="AA82" t="inlineStr">
        <is>
          <t>Galeras</t>
        </is>
      </c>
      <c r="AB82" t="inlineStr">
        <is>
          <t>GAL_28</t>
        </is>
      </c>
      <c r="AC82" t="n">
        <v>739</v>
      </c>
      <c r="AD82" t="n">
        <v>1</v>
      </c>
      <c r="AE82" t="inlineStr"/>
      <c r="AF82" t="inlineStr"/>
      <c r="AG82" t="inlineStr"/>
      <c r="AH82" t="inlineStr">
        <is>
          <t>Rubiaceae</t>
        </is>
      </c>
      <c r="AI82" t="inlineStr">
        <is>
          <t>Elaeagia</t>
        </is>
      </c>
      <c r="AJ82" t="inlineStr">
        <is>
          <t>mariae</t>
        </is>
      </c>
      <c r="AK82" s="2" t="n">
        <v>38821</v>
      </c>
      <c r="AL82" t="n">
        <v>20.05352282957881</v>
      </c>
      <c r="AM82" t="inlineStr"/>
      <c r="AN82" t="inlineStr"/>
      <c r="AO82" t="inlineStr"/>
      <c r="AP82" t="inlineStr"/>
      <c r="AQ82" t="inlineStr">
        <is>
          <t>3581</t>
        </is>
      </c>
      <c r="AR82" t="inlineStr"/>
      <c r="AS82" t="inlineStr">
        <is>
          <t>Ο</t>
        </is>
      </c>
      <c r="AT82" t="inlineStr">
        <is>
          <t>Ø</t>
        </is>
      </c>
      <c r="AU82" t="n">
        <v>8726</v>
      </c>
      <c r="AV82" t="n">
        <v>1</v>
      </c>
      <c r="AW82" t="inlineStr"/>
      <c r="AX82" t="inlineStr"/>
      <c r="AY82" s="2" t="n">
        <v>45538</v>
      </c>
      <c r="AZ82" t="n">
        <v>23.3</v>
      </c>
      <c r="BA82" t="n">
        <v>16</v>
      </c>
      <c r="BB82" t="inlineStr"/>
      <c r="BC82" t="inlineStr"/>
      <c r="BD82" t="inlineStr">
        <is>
          <t>D</t>
        </is>
      </c>
      <c r="BE82" t="inlineStr"/>
      <c r="BF82" t="inlineStr"/>
      <c r="BG82" t="inlineStr"/>
      <c r="BH82" t="inlineStr"/>
      <c r="BI82" t="inlineStr"/>
      <c r="BJ82" t="n">
        <v>0.9</v>
      </c>
      <c r="BK82" t="inlineStr">
        <is>
          <t>1.9-2.7</t>
        </is>
      </c>
      <c r="BL82" t="n">
        <v>1.13</v>
      </c>
      <c r="BM82" t="n">
        <v>0.53</v>
      </c>
    </row>
    <row r="83">
      <c r="A83" s="1" t="n">
        <v>81</v>
      </c>
      <c r="B83" t="inlineStr"/>
      <c r="C83" t="inlineStr"/>
      <c r="D83" t="n">
        <v>28</v>
      </c>
      <c r="E83" t="inlineStr"/>
      <c r="F83" t="inlineStr">
        <is>
          <t>jh-p28-2293</t>
        </is>
      </c>
      <c r="G83" t="inlineStr"/>
      <c r="H83" t="inlineStr">
        <is>
          <t>leaf herbarium</t>
        </is>
      </c>
      <c r="I83" t="inlineStr">
        <is>
          <t>Miscelanea</t>
        </is>
      </c>
      <c r="J83" t="n">
        <v>2006</v>
      </c>
      <c r="K83" t="n">
        <v>0.4521</v>
      </c>
      <c r="L83" t="inlineStr"/>
      <c r="M83" t="inlineStr"/>
      <c r="N83" t="inlineStr"/>
      <c r="O83" t="inlineStr">
        <is>
          <t>plot 28 # 717, fruits</t>
        </is>
      </c>
      <c r="P83" t="inlineStr"/>
      <c r="Q83" t="inlineStr"/>
      <c r="R83" t="n">
        <v>2293</v>
      </c>
      <c r="S83" t="n">
        <v>717</v>
      </c>
      <c r="T83" t="inlineStr"/>
      <c r="U83" t="n">
        <v>-32.32</v>
      </c>
      <c r="V83" t="inlineStr"/>
      <c r="W83" t="inlineStr"/>
      <c r="X83" t="inlineStr">
        <is>
          <t>Galeras</t>
        </is>
      </c>
      <c r="Y83" t="n">
        <v>2000</v>
      </c>
      <c r="Z83" t="n">
        <v>28</v>
      </c>
      <c r="AA83" t="inlineStr">
        <is>
          <t>Galeras</t>
        </is>
      </c>
      <c r="AB83" t="inlineStr">
        <is>
          <t>GAL_28</t>
        </is>
      </c>
      <c r="AC83" t="n">
        <v>717</v>
      </c>
      <c r="AD83" t="n">
        <v>1</v>
      </c>
      <c r="AE83" t="inlineStr"/>
      <c r="AF83" t="inlineStr"/>
      <c r="AG83" t="inlineStr"/>
      <c r="AH83" t="inlineStr">
        <is>
          <t>Rubiaceae</t>
        </is>
      </c>
      <c r="AI83" t="inlineStr">
        <is>
          <t>Ladenbergia</t>
        </is>
      </c>
      <c r="AJ83" t="inlineStr"/>
      <c r="AK83" s="2" t="n">
        <v>38821</v>
      </c>
      <c r="AL83" t="n">
        <v>13.36901521971921</v>
      </c>
      <c r="AM83" t="inlineStr"/>
      <c r="AN83" t="inlineStr"/>
      <c r="AO83" t="inlineStr"/>
      <c r="AP83" t="inlineStr"/>
      <c r="AQ83" t="inlineStr">
        <is>
          <t>2293</t>
        </is>
      </c>
      <c r="AR83" t="inlineStr"/>
      <c r="AS83" t="inlineStr"/>
      <c r="AT83" t="inlineStr"/>
      <c r="AU83" t="inlineStr"/>
      <c r="AV83" t="inlineStr"/>
      <c r="AW83" t="inlineStr"/>
      <c r="AX83" t="inlineStr"/>
      <c r="AY83" s="2" t="n">
        <v>45538</v>
      </c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>
        <is>
          <t>NE</t>
        </is>
      </c>
      <c r="BI83" t="inlineStr"/>
      <c r="BJ83" t="inlineStr"/>
      <c r="BK83" t="inlineStr"/>
      <c r="BL83" t="inlineStr"/>
      <c r="BM83" t="inlineStr"/>
    </row>
    <row r="84">
      <c r="A84" s="1" t="n">
        <v>82</v>
      </c>
      <c r="B84" t="inlineStr"/>
      <c r="C84" t="inlineStr"/>
      <c r="D84" t="n">
        <v>50</v>
      </c>
      <c r="E84" t="inlineStr"/>
      <c r="F84" t="inlineStr">
        <is>
          <t>jh-p50-3623</t>
        </is>
      </c>
      <c r="G84" t="inlineStr"/>
      <c r="H84" t="inlineStr">
        <is>
          <t>leaf herbarium</t>
        </is>
      </c>
      <c r="I84" t="inlineStr">
        <is>
          <t>Miscelanea</t>
        </is>
      </c>
      <c r="J84" t="n">
        <v>2006</v>
      </c>
      <c r="K84" t="n">
        <v>0.4351</v>
      </c>
      <c r="L84" t="inlineStr"/>
      <c r="M84" t="inlineStr"/>
      <c r="N84" t="inlineStr"/>
      <c r="O84" t="inlineStr">
        <is>
          <t>plot 50#1495</t>
        </is>
      </c>
      <c r="P84" t="inlineStr"/>
      <c r="Q84" t="inlineStr"/>
      <c r="R84" t="n">
        <v>3623</v>
      </c>
      <c r="S84" t="n">
        <v>1495</v>
      </c>
      <c r="T84" t="inlineStr"/>
      <c r="U84" t="n">
        <v>-30.54</v>
      </c>
      <c r="V84" t="inlineStr"/>
      <c r="W84" t="inlineStr"/>
      <c r="X84" t="inlineStr">
        <is>
          <t>Galeras</t>
        </is>
      </c>
      <c r="Y84" t="n">
        <v>1500</v>
      </c>
      <c r="Z84" t="n">
        <v>50</v>
      </c>
      <c r="AA84" t="inlineStr">
        <is>
          <t>Galeras</t>
        </is>
      </c>
      <c r="AB84" t="inlineStr">
        <is>
          <t>GAL_50</t>
        </is>
      </c>
      <c r="AC84" t="n">
        <v>1495</v>
      </c>
      <c r="AD84" t="n">
        <v>1</v>
      </c>
      <c r="AE84" t="inlineStr"/>
      <c r="AF84" t="inlineStr"/>
      <c r="AG84" t="inlineStr"/>
      <c r="AH84" t="inlineStr">
        <is>
          <t>Simaroubaceae</t>
        </is>
      </c>
      <c r="AI84" t="inlineStr">
        <is>
          <t>Simarouba</t>
        </is>
      </c>
      <c r="AJ84" t="inlineStr">
        <is>
          <t>amara</t>
        </is>
      </c>
      <c r="AK84" s="2" t="n">
        <v>38873</v>
      </c>
      <c r="AL84" t="n">
        <v>19.73521294339502</v>
      </c>
      <c r="AM84" t="inlineStr"/>
      <c r="AN84" t="inlineStr"/>
      <c r="AO84" t="inlineStr"/>
      <c r="AP84" t="inlineStr"/>
      <c r="AQ84" t="inlineStr">
        <is>
          <t>3623</t>
        </is>
      </c>
      <c r="AR84" t="inlineStr"/>
      <c r="AS84" t="inlineStr">
        <is>
          <t>Ο</t>
        </is>
      </c>
      <c r="AT84" t="inlineStr">
        <is>
          <t>Ø</t>
        </is>
      </c>
      <c r="AU84" t="n">
        <v>8609</v>
      </c>
      <c r="AV84" t="n">
        <v>1</v>
      </c>
      <c r="AW84" t="inlineStr"/>
      <c r="AX84" t="inlineStr"/>
      <c r="AY84" s="2" t="n">
        <v>45540</v>
      </c>
      <c r="AZ84" t="n">
        <v>27.05</v>
      </c>
      <c r="BA84" t="inlineStr"/>
      <c r="BB84" t="inlineStr"/>
      <c r="BC84" t="inlineStr"/>
      <c r="BD84" t="inlineStr">
        <is>
          <t>C</t>
        </is>
      </c>
      <c r="BE84" t="inlineStr"/>
      <c r="BF84" t="inlineStr"/>
      <c r="BG84" t="inlineStr"/>
      <c r="BH84" t="inlineStr">
        <is>
          <t>FALTA ALTURA</t>
        </is>
      </c>
      <c r="BI84" t="inlineStr"/>
      <c r="BJ84" t="n">
        <v>0.7</v>
      </c>
      <c r="BK84" t="n">
        <v>6.2</v>
      </c>
      <c r="BL84" t="n">
        <v>1.14</v>
      </c>
      <c r="BM84" t="n">
        <v>0.44</v>
      </c>
    </row>
    <row r="85">
      <c r="A85" s="1" t="n">
        <v>83</v>
      </c>
      <c r="B85" t="inlineStr"/>
      <c r="C85" t="inlineStr"/>
      <c r="D85" t="n">
        <v>23</v>
      </c>
      <c r="E85" t="inlineStr"/>
      <c r="F85" t="inlineStr">
        <is>
          <t>jh-p23-3745</t>
        </is>
      </c>
      <c r="G85" t="inlineStr"/>
      <c r="H85" t="inlineStr">
        <is>
          <t>leaf herbarium</t>
        </is>
      </c>
      <c r="I85" t="inlineStr">
        <is>
          <t>Miscelanea</t>
        </is>
      </c>
      <c r="J85" t="n">
        <v>2006</v>
      </c>
      <c r="K85" t="n">
        <v>0.3676</v>
      </c>
      <c r="L85" t="inlineStr"/>
      <c r="M85" t="inlineStr"/>
      <c r="N85" t="inlineStr"/>
      <c r="O85" t="inlineStr">
        <is>
          <t>plot 23#564</t>
        </is>
      </c>
      <c r="P85" t="inlineStr"/>
      <c r="Q85" t="inlineStr"/>
      <c r="R85" t="n">
        <v>3745</v>
      </c>
      <c r="S85" t="n">
        <v>564</v>
      </c>
      <c r="T85" t="inlineStr"/>
      <c r="U85" t="n">
        <v>-26.51</v>
      </c>
      <c r="V85" t="inlineStr"/>
      <c r="W85" t="inlineStr"/>
      <c r="X85" t="inlineStr">
        <is>
          <t>Galeras</t>
        </is>
      </c>
      <c r="Y85" t="n">
        <v>1000</v>
      </c>
      <c r="Z85" t="n">
        <v>23</v>
      </c>
      <c r="AA85" t="inlineStr">
        <is>
          <t>Galeras</t>
        </is>
      </c>
      <c r="AB85" t="inlineStr">
        <is>
          <t>GAL_23</t>
        </is>
      </c>
      <c r="AC85" t="n">
        <v>564</v>
      </c>
      <c r="AD85" t="n">
        <v>1</v>
      </c>
      <c r="AE85" t="inlineStr"/>
      <c r="AF85" t="inlineStr"/>
      <c r="AG85" t="inlineStr"/>
      <c r="AH85" t="inlineStr">
        <is>
          <t>Sapotaceae</t>
        </is>
      </c>
      <c r="AI85" t="inlineStr">
        <is>
          <t>Cornuella</t>
        </is>
      </c>
      <c r="AJ85" t="inlineStr">
        <is>
          <t>venezuelanense</t>
        </is>
      </c>
      <c r="AK85" s="2" t="n">
        <v>38653</v>
      </c>
      <c r="AL85" t="n">
        <v>28.32957987035737</v>
      </c>
      <c r="AM85" t="inlineStr"/>
      <c r="AN85" t="inlineStr"/>
      <c r="AO85" t="inlineStr"/>
      <c r="AP85" t="inlineStr"/>
      <c r="AQ85" t="inlineStr">
        <is>
          <t>3745</t>
        </is>
      </c>
      <c r="AR85" t="inlineStr"/>
      <c r="AS85" t="inlineStr">
        <is>
          <t>Ο</t>
        </is>
      </c>
      <c r="AT85" t="inlineStr">
        <is>
          <t>Ø</t>
        </is>
      </c>
      <c r="AU85" t="n">
        <v>8974</v>
      </c>
      <c r="AV85" t="n">
        <v>1</v>
      </c>
      <c r="AW85" t="inlineStr"/>
      <c r="AX85" t="inlineStr"/>
      <c r="AY85" s="2" t="n">
        <v>45541</v>
      </c>
      <c r="AZ85" t="n">
        <v>33.6</v>
      </c>
      <c r="BA85" t="n">
        <v>26.6</v>
      </c>
      <c r="BB85" t="inlineStr"/>
      <c r="BC85" t="inlineStr"/>
      <c r="BD85" t="inlineStr">
        <is>
          <t>A</t>
        </is>
      </c>
      <c r="BE85" t="inlineStr"/>
      <c r="BF85" t="inlineStr"/>
      <c r="BG85" t="inlineStr"/>
      <c r="BH85" t="inlineStr">
        <is>
          <t>Sin placa</t>
        </is>
      </c>
      <c r="BI85" t="inlineStr">
        <is>
          <t>Antes Chrysophyllum v. Ahora Cornuella v.</t>
        </is>
      </c>
      <c r="BJ85" t="n">
        <v>1.3</v>
      </c>
      <c r="BK85" t="n">
        <v>6</v>
      </c>
      <c r="BL85" t="n">
        <v>1.33</v>
      </c>
      <c r="BM85" t="n">
        <v>0.68</v>
      </c>
    </row>
    <row r="86">
      <c r="A86" s="1" t="n">
        <v>84</v>
      </c>
      <c r="B86" t="inlineStr"/>
      <c r="C86" t="inlineStr"/>
      <c r="D86" t="n">
        <v>60</v>
      </c>
      <c r="E86" t="inlineStr"/>
      <c r="F86" t="inlineStr">
        <is>
          <t>jh-p60-3658</t>
        </is>
      </c>
      <c r="G86" t="inlineStr"/>
      <c r="H86" t="inlineStr">
        <is>
          <t>leaf herbarium</t>
        </is>
      </c>
      <c r="I86" t="inlineStr">
        <is>
          <t>Miscelanea</t>
        </is>
      </c>
      <c r="J86" t="n">
        <v>2006</v>
      </c>
      <c r="K86" t="n">
        <v>0.4404</v>
      </c>
      <c r="L86" t="inlineStr"/>
      <c r="M86" t="inlineStr"/>
      <c r="N86" t="inlineStr"/>
      <c r="O86" t="inlineStr">
        <is>
          <t>plot 60#1833</t>
        </is>
      </c>
      <c r="P86" t="inlineStr"/>
      <c r="Q86" t="inlineStr"/>
      <c r="R86" t="n">
        <v>3658</v>
      </c>
      <c r="S86" t="n">
        <v>1833</v>
      </c>
      <c r="T86" t="inlineStr"/>
      <c r="U86" t="n">
        <v>-30.74</v>
      </c>
      <c r="V86" t="inlineStr"/>
      <c r="W86" t="inlineStr"/>
      <c r="X86" t="inlineStr">
        <is>
          <t>Galeras</t>
        </is>
      </c>
      <c r="Y86" t="n">
        <v>1500</v>
      </c>
      <c r="Z86" t="n">
        <v>60</v>
      </c>
      <c r="AA86" t="inlineStr">
        <is>
          <t>Galeras</t>
        </is>
      </c>
      <c r="AB86" t="inlineStr">
        <is>
          <t>GAL_60</t>
        </is>
      </c>
      <c r="AC86" t="n">
        <v>1833</v>
      </c>
      <c r="AD86" t="n">
        <v>1</v>
      </c>
      <c r="AE86" t="n">
        <v>1</v>
      </c>
      <c r="AF86" t="n">
        <v>0</v>
      </c>
      <c r="AG86" t="n">
        <v>0</v>
      </c>
      <c r="AH86" t="inlineStr"/>
      <c r="AI86" t="inlineStr"/>
      <c r="AJ86" t="inlineStr"/>
      <c r="AK86" s="2" t="n">
        <v>39176</v>
      </c>
      <c r="AL86" t="n">
        <v>30.8</v>
      </c>
      <c r="AM86" s="2" t="n">
        <v>40724</v>
      </c>
      <c r="AN86" t="n">
        <v>30.8</v>
      </c>
      <c r="AO86" t="n">
        <v>22.5</v>
      </c>
      <c r="AP86" t="inlineStr"/>
      <c r="AQ86" t="n">
        <v>3658</v>
      </c>
      <c r="AR86" t="inlineStr"/>
      <c r="AS86" t="inlineStr">
        <is>
          <t>Ο</t>
        </is>
      </c>
      <c r="AT86" t="inlineStr">
        <is>
          <t>Ø</t>
        </is>
      </c>
      <c r="AU86" t="n">
        <v>8744</v>
      </c>
      <c r="AV86" t="n">
        <v>1</v>
      </c>
      <c r="AW86" t="inlineStr"/>
      <c r="AX86" t="inlineStr"/>
      <c r="AY86" s="2" t="n">
        <v>45539</v>
      </c>
      <c r="AZ86" t="n">
        <v>30.83</v>
      </c>
      <c r="BA86" t="n">
        <v>16.6</v>
      </c>
      <c r="BB86" t="inlineStr"/>
      <c r="BC86" t="inlineStr"/>
      <c r="BD86" t="inlineStr">
        <is>
          <t>A</t>
        </is>
      </c>
      <c r="BE86" t="inlineStr">
        <is>
          <t>Antes Neea divaricata, Ahora ??</t>
        </is>
      </c>
      <c r="BF86" t="inlineStr">
        <is>
          <t>JH6784</t>
        </is>
      </c>
      <c r="BG86" t="inlineStr"/>
      <c r="BH86" t="inlineStr">
        <is>
          <t>Con dendrometro</t>
        </is>
      </c>
      <c r="BI86" t="inlineStr"/>
      <c r="BJ86" t="n">
        <v>0.3</v>
      </c>
      <c r="BK86" t="n">
        <v>4.7</v>
      </c>
      <c r="BL86" t="n">
        <v>1.07</v>
      </c>
      <c r="BM86" t="n">
        <v>0.54</v>
      </c>
    </row>
    <row r="87">
      <c r="A87" s="1" t="n">
        <v>85</v>
      </c>
      <c r="B87" t="inlineStr"/>
      <c r="C87" t="inlineStr"/>
      <c r="D87" t="n">
        <v>62</v>
      </c>
      <c r="E87" t="inlineStr"/>
      <c r="F87" t="inlineStr">
        <is>
          <t>jh-p62-3609</t>
        </is>
      </c>
      <c r="G87" t="inlineStr"/>
      <c r="H87" t="inlineStr">
        <is>
          <t>leaf herbarium</t>
        </is>
      </c>
      <c r="I87" t="inlineStr">
        <is>
          <t>Miscelanea</t>
        </is>
      </c>
      <c r="J87" t="n">
        <v>2006</v>
      </c>
      <c r="K87" t="n">
        <v>0.4333</v>
      </c>
      <c r="L87" t="inlineStr"/>
      <c r="M87" t="inlineStr"/>
      <c r="N87" t="inlineStr"/>
      <c r="O87" t="inlineStr">
        <is>
          <t>plot 62#1907</t>
        </is>
      </c>
      <c r="P87" t="inlineStr"/>
      <c r="Q87" t="inlineStr"/>
      <c r="R87" t="n">
        <v>3609</v>
      </c>
      <c r="S87" t="n">
        <v>1907</v>
      </c>
      <c r="T87" t="inlineStr"/>
      <c r="U87" t="n">
        <v>-30.76</v>
      </c>
      <c r="V87" t="inlineStr"/>
      <c r="W87" t="inlineStr"/>
      <c r="X87" t="inlineStr">
        <is>
          <t>Galeras</t>
        </is>
      </c>
      <c r="Y87" t="n">
        <v>1500</v>
      </c>
      <c r="Z87" t="n">
        <v>62</v>
      </c>
      <c r="AA87" t="inlineStr">
        <is>
          <t>Galeras</t>
        </is>
      </c>
      <c r="AB87" t="inlineStr">
        <is>
          <t>GAL_62</t>
        </is>
      </c>
      <c r="AC87" t="n">
        <v>1907</v>
      </c>
      <c r="AD87" t="n">
        <v>1</v>
      </c>
      <c r="AE87" t="inlineStr"/>
      <c r="AF87" t="inlineStr"/>
      <c r="AG87" t="inlineStr"/>
      <c r="AH87" t="inlineStr">
        <is>
          <t>Lauraceae</t>
        </is>
      </c>
      <c r="AI87" t="inlineStr">
        <is>
          <t>Aniba</t>
        </is>
      </c>
      <c r="AJ87" t="inlineStr"/>
      <c r="AK87" s="2" t="n">
        <v>38902</v>
      </c>
      <c r="AL87" t="n">
        <v>19.09859317102744</v>
      </c>
      <c r="AM87" t="inlineStr"/>
      <c r="AN87" t="inlineStr"/>
      <c r="AO87" t="inlineStr"/>
      <c r="AP87" t="inlineStr"/>
      <c r="AQ87" t="inlineStr">
        <is>
          <t>3609</t>
        </is>
      </c>
      <c r="AR87" t="inlineStr"/>
      <c r="AS87" t="inlineStr"/>
      <c r="AT87" t="inlineStr"/>
      <c r="AU87" t="n">
        <v>8915</v>
      </c>
      <c r="AV87" t="n">
        <v>1</v>
      </c>
      <c r="AW87" t="inlineStr"/>
      <c r="AX87" t="n">
        <v>1</v>
      </c>
      <c r="AY87" s="2" t="n">
        <v>45540</v>
      </c>
      <c r="AZ87" t="inlineStr"/>
      <c r="BA87" t="inlineStr"/>
      <c r="BB87" t="inlineStr"/>
      <c r="BC87" t="inlineStr"/>
      <c r="BD87" t="inlineStr">
        <is>
          <t>B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</row>
    <row r="88">
      <c r="A88" s="1" t="n">
        <v>86</v>
      </c>
      <c r="B88" t="inlineStr"/>
      <c r="C88" t="inlineStr"/>
      <c r="D88" t="n">
        <v>50</v>
      </c>
      <c r="E88" t="inlineStr"/>
      <c r="F88" t="inlineStr">
        <is>
          <t>jh-p50-3616</t>
        </is>
      </c>
      <c r="G88" t="inlineStr"/>
      <c r="H88" t="inlineStr">
        <is>
          <t>leaf herbarium</t>
        </is>
      </c>
      <c r="I88" t="inlineStr">
        <is>
          <t>Miscelanea</t>
        </is>
      </c>
      <c r="J88" t="n">
        <v>2006</v>
      </c>
      <c r="K88" t="n">
        <v>0.498</v>
      </c>
      <c r="L88" t="inlineStr"/>
      <c r="M88" t="inlineStr"/>
      <c r="N88" t="inlineStr"/>
      <c r="O88" t="inlineStr">
        <is>
          <t>plot 50#1478, (flowers have been collected separately)</t>
        </is>
      </c>
      <c r="P88" t="inlineStr"/>
      <c r="Q88" t="inlineStr"/>
      <c r="R88" t="n">
        <v>3616</v>
      </c>
      <c r="S88" t="n">
        <v>1478</v>
      </c>
      <c r="T88" t="inlineStr"/>
      <c r="U88" t="n">
        <v>-31.05</v>
      </c>
      <c r="V88" t="inlineStr"/>
      <c r="W88" t="inlineStr"/>
      <c r="X88" t="inlineStr">
        <is>
          <t>Galeras</t>
        </is>
      </c>
      <c r="Y88" t="n">
        <v>1500</v>
      </c>
      <c r="Z88" t="n">
        <v>50</v>
      </c>
      <c r="AA88" t="inlineStr">
        <is>
          <t>Galeras</t>
        </is>
      </c>
      <c r="AB88" t="inlineStr">
        <is>
          <t>GAL_50</t>
        </is>
      </c>
      <c r="AC88" t="n">
        <v>1478</v>
      </c>
      <c r="AD88" t="n">
        <v>1</v>
      </c>
      <c r="AE88" t="inlineStr"/>
      <c r="AF88" t="inlineStr"/>
      <c r="AG88" t="inlineStr"/>
      <c r="AH88" t="inlineStr">
        <is>
          <t>Lauraceae</t>
        </is>
      </c>
      <c r="AI88" t="inlineStr">
        <is>
          <t>Ocotea</t>
        </is>
      </c>
      <c r="AJ88" t="inlineStr">
        <is>
          <t>aff. subrutilans</t>
        </is>
      </c>
      <c r="AK88" s="2" t="n">
        <v>38873</v>
      </c>
      <c r="AL88" t="n">
        <v>20.3718327157626</v>
      </c>
      <c r="AM88" t="inlineStr"/>
      <c r="AN88" t="inlineStr"/>
      <c r="AO88" t="inlineStr"/>
      <c r="AP88" t="inlineStr"/>
      <c r="AQ88" t="inlineStr">
        <is>
          <t>3616</t>
        </is>
      </c>
      <c r="AR88" t="inlineStr"/>
      <c r="AS88" t="inlineStr"/>
      <c r="AT88" t="inlineStr"/>
      <c r="AU88" t="n">
        <v>8628</v>
      </c>
      <c r="AV88" t="n">
        <v>1</v>
      </c>
      <c r="AW88" t="inlineStr"/>
      <c r="AX88" t="inlineStr"/>
      <c r="AY88" s="2" t="n">
        <v>45540</v>
      </c>
      <c r="AZ88" t="n">
        <v>24.7</v>
      </c>
      <c r="BA88" t="n">
        <v>20</v>
      </c>
      <c r="BB88" t="inlineStr"/>
      <c r="BC88" t="inlineStr"/>
      <c r="BD88" t="inlineStr">
        <is>
          <t>D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</row>
    <row r="89">
      <c r="A89" s="1" t="n">
        <v>87</v>
      </c>
      <c r="B89" t="inlineStr"/>
      <c r="C89" t="inlineStr"/>
      <c r="D89" t="n">
        <v>60</v>
      </c>
      <c r="E89" t="inlineStr"/>
      <c r="F89" t="inlineStr">
        <is>
          <t>jh-p60-3660</t>
        </is>
      </c>
      <c r="G89" t="inlineStr"/>
      <c r="H89" t="inlineStr">
        <is>
          <t>leaf herbarium</t>
        </is>
      </c>
      <c r="I89" t="inlineStr">
        <is>
          <t>Miscelanea</t>
        </is>
      </c>
      <c r="J89" t="n">
        <v>2006</v>
      </c>
      <c r="K89" t="n">
        <v>0.5248</v>
      </c>
      <c r="L89" t="inlineStr"/>
      <c r="M89" t="inlineStr"/>
      <c r="N89" t="inlineStr"/>
      <c r="O89" t="inlineStr">
        <is>
          <t>plot 60#1830, fruits</t>
        </is>
      </c>
      <c r="P89" t="inlineStr"/>
      <c r="Q89" t="inlineStr"/>
      <c r="R89" t="n">
        <v>3660</v>
      </c>
      <c r="S89" t="n">
        <v>1830</v>
      </c>
      <c r="T89" t="inlineStr"/>
      <c r="U89" t="n">
        <v>-30.97</v>
      </c>
      <c r="V89" t="inlineStr"/>
      <c r="W89" t="inlineStr"/>
      <c r="X89" t="inlineStr">
        <is>
          <t>Galeras</t>
        </is>
      </c>
      <c r="Y89" t="n">
        <v>1500</v>
      </c>
      <c r="Z89" t="n">
        <v>60</v>
      </c>
      <c r="AA89" t="inlineStr">
        <is>
          <t>Galeras</t>
        </is>
      </c>
      <c r="AB89" t="inlineStr">
        <is>
          <t>GAL_60</t>
        </is>
      </c>
      <c r="AC89" t="n">
        <v>1830</v>
      </c>
      <c r="AD89" t="n">
        <v>1</v>
      </c>
      <c r="AE89" t="n">
        <v>1</v>
      </c>
      <c r="AF89" t="n">
        <v>0</v>
      </c>
      <c r="AG89" t="n">
        <v>0</v>
      </c>
      <c r="AH89" t="inlineStr">
        <is>
          <t>Lauraceae</t>
        </is>
      </c>
      <c r="AI89" t="inlineStr">
        <is>
          <t>Ocotea</t>
        </is>
      </c>
      <c r="AJ89" t="inlineStr">
        <is>
          <t>subrutilans</t>
        </is>
      </c>
      <c r="AK89" s="2" t="n">
        <v>39176</v>
      </c>
      <c r="AL89" t="n">
        <v>19.9</v>
      </c>
      <c r="AM89" s="2" t="n">
        <v>40724</v>
      </c>
      <c r="AN89" t="n">
        <v>21.73</v>
      </c>
      <c r="AO89" t="n">
        <v>13.5</v>
      </c>
      <c r="AP89" t="inlineStr"/>
      <c r="AQ89" t="n">
        <v>3660</v>
      </c>
      <c r="AR89" t="inlineStr"/>
      <c r="AS89" t="inlineStr">
        <is>
          <t>Ο</t>
        </is>
      </c>
      <c r="AT89" t="inlineStr">
        <is>
          <t>Ø</t>
        </is>
      </c>
      <c r="AU89" t="n">
        <v>8752</v>
      </c>
      <c r="AV89" t="n">
        <v>1</v>
      </c>
      <c r="AW89" t="inlineStr"/>
      <c r="AX89" t="inlineStr"/>
      <c r="AY89" s="2" t="n">
        <v>45539</v>
      </c>
      <c r="AZ89" t="n">
        <v>25</v>
      </c>
      <c r="BA89" t="n">
        <v>15</v>
      </c>
      <c r="BB89" t="inlineStr"/>
      <c r="BC89" t="inlineStr"/>
      <c r="BD89" t="inlineStr">
        <is>
          <t>B</t>
        </is>
      </c>
      <c r="BE89" t="inlineStr"/>
      <c r="BF89" t="inlineStr"/>
      <c r="BG89" t="inlineStr"/>
      <c r="BH89" t="inlineStr">
        <is>
          <t>inclinado</t>
        </is>
      </c>
      <c r="BI89" t="inlineStr"/>
      <c r="BJ89" t="n">
        <v>1.2</v>
      </c>
      <c r="BK89" t="n">
        <v>5.4</v>
      </c>
      <c r="BL89" t="n">
        <v>1.28</v>
      </c>
      <c r="BM89" t="n">
        <v>0.6</v>
      </c>
    </row>
    <row r="90">
      <c r="A90" s="1" t="n">
        <v>88</v>
      </c>
      <c r="B90" t="inlineStr"/>
      <c r="C90" t="inlineStr"/>
      <c r="D90" t="n">
        <v>22</v>
      </c>
      <c r="E90" t="inlineStr"/>
      <c r="F90" t="inlineStr">
        <is>
          <t>jh-p22-2045</t>
        </is>
      </c>
      <c r="G90" t="inlineStr"/>
      <c r="H90" t="inlineStr">
        <is>
          <t>leaf herbarium</t>
        </is>
      </c>
      <c r="I90" t="inlineStr">
        <is>
          <t>Miscelanea</t>
        </is>
      </c>
      <c r="J90" t="n">
        <v>2006</v>
      </c>
      <c r="K90" t="n">
        <v>0.4419</v>
      </c>
      <c r="L90" t="inlineStr"/>
      <c r="M90" t="inlineStr"/>
      <c r="N90" t="inlineStr"/>
      <c r="O90" t="inlineStr">
        <is>
          <t>plot 22 #535</t>
        </is>
      </c>
      <c r="P90" t="inlineStr"/>
      <c r="Q90" t="inlineStr"/>
      <c r="R90" t="n">
        <v>2045</v>
      </c>
      <c r="S90" t="n">
        <v>535</v>
      </c>
      <c r="T90" t="inlineStr"/>
      <c r="U90" t="n">
        <v>-31.87</v>
      </c>
      <c r="V90" t="inlineStr"/>
      <c r="W90" t="inlineStr"/>
      <c r="X90" t="inlineStr">
        <is>
          <t>Galeras</t>
        </is>
      </c>
      <c r="Y90" t="n">
        <v>1000</v>
      </c>
      <c r="Z90" t="n">
        <v>22</v>
      </c>
      <c r="AA90" t="inlineStr">
        <is>
          <t>Galeras</t>
        </is>
      </c>
      <c r="AB90" t="inlineStr">
        <is>
          <t>GAL_22</t>
        </is>
      </c>
      <c r="AC90" t="n">
        <v>535</v>
      </c>
      <c r="AD90" t="n">
        <v>1</v>
      </c>
      <c r="AE90" t="n">
        <v>1</v>
      </c>
      <c r="AF90" t="n">
        <v>0</v>
      </c>
      <c r="AG90" t="n">
        <v>0</v>
      </c>
      <c r="AH90" t="inlineStr">
        <is>
          <t>Myristicaceae</t>
        </is>
      </c>
      <c r="AI90" t="inlineStr">
        <is>
          <t>Virola</t>
        </is>
      </c>
      <c r="AJ90" t="inlineStr">
        <is>
          <t>calophylla</t>
        </is>
      </c>
      <c r="AK90" s="2" t="n">
        <v>38823</v>
      </c>
      <c r="AL90" t="n">
        <v>17.26</v>
      </c>
      <c r="AM90" s="2" t="n">
        <v>40724</v>
      </c>
      <c r="AN90" t="inlineStr">
        <is>
          <t>20,7</t>
        </is>
      </c>
      <c r="AO90" t="inlineStr">
        <is>
          <t>19,7</t>
        </is>
      </c>
      <c r="AP90" t="inlineStr"/>
      <c r="AQ90" t="n">
        <v>2045</v>
      </c>
      <c r="AR90" t="n">
        <v>1</v>
      </c>
      <c r="AS90" t="inlineStr">
        <is>
          <t>Ο</t>
        </is>
      </c>
      <c r="AT90" t="inlineStr">
        <is>
          <t>Ø</t>
        </is>
      </c>
      <c r="AU90" t="n">
        <v>8955</v>
      </c>
      <c r="AV90" t="n">
        <v>1</v>
      </c>
      <c r="AW90" t="inlineStr"/>
      <c r="AX90" t="inlineStr"/>
      <c r="AY90" s="2" t="n">
        <v>45541</v>
      </c>
      <c r="AZ90" t="n">
        <v>28.35</v>
      </c>
      <c r="BA90" t="n">
        <v>18.2</v>
      </c>
      <c r="BB90" t="inlineStr"/>
      <c r="BC90" t="inlineStr"/>
      <c r="BD90" t="inlineStr">
        <is>
          <t>B</t>
        </is>
      </c>
      <c r="BE90" t="inlineStr"/>
      <c r="BF90" t="inlineStr"/>
      <c r="BG90" t="inlineStr"/>
      <c r="BH90" t="inlineStr"/>
      <c r="BI90" t="inlineStr"/>
      <c r="BJ90" t="n">
        <v>1.1</v>
      </c>
      <c r="BK90" t="n">
        <v>6.3</v>
      </c>
      <c r="BL90" t="n">
        <v>1.2</v>
      </c>
      <c r="BM90" t="n">
        <v>0.62</v>
      </c>
    </row>
    <row r="91">
      <c r="A91" s="1" t="n">
        <v>89</v>
      </c>
      <c r="B91" t="inlineStr"/>
      <c r="C91" t="inlineStr"/>
      <c r="D91" t="n">
        <v>28</v>
      </c>
      <c r="E91" t="inlineStr"/>
      <c r="F91" t="inlineStr">
        <is>
          <t>jh-p28-3588</t>
        </is>
      </c>
      <c r="G91" t="inlineStr"/>
      <c r="H91" t="inlineStr">
        <is>
          <t>leaf herbarium</t>
        </is>
      </c>
      <c r="I91" t="inlineStr">
        <is>
          <t>Miscelanea</t>
        </is>
      </c>
      <c r="J91" t="n">
        <v>2006</v>
      </c>
      <c r="K91" t="n">
        <v>0.4788</v>
      </c>
      <c r="L91" t="inlineStr"/>
      <c r="M91" t="inlineStr"/>
      <c r="N91" t="inlineStr"/>
      <c r="O91" t="inlineStr">
        <is>
          <t>plot 28#732</t>
        </is>
      </c>
      <c r="P91" t="inlineStr"/>
      <c r="Q91" t="inlineStr"/>
      <c r="R91" t="n">
        <v>3588</v>
      </c>
      <c r="S91" t="n">
        <v>732</v>
      </c>
      <c r="T91" t="inlineStr"/>
      <c r="U91" t="n">
        <v>-30.17</v>
      </c>
      <c r="V91" t="inlineStr"/>
      <c r="W91" t="inlineStr"/>
      <c r="X91" t="inlineStr">
        <is>
          <t>Galeras</t>
        </is>
      </c>
      <c r="Y91" t="n">
        <v>2000</v>
      </c>
      <c r="Z91" t="n">
        <v>28</v>
      </c>
      <c r="AA91" t="inlineStr">
        <is>
          <t>Galeras</t>
        </is>
      </c>
      <c r="AB91" t="inlineStr">
        <is>
          <t>GAL_28</t>
        </is>
      </c>
      <c r="AC91" t="n">
        <v>732</v>
      </c>
      <c r="AD91" t="n">
        <v>1</v>
      </c>
      <c r="AE91" t="inlineStr"/>
      <c r="AF91" t="inlineStr"/>
      <c r="AG91" t="inlineStr"/>
      <c r="AH91" t="inlineStr">
        <is>
          <t>Sapindaceae</t>
        </is>
      </c>
      <c r="AI91" t="inlineStr">
        <is>
          <t>Matayba</t>
        </is>
      </c>
      <c r="AJ91" t="inlineStr"/>
      <c r="AK91" s="2" t="n">
        <v>38821</v>
      </c>
      <c r="AL91" t="n">
        <v>21.00845248813019</v>
      </c>
      <c r="AM91" t="inlineStr"/>
      <c r="AN91" t="inlineStr"/>
      <c r="AO91" t="inlineStr"/>
      <c r="AP91" t="inlineStr"/>
      <c r="AQ91" t="inlineStr">
        <is>
          <t>3588</t>
        </is>
      </c>
      <c r="AR91" t="inlineStr"/>
      <c r="AS91" t="inlineStr"/>
      <c r="AT91" t="inlineStr"/>
      <c r="AU91" t="inlineStr"/>
      <c r="AV91" t="inlineStr"/>
      <c r="AW91" t="inlineStr"/>
      <c r="AX91" t="inlineStr"/>
      <c r="AY91" s="2" t="n">
        <v>45538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>
        <is>
          <t>NE</t>
        </is>
      </c>
      <c r="BI91" t="inlineStr"/>
      <c r="BJ91" t="inlineStr"/>
      <c r="BK91" t="inlineStr"/>
      <c r="BL91" t="inlineStr"/>
      <c r="BM91" t="inlineStr"/>
    </row>
    <row r="92">
      <c r="A92" s="1" t="n">
        <v>90</v>
      </c>
      <c r="B92" t="inlineStr"/>
      <c r="C92" t="inlineStr"/>
      <c r="D92" t="n">
        <v>28</v>
      </c>
      <c r="E92" t="inlineStr"/>
      <c r="F92" t="inlineStr">
        <is>
          <t>jh-p28-2312</t>
        </is>
      </c>
      <c r="G92" t="inlineStr"/>
      <c r="H92" t="inlineStr">
        <is>
          <t>leaf herbarium</t>
        </is>
      </c>
      <c r="I92" t="inlineStr">
        <is>
          <t>Miscelanea</t>
        </is>
      </c>
      <c r="J92" t="n">
        <v>2006</v>
      </c>
      <c r="K92" t="n">
        <v>0.4551</v>
      </c>
      <c r="L92" t="inlineStr"/>
      <c r="M92" t="inlineStr"/>
      <c r="N92" t="inlineStr"/>
      <c r="O92" t="inlineStr">
        <is>
          <t>plot 28 #738</t>
        </is>
      </c>
      <c r="P92" t="inlineStr"/>
      <c r="Q92" t="inlineStr"/>
      <c r="R92" t="n">
        <v>2312</v>
      </c>
      <c r="S92" t="n">
        <v>738</v>
      </c>
      <c r="T92" t="inlineStr"/>
      <c r="U92" t="n">
        <v>-31.8</v>
      </c>
      <c r="V92" t="inlineStr"/>
      <c r="W92" t="inlineStr"/>
      <c r="X92" t="inlineStr">
        <is>
          <t>Galeras</t>
        </is>
      </c>
      <c r="Y92" t="n">
        <v>2000</v>
      </c>
      <c r="Z92" t="n">
        <v>28</v>
      </c>
      <c r="AA92" t="inlineStr">
        <is>
          <t>Galeras</t>
        </is>
      </c>
      <c r="AB92" t="inlineStr">
        <is>
          <t>GAL_28</t>
        </is>
      </c>
      <c r="AC92" t="n">
        <v>738</v>
      </c>
      <c r="AD92" t="n">
        <v>1</v>
      </c>
      <c r="AE92" t="inlineStr"/>
      <c r="AF92" t="inlineStr"/>
      <c r="AG92" t="inlineStr"/>
      <c r="AH92" t="inlineStr">
        <is>
          <t>Rubiaceae</t>
        </is>
      </c>
      <c r="AI92" t="inlineStr">
        <is>
          <t>Rubi28</t>
        </is>
      </c>
      <c r="AJ92" t="inlineStr"/>
      <c r="AK92" s="2" t="n">
        <v>38821</v>
      </c>
      <c r="AL92" t="n">
        <v>9.867606471697512</v>
      </c>
      <c r="AM92" t="inlineStr"/>
      <c r="AN92" t="inlineStr"/>
      <c r="AO92" t="inlineStr"/>
      <c r="AP92" t="inlineStr"/>
      <c r="AQ92" t="inlineStr">
        <is>
          <t>2312</t>
        </is>
      </c>
      <c r="AR92" t="inlineStr"/>
      <c r="AS92" t="inlineStr"/>
      <c r="AT92" t="inlineStr"/>
      <c r="AU92" t="n">
        <v>8723</v>
      </c>
      <c r="AV92" t="n">
        <v>1</v>
      </c>
      <c r="AW92" t="inlineStr"/>
      <c r="AX92" t="inlineStr"/>
      <c r="AY92" s="2" t="n">
        <v>45538</v>
      </c>
      <c r="AZ92" t="n">
        <v>10.2</v>
      </c>
      <c r="BA92" t="n">
        <v>8.4</v>
      </c>
      <c r="BB92" t="inlineStr"/>
      <c r="BC92" t="inlineStr"/>
      <c r="BD92" t="inlineStr">
        <is>
          <t>C</t>
        </is>
      </c>
      <c r="BE92" t="inlineStr">
        <is>
          <t>Antes Ladenbergia, Ahora Rubi28</t>
        </is>
      </c>
      <c r="BF92" t="inlineStr">
        <is>
          <t xml:space="preserve"> = JH6776</t>
        </is>
      </c>
      <c r="BG92" t="inlineStr"/>
      <c r="BH92" t="inlineStr"/>
      <c r="BI92" t="inlineStr"/>
      <c r="BJ92" t="inlineStr"/>
      <c r="BK92" t="inlineStr"/>
      <c r="BL92" t="inlineStr"/>
      <c r="BM92" t="inlineStr"/>
    </row>
    <row r="93">
      <c r="A93" s="1" t="n">
        <v>91</v>
      </c>
      <c r="B93" t="inlineStr"/>
      <c r="C93" t="inlineStr"/>
      <c r="D93" t="n">
        <v>50</v>
      </c>
      <c r="E93" t="inlineStr"/>
      <c r="F93" t="inlineStr">
        <is>
          <t>jh-p50-3618</t>
        </is>
      </c>
      <c r="G93" t="inlineStr"/>
      <c r="H93" t="inlineStr">
        <is>
          <t>leaf herbarium</t>
        </is>
      </c>
      <c r="I93" t="inlineStr">
        <is>
          <t>Miscelanea</t>
        </is>
      </c>
      <c r="J93" t="n">
        <v>2006</v>
      </c>
      <c r="K93" t="n">
        <v>0.4883</v>
      </c>
      <c r="L93" t="inlineStr"/>
      <c r="M93" t="inlineStr"/>
      <c r="N93" t="inlineStr"/>
      <c r="O93" t="inlineStr">
        <is>
          <t>plot 50#1489, white latex</t>
        </is>
      </c>
      <c r="P93" t="inlineStr"/>
      <c r="Q93" t="inlineStr"/>
      <c r="R93" t="n">
        <v>3618</v>
      </c>
      <c r="S93" t="n">
        <v>1489</v>
      </c>
      <c r="T93" t="inlineStr"/>
      <c r="U93" t="n">
        <v>-31.33</v>
      </c>
      <c r="V93" t="inlineStr"/>
      <c r="W93" t="inlineStr"/>
      <c r="X93" t="inlineStr">
        <is>
          <t>Galeras</t>
        </is>
      </c>
      <c r="Y93" t="n">
        <v>1500</v>
      </c>
      <c r="Z93" t="n">
        <v>50</v>
      </c>
      <c r="AA93" t="inlineStr">
        <is>
          <t>Galeras</t>
        </is>
      </c>
      <c r="AB93" t="inlineStr">
        <is>
          <t>GAL_50</t>
        </is>
      </c>
      <c r="AC93" t="n">
        <v>1489</v>
      </c>
      <c r="AD93" t="n">
        <v>1</v>
      </c>
      <c r="AE93" t="inlineStr"/>
      <c r="AF93" t="inlineStr"/>
      <c r="AG93" t="inlineStr"/>
      <c r="AH93" t="inlineStr">
        <is>
          <t>Sapotaceae</t>
        </is>
      </c>
      <c r="AI93" t="inlineStr">
        <is>
          <t>Pouteria</t>
        </is>
      </c>
      <c r="AJ93" t="inlineStr">
        <is>
          <t>cuspidata</t>
        </is>
      </c>
      <c r="AK93" s="2" t="n">
        <v>38873</v>
      </c>
      <c r="AL93" t="n">
        <v>18.46197339865986</v>
      </c>
      <c r="AM93" t="inlineStr"/>
      <c r="AN93" t="inlineStr"/>
      <c r="AO93" t="inlineStr"/>
      <c r="AP93" t="inlineStr"/>
      <c r="AQ93" t="inlineStr">
        <is>
          <t>3618</t>
        </is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>
        <is>
          <t>NE</t>
        </is>
      </c>
      <c r="BI93" t="inlineStr"/>
      <c r="BJ93" t="inlineStr"/>
      <c r="BK93" t="inlineStr"/>
      <c r="BL93" t="inlineStr"/>
      <c r="BM93" t="inlineStr"/>
    </row>
    <row r="94">
      <c r="A94" s="1" t="n">
        <v>92</v>
      </c>
      <c r="B94" t="inlineStr"/>
      <c r="C94" t="inlineStr"/>
      <c r="D94" t="n">
        <v>28</v>
      </c>
      <c r="E94" t="inlineStr"/>
      <c r="F94" t="inlineStr">
        <is>
          <t>jh-p28-2311</t>
        </is>
      </c>
      <c r="G94" t="inlineStr"/>
      <c r="H94" t="inlineStr">
        <is>
          <t>leaf herbarium</t>
        </is>
      </c>
      <c r="I94" t="inlineStr">
        <is>
          <t>Miscelanea</t>
        </is>
      </c>
      <c r="J94" t="n">
        <v>2006</v>
      </c>
      <c r="K94" t="n">
        <v>0.4315</v>
      </c>
      <c r="L94" t="inlineStr"/>
      <c r="M94" t="inlineStr"/>
      <c r="N94" t="inlineStr"/>
      <c r="O94" t="inlineStr">
        <is>
          <t>plot 28 #737, flowers</t>
        </is>
      </c>
      <c r="P94" t="inlineStr"/>
      <c r="Q94" t="inlineStr"/>
      <c r="R94" t="n">
        <v>2311</v>
      </c>
      <c r="S94" t="n">
        <v>737</v>
      </c>
      <c r="T94" t="inlineStr"/>
      <c r="U94" t="n">
        <v>-29.76</v>
      </c>
      <c r="V94" t="inlineStr"/>
      <c r="W94" t="inlineStr"/>
      <c r="X94" t="inlineStr">
        <is>
          <t>Galeras</t>
        </is>
      </c>
      <c r="Y94" t="n">
        <v>2000</v>
      </c>
      <c r="Z94" t="n">
        <v>28</v>
      </c>
      <c r="AA94" t="inlineStr">
        <is>
          <t>Galeras</t>
        </is>
      </c>
      <c r="AB94" t="inlineStr">
        <is>
          <t>GAL_28</t>
        </is>
      </c>
      <c r="AC94" t="n">
        <v>737</v>
      </c>
      <c r="AD94" t="n">
        <v>1</v>
      </c>
      <c r="AE94" t="inlineStr"/>
      <c r="AF94" t="inlineStr"/>
      <c r="AG94" t="inlineStr"/>
      <c r="AH94" t="inlineStr">
        <is>
          <t>Moraceae</t>
        </is>
      </c>
      <c r="AI94" t="inlineStr">
        <is>
          <t>Helicostylis</t>
        </is>
      </c>
      <c r="AJ94" t="inlineStr">
        <is>
          <t>tovariensis</t>
        </is>
      </c>
      <c r="AK94" s="2" t="n">
        <v>38821</v>
      </c>
      <c r="AL94" t="n">
        <v>21.32676237431398</v>
      </c>
      <c r="AM94" t="inlineStr"/>
      <c r="AN94" t="inlineStr"/>
      <c r="AO94" t="inlineStr"/>
      <c r="AP94" t="inlineStr"/>
      <c r="AQ94" t="inlineStr">
        <is>
          <t>2311</t>
        </is>
      </c>
      <c r="AR94" t="inlineStr"/>
      <c r="AS94" t="inlineStr">
        <is>
          <t>Ο</t>
        </is>
      </c>
      <c r="AT94" t="inlineStr">
        <is>
          <t>Ø</t>
        </is>
      </c>
      <c r="AU94" t="n">
        <v>8721</v>
      </c>
      <c r="AV94" t="n">
        <v>1</v>
      </c>
      <c r="AW94" t="inlineStr"/>
      <c r="AX94" t="inlineStr"/>
      <c r="AY94" s="2" t="n">
        <v>45538</v>
      </c>
      <c r="AZ94" t="n">
        <v>22.05</v>
      </c>
      <c r="BA94" t="n">
        <v>9.1</v>
      </c>
      <c r="BB94" t="inlineStr"/>
      <c r="BC94" t="inlineStr"/>
      <c r="BD94" t="inlineStr">
        <is>
          <t>C</t>
        </is>
      </c>
      <c r="BE94" t="inlineStr"/>
      <c r="BF94" t="inlineStr"/>
      <c r="BG94" t="inlineStr"/>
      <c r="BH94" t="inlineStr"/>
      <c r="BI94" t="inlineStr"/>
      <c r="BJ94" t="n">
        <v>1.2</v>
      </c>
      <c r="BK94" t="n">
        <v>4.3</v>
      </c>
      <c r="BL94" t="n">
        <v>1.06</v>
      </c>
      <c r="BM94" t="n">
        <v>0.52</v>
      </c>
    </row>
    <row r="95">
      <c r="A95" s="1" t="n">
        <v>93</v>
      </c>
      <c r="B95" t="inlineStr"/>
      <c r="C95" t="inlineStr"/>
      <c r="D95" t="n">
        <v>48</v>
      </c>
      <c r="E95" t="inlineStr"/>
      <c r="F95" t="inlineStr">
        <is>
          <t>jh-p48-3697</t>
        </is>
      </c>
      <c r="G95" t="inlineStr"/>
      <c r="H95" t="inlineStr">
        <is>
          <t>leaf herbarium</t>
        </is>
      </c>
      <c r="I95" t="inlineStr">
        <is>
          <t>Miscelanea</t>
        </is>
      </c>
      <c r="J95" t="n">
        <v>2006</v>
      </c>
      <c r="K95" t="n">
        <v>0.4745</v>
      </c>
      <c r="L95" t="inlineStr"/>
      <c r="M95" t="inlineStr"/>
      <c r="N95" t="inlineStr"/>
      <c r="O95" t="inlineStr">
        <is>
          <t>plot 48#1404</t>
        </is>
      </c>
      <c r="P95" t="inlineStr"/>
      <c r="Q95" t="inlineStr"/>
      <c r="R95" t="n">
        <v>3697</v>
      </c>
      <c r="S95" t="n">
        <v>1404</v>
      </c>
      <c r="T95" t="inlineStr"/>
      <c r="U95" t="n">
        <v>-28.66</v>
      </c>
      <c r="V95" t="inlineStr"/>
      <c r="W95" t="inlineStr"/>
      <c r="X95" t="inlineStr">
        <is>
          <t>Galeras</t>
        </is>
      </c>
      <c r="Y95" t="n">
        <v>1000</v>
      </c>
      <c r="Z95" t="n">
        <v>48</v>
      </c>
      <c r="AA95" t="inlineStr">
        <is>
          <t>Galeras</t>
        </is>
      </c>
      <c r="AB95" t="inlineStr">
        <is>
          <t>GAL_48</t>
        </is>
      </c>
      <c r="AC95" t="n">
        <v>1404</v>
      </c>
      <c r="AD95" t="n">
        <v>1</v>
      </c>
      <c r="AE95" t="inlineStr"/>
      <c r="AF95" t="inlineStr"/>
      <c r="AG95" t="inlineStr"/>
      <c r="AH95" t="inlineStr">
        <is>
          <t>Apocynaceae</t>
        </is>
      </c>
      <c r="AI95" t="inlineStr">
        <is>
          <t>Lacmellea</t>
        </is>
      </c>
      <c r="AJ95" t="inlineStr">
        <is>
          <t>speciosa</t>
        </is>
      </c>
      <c r="AK95" s="2" t="n">
        <v>38871</v>
      </c>
      <c r="AL95" t="n">
        <v>10.1859163578813</v>
      </c>
      <c r="AM95" t="inlineStr"/>
      <c r="AN95" t="inlineStr"/>
      <c r="AO95" t="inlineStr"/>
      <c r="AP95" t="inlineStr"/>
      <c r="AQ95" t="inlineStr">
        <is>
          <t>3697</t>
        </is>
      </c>
      <c r="AR95" t="inlineStr"/>
      <c r="AS95" t="inlineStr"/>
      <c r="AT95" t="inlineStr">
        <is>
          <t>ø</t>
        </is>
      </c>
      <c r="AU95" t="n">
        <v>8669</v>
      </c>
      <c r="AV95" t="n">
        <v>1</v>
      </c>
      <c r="AW95" t="inlineStr"/>
      <c r="AX95" t="inlineStr"/>
      <c r="AY95" s="2" t="n">
        <v>45666</v>
      </c>
      <c r="AZ95" t="n">
        <v>11.2</v>
      </c>
      <c r="BA95" t="n">
        <v>12</v>
      </c>
      <c r="BB95" t="inlineStr"/>
      <c r="BC95" t="inlineStr"/>
      <c r="BD95" t="inlineStr">
        <is>
          <t>B</t>
        </is>
      </c>
      <c r="BE95" t="inlineStr"/>
      <c r="BF95" t="inlineStr"/>
      <c r="BG95" t="n">
        <v>2</v>
      </c>
      <c r="BH95" t="inlineStr"/>
      <c r="BI95" t="inlineStr"/>
      <c r="BJ95" t="inlineStr"/>
      <c r="BK95" t="inlineStr"/>
      <c r="BL95" t="inlineStr"/>
      <c r="BM95" t="inlineStr"/>
    </row>
    <row r="96">
      <c r="A96" s="1" t="n">
        <v>94</v>
      </c>
      <c r="B96" t="inlineStr"/>
      <c r="C96" t="inlineStr"/>
      <c r="D96" t="n">
        <v>48</v>
      </c>
      <c r="E96" t="inlineStr"/>
      <c r="F96" t="inlineStr">
        <is>
          <t>jh-p48-3709</t>
        </is>
      </c>
      <c r="G96" t="inlineStr"/>
      <c r="H96" t="inlineStr">
        <is>
          <t>leaf herbarium</t>
        </is>
      </c>
      <c r="I96" t="inlineStr">
        <is>
          <t>Miscelanea</t>
        </is>
      </c>
      <c r="J96" t="n">
        <v>2006</v>
      </c>
      <c r="K96" t="n">
        <v>0.3913</v>
      </c>
      <c r="L96" t="inlineStr"/>
      <c r="M96" t="inlineStr"/>
      <c r="N96" t="inlineStr"/>
      <c r="O96" t="inlineStr">
        <is>
          <t>plot 48#1389 (silica dried leaves have been collected separately)</t>
        </is>
      </c>
      <c r="P96" t="inlineStr"/>
      <c r="Q96" t="inlineStr"/>
      <c r="R96" t="n">
        <v>3709</v>
      </c>
      <c r="S96" t="n">
        <v>1389</v>
      </c>
      <c r="T96" t="inlineStr"/>
      <c r="U96" t="n">
        <v>-30.4</v>
      </c>
      <c r="V96" t="inlineStr"/>
      <c r="W96" t="inlineStr"/>
      <c r="X96" t="inlineStr">
        <is>
          <t>Galeras</t>
        </is>
      </c>
      <c r="Y96" t="n">
        <v>1000</v>
      </c>
      <c r="Z96" t="n">
        <v>48</v>
      </c>
      <c r="AA96" t="inlineStr">
        <is>
          <t>Galeras</t>
        </is>
      </c>
      <c r="AB96" t="inlineStr">
        <is>
          <t>GAL_48</t>
        </is>
      </c>
      <c r="AC96" t="n">
        <v>1389</v>
      </c>
      <c r="AD96" t="n">
        <v>1</v>
      </c>
      <c r="AE96" t="inlineStr"/>
      <c r="AF96" t="inlineStr"/>
      <c r="AG96" t="inlineStr"/>
      <c r="AH96" t="inlineStr">
        <is>
          <t>Chrysobalanaceae</t>
        </is>
      </c>
      <c r="AI96" t="inlineStr">
        <is>
          <t>Parinari</t>
        </is>
      </c>
      <c r="AJ96" t="inlineStr">
        <is>
          <t>klugii</t>
        </is>
      </c>
      <c r="AK96" s="2" t="n">
        <v>38871</v>
      </c>
      <c r="AL96" t="n">
        <v>11.45915590261646</v>
      </c>
      <c r="AM96" t="inlineStr"/>
      <c r="AN96" t="inlineStr"/>
      <c r="AO96" t="inlineStr"/>
      <c r="AP96" t="inlineStr"/>
      <c r="AQ96" t="inlineStr">
        <is>
          <t>3709,2455</t>
        </is>
      </c>
      <c r="AR96" t="inlineStr"/>
      <c r="AS96" t="inlineStr"/>
      <c r="AT96" t="inlineStr">
        <is>
          <t>ø</t>
        </is>
      </c>
      <c r="AU96" t="n">
        <v>8685</v>
      </c>
      <c r="AV96" t="n">
        <v>1</v>
      </c>
      <c r="AW96" t="inlineStr"/>
      <c r="AX96" t="inlineStr"/>
      <c r="AY96" s="2" t="n">
        <v>45666</v>
      </c>
      <c r="AZ96" t="n">
        <v>12.6</v>
      </c>
      <c r="BA96" t="n">
        <v>19</v>
      </c>
      <c r="BB96" t="inlineStr"/>
      <c r="BC96" t="inlineStr"/>
      <c r="BD96" t="inlineStr">
        <is>
          <t>D</t>
        </is>
      </c>
      <c r="BE96" t="inlineStr"/>
      <c r="BF96" t="inlineStr"/>
      <c r="BG96" t="n">
        <v>3</v>
      </c>
      <c r="BH96" t="inlineStr"/>
      <c r="BI96" t="inlineStr"/>
      <c r="BJ96" t="inlineStr"/>
      <c r="BK96" t="inlineStr"/>
      <c r="BL96" t="inlineStr"/>
      <c r="BM96" t="inlineStr"/>
    </row>
    <row r="97">
      <c r="A97" s="1" t="n">
        <v>95</v>
      </c>
      <c r="B97" t="inlineStr"/>
      <c r="C97" t="inlineStr"/>
      <c r="D97" t="n">
        <v>50</v>
      </c>
      <c r="E97" t="inlineStr"/>
      <c r="F97" t="inlineStr">
        <is>
          <t>jh-p50-3622</t>
        </is>
      </c>
      <c r="G97" t="inlineStr"/>
      <c r="H97" t="inlineStr">
        <is>
          <t>leaf herbarium</t>
        </is>
      </c>
      <c r="I97" t="inlineStr">
        <is>
          <t>Miscelanea</t>
        </is>
      </c>
      <c r="J97" t="n">
        <v>2006</v>
      </c>
      <c r="K97" t="n">
        <v>0.4693</v>
      </c>
      <c r="L97" t="inlineStr"/>
      <c r="M97" t="inlineStr"/>
      <c r="N97" t="inlineStr"/>
      <c r="O97" t="inlineStr">
        <is>
          <t>plot 50#1483</t>
        </is>
      </c>
      <c r="P97" t="inlineStr"/>
      <c r="Q97" t="inlineStr"/>
      <c r="R97" t="n">
        <v>3622</v>
      </c>
      <c r="S97" t="n">
        <v>1483</v>
      </c>
      <c r="T97" t="inlineStr"/>
      <c r="U97" t="n">
        <v>-29.22</v>
      </c>
      <c r="V97" t="inlineStr"/>
      <c r="W97" t="inlineStr"/>
      <c r="X97" t="inlineStr">
        <is>
          <t>Galeras</t>
        </is>
      </c>
      <c r="Y97" t="n">
        <v>1500</v>
      </c>
      <c r="Z97" t="n">
        <v>50</v>
      </c>
      <c r="AA97" t="inlineStr">
        <is>
          <t>Galeras</t>
        </is>
      </c>
      <c r="AB97" t="inlineStr">
        <is>
          <t>GAL_50</t>
        </is>
      </c>
      <c r="AC97" t="n">
        <v>1483</v>
      </c>
      <c r="AD97" t="n">
        <v>1</v>
      </c>
      <c r="AE97" t="inlineStr"/>
      <c r="AF97" t="inlineStr"/>
      <c r="AG97" t="inlineStr"/>
      <c r="AH97" t="inlineStr">
        <is>
          <t>Myrtaceae</t>
        </is>
      </c>
      <c r="AI97" t="inlineStr">
        <is>
          <t>Siphoneugena</t>
        </is>
      </c>
      <c r="AJ97" t="inlineStr">
        <is>
          <t>densiflora</t>
        </is>
      </c>
      <c r="AK97" s="2" t="n">
        <v>38873</v>
      </c>
      <c r="AL97" t="n">
        <v>13.05070533353542</v>
      </c>
      <c r="AM97" t="inlineStr"/>
      <c r="AN97" t="inlineStr"/>
      <c r="AO97" t="inlineStr"/>
      <c r="AP97" t="inlineStr"/>
      <c r="AQ97" t="inlineStr">
        <is>
          <t>3622</t>
        </is>
      </c>
      <c r="AR97" t="inlineStr"/>
      <c r="AS97" t="inlineStr">
        <is>
          <t>Ο</t>
        </is>
      </c>
      <c r="AT97" t="inlineStr">
        <is>
          <t>Ø</t>
        </is>
      </c>
      <c r="AU97" t="n">
        <v>8617</v>
      </c>
      <c r="AV97" t="n">
        <v>1</v>
      </c>
      <c r="AW97" t="inlineStr"/>
      <c r="AX97" t="inlineStr"/>
      <c r="AY97" s="2" t="n">
        <v>45540</v>
      </c>
      <c r="AZ97" t="n">
        <v>14.4</v>
      </c>
      <c r="BA97" t="n">
        <v>12</v>
      </c>
      <c r="BB97" t="inlineStr"/>
      <c r="BC97" t="inlineStr"/>
      <c r="BD97" t="inlineStr">
        <is>
          <t>C</t>
        </is>
      </c>
      <c r="BE97" t="inlineStr"/>
      <c r="BF97" t="inlineStr"/>
      <c r="BG97" t="inlineStr"/>
      <c r="BH97" t="inlineStr"/>
      <c r="BI97" t="inlineStr"/>
      <c r="BJ97" t="n">
        <v>0.5</v>
      </c>
      <c r="BK97" t="n">
        <v>4.9</v>
      </c>
      <c r="BL97" t="n">
        <v>1.36</v>
      </c>
      <c r="BM97" t="n">
        <v>0.86</v>
      </c>
    </row>
    <row r="98">
      <c r="A98" s="1" t="n">
        <v>96</v>
      </c>
      <c r="B98" t="inlineStr"/>
      <c r="C98" t="inlineStr"/>
      <c r="D98" t="n">
        <v>24</v>
      </c>
      <c r="E98" t="inlineStr"/>
      <c r="F98" t="inlineStr">
        <is>
          <t>jh-p24-3683</t>
        </is>
      </c>
      <c r="G98" t="inlineStr"/>
      <c r="H98" t="inlineStr">
        <is>
          <t>leaf herbarium</t>
        </is>
      </c>
      <c r="I98" t="inlineStr">
        <is>
          <t>Miscelanea</t>
        </is>
      </c>
      <c r="J98" t="n">
        <v>2006</v>
      </c>
      <c r="K98" t="n">
        <v>0.4597</v>
      </c>
      <c r="L98" t="inlineStr"/>
      <c r="M98" t="inlineStr"/>
      <c r="N98" t="inlineStr"/>
      <c r="O98" t="inlineStr">
        <is>
          <t>plot 24#583, fuits</t>
        </is>
      </c>
      <c r="P98" t="inlineStr"/>
      <c r="Q98" t="inlineStr"/>
      <c r="R98" t="n">
        <v>3683</v>
      </c>
      <c r="S98" t="n">
        <v>583</v>
      </c>
      <c r="T98" t="inlineStr"/>
      <c r="U98" t="n">
        <v>-30.1</v>
      </c>
      <c r="V98" t="inlineStr"/>
      <c r="W98" t="inlineStr"/>
      <c r="X98" t="inlineStr">
        <is>
          <t>Galeras</t>
        </is>
      </c>
      <c r="Y98" t="n">
        <v>1000</v>
      </c>
      <c r="Z98" t="n">
        <v>24</v>
      </c>
      <c r="AA98" t="inlineStr">
        <is>
          <t>Galeras</t>
        </is>
      </c>
      <c r="AB98" t="inlineStr">
        <is>
          <t>GAL_24</t>
        </is>
      </c>
      <c r="AC98" t="n">
        <v>583</v>
      </c>
      <c r="AD98" t="n">
        <v>1</v>
      </c>
      <c r="AE98" t="n">
        <v>0</v>
      </c>
      <c r="AF98" t="n">
        <v>0</v>
      </c>
      <c r="AG98" t="n">
        <v>1</v>
      </c>
      <c r="AH98" t="inlineStr">
        <is>
          <t>Lauraceae</t>
        </is>
      </c>
      <c r="AI98" t="inlineStr">
        <is>
          <t>Ocotea</t>
        </is>
      </c>
      <c r="AJ98" t="inlineStr">
        <is>
          <t>floribunda</t>
        </is>
      </c>
      <c r="AK98" s="2" t="n">
        <v>38822</v>
      </c>
      <c r="AL98" t="n">
        <v>16.7</v>
      </c>
      <c r="AM98" s="2" t="n">
        <v>40724</v>
      </c>
      <c r="AN98" t="inlineStr"/>
      <c r="AO98" t="inlineStr"/>
      <c r="AP98" t="inlineStr">
        <is>
          <t>muerto</t>
        </is>
      </c>
      <c r="AQ98" t="n">
        <v>3683</v>
      </c>
      <c r="AR98" t="n">
        <v>1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1" t="n">
        <v>97</v>
      </c>
      <c r="B99" t="inlineStr"/>
      <c r="C99" t="inlineStr"/>
      <c r="D99" t="n">
        <v>62</v>
      </c>
      <c r="E99" t="inlineStr"/>
      <c r="F99" t="inlineStr">
        <is>
          <t>jh-p62-3612</t>
        </is>
      </c>
      <c r="G99" t="inlineStr"/>
      <c r="H99" t="inlineStr">
        <is>
          <t>leaf herbarium</t>
        </is>
      </c>
      <c r="I99" t="inlineStr">
        <is>
          <t>Miscelanea</t>
        </is>
      </c>
      <c r="J99" t="n">
        <v>2006</v>
      </c>
      <c r="K99" t="n">
        <v>0.4979</v>
      </c>
      <c r="L99" t="inlineStr"/>
      <c r="M99" t="inlineStr"/>
      <c r="N99" t="inlineStr"/>
      <c r="O99" t="inlineStr">
        <is>
          <t>plot 62#1882, flower buds</t>
        </is>
      </c>
      <c r="P99" t="inlineStr"/>
      <c r="Q99" t="inlineStr"/>
      <c r="R99" t="n">
        <v>3612</v>
      </c>
      <c r="S99" t="n">
        <v>1882</v>
      </c>
      <c r="T99" t="inlineStr"/>
      <c r="U99" t="n">
        <v>-31.97</v>
      </c>
      <c r="V99" t="inlineStr"/>
      <c r="W99" t="inlineStr"/>
      <c r="X99" t="inlineStr">
        <is>
          <t>Galeras</t>
        </is>
      </c>
      <c r="Y99" t="n">
        <v>1500</v>
      </c>
      <c r="Z99" t="n">
        <v>62</v>
      </c>
      <c r="AA99" t="inlineStr">
        <is>
          <t>Galeras</t>
        </is>
      </c>
      <c r="AB99" t="inlineStr">
        <is>
          <t>GAL_62</t>
        </is>
      </c>
      <c r="AC99" t="n">
        <v>1882</v>
      </c>
      <c r="AD99" t="n">
        <v>1</v>
      </c>
      <c r="AE99" t="inlineStr"/>
      <c r="AF99" t="inlineStr"/>
      <c r="AG99" t="inlineStr"/>
      <c r="AH99" t="inlineStr">
        <is>
          <t>Symplocaceae</t>
        </is>
      </c>
      <c r="AI99" t="inlineStr">
        <is>
          <t>Symplocos</t>
        </is>
      </c>
      <c r="AJ99" t="inlineStr">
        <is>
          <t>cf guacamayensis</t>
        </is>
      </c>
      <c r="AK99" s="2" t="n">
        <v>38902</v>
      </c>
      <c r="AL99" t="n">
        <v>12.73239544735163</v>
      </c>
      <c r="AM99" t="inlineStr"/>
      <c r="AN99" t="inlineStr"/>
      <c r="AO99" t="inlineStr"/>
      <c r="AP99" t="inlineStr"/>
      <c r="AQ99" t="inlineStr">
        <is>
          <t>3612,2529</t>
        </is>
      </c>
      <c r="AR99" t="inlineStr"/>
      <c r="AS99" t="inlineStr">
        <is>
          <t>Ο</t>
        </is>
      </c>
      <c r="AT99" t="inlineStr">
        <is>
          <t>Ø</t>
        </is>
      </c>
      <c r="AU99" t="n">
        <v>8909</v>
      </c>
      <c r="AV99" t="n">
        <v>1</v>
      </c>
      <c r="AW99" t="inlineStr"/>
      <c r="AX99" t="inlineStr"/>
      <c r="AY99" s="2" t="n">
        <v>45540</v>
      </c>
      <c r="AZ99" t="n">
        <v>20</v>
      </c>
      <c r="BA99" t="n">
        <v>8.5</v>
      </c>
      <c r="BB99" t="inlineStr"/>
      <c r="BC99" t="inlineStr"/>
      <c r="BD99" t="inlineStr">
        <is>
          <t>A</t>
        </is>
      </c>
      <c r="BE99" t="inlineStr">
        <is>
          <t>Antes Symplocos cf spruceana, Ahora Symplocos cf  guacamayensis</t>
        </is>
      </c>
      <c r="BF99" t="inlineStr">
        <is>
          <t>JH6797</t>
        </is>
      </c>
      <c r="BG99" t="inlineStr"/>
      <c r="BH99" t="inlineStr">
        <is>
          <t>tiene protuberancia</t>
        </is>
      </c>
      <c r="BI99" t="inlineStr"/>
      <c r="BJ99" t="n">
        <v>1.1</v>
      </c>
      <c r="BK99" t="n">
        <v>7</v>
      </c>
      <c r="BL99" t="n">
        <v>1.73</v>
      </c>
      <c r="BM99" t="n">
        <v>0.74</v>
      </c>
    </row>
    <row r="100">
      <c r="A100" s="1" t="n">
        <v>98</v>
      </c>
      <c r="B100" t="inlineStr"/>
      <c r="C100" t="inlineStr"/>
      <c r="D100" t="n">
        <v>62</v>
      </c>
      <c r="E100" t="inlineStr"/>
      <c r="F100" t="inlineStr">
        <is>
          <t>jh-p62-3602</t>
        </is>
      </c>
      <c r="G100" t="inlineStr"/>
      <c r="H100" t="inlineStr">
        <is>
          <t>leaf herbarium</t>
        </is>
      </c>
      <c r="I100" t="inlineStr">
        <is>
          <t>Miscelanea</t>
        </is>
      </c>
      <c r="J100" t="n">
        <v>2006</v>
      </c>
      <c r="K100" t="n">
        <v>0.4897</v>
      </c>
      <c r="L100" t="inlineStr"/>
      <c r="M100" t="inlineStr"/>
      <c r="N100" t="inlineStr"/>
      <c r="O100" t="inlineStr">
        <is>
          <t>plot 62#1878</t>
        </is>
      </c>
      <c r="P100" t="inlineStr"/>
      <c r="Q100" t="inlineStr"/>
      <c r="R100" t="n">
        <v>3602</v>
      </c>
      <c r="S100" t="n">
        <v>1878</v>
      </c>
      <c r="T100" t="inlineStr"/>
      <c r="U100" t="n">
        <v>-28.29</v>
      </c>
      <c r="V100" t="inlineStr"/>
      <c r="W100" t="inlineStr"/>
      <c r="X100" t="inlineStr">
        <is>
          <t>Galeras</t>
        </is>
      </c>
      <c r="Y100" t="n">
        <v>1500</v>
      </c>
      <c r="Z100" t="n">
        <v>62</v>
      </c>
      <c r="AA100" t="inlineStr">
        <is>
          <t>Galeras</t>
        </is>
      </c>
      <c r="AB100" t="inlineStr">
        <is>
          <t>GAL_62</t>
        </is>
      </c>
      <c r="AC100" t="n">
        <v>1878</v>
      </c>
      <c r="AD100" t="n">
        <v>1</v>
      </c>
      <c r="AE100" t="inlineStr"/>
      <c r="AF100" t="inlineStr"/>
      <c r="AG100" t="inlineStr"/>
      <c r="AH100" t="inlineStr">
        <is>
          <t>Rutaceae</t>
        </is>
      </c>
      <c r="AI100" t="inlineStr">
        <is>
          <t>Zanthoxylum</t>
        </is>
      </c>
      <c r="AJ100" t="inlineStr">
        <is>
          <t>melanostictum</t>
        </is>
      </c>
      <c r="AK100" s="2" t="n">
        <v>38902</v>
      </c>
      <c r="AL100" t="n">
        <v>26.73803043943842</v>
      </c>
      <c r="AM100" t="inlineStr"/>
      <c r="AN100" t="inlineStr"/>
      <c r="AO100" t="inlineStr"/>
      <c r="AP100" t="inlineStr"/>
      <c r="AQ100" t="inlineStr">
        <is>
          <t>3602</t>
        </is>
      </c>
      <c r="AR100" t="inlineStr"/>
      <c r="AS100" t="inlineStr"/>
      <c r="AT100" t="inlineStr"/>
      <c r="AU100" t="inlineStr"/>
      <c r="AV100" t="inlineStr"/>
      <c r="AW100" t="inlineStr"/>
      <c r="AX100" t="inlineStr"/>
      <c r="AY100" s="2" t="n">
        <v>45540</v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>
        <is>
          <t>NE</t>
        </is>
      </c>
      <c r="BI100" t="inlineStr"/>
      <c r="BJ100" t="inlineStr"/>
      <c r="BK100" t="inlineStr"/>
      <c r="BL100" t="inlineStr"/>
      <c r="BM100" t="inlineStr"/>
    </row>
    <row r="101">
      <c r="A101" s="1" t="n">
        <v>99</v>
      </c>
      <c r="B101" t="inlineStr"/>
      <c r="C101" t="inlineStr"/>
      <c r="D101" t="n">
        <v>50</v>
      </c>
      <c r="E101" t="inlineStr"/>
      <c r="F101" t="inlineStr">
        <is>
          <t>jh-p50-3621</t>
        </is>
      </c>
      <c r="G101" t="inlineStr"/>
      <c r="H101" t="inlineStr">
        <is>
          <t>leaf herbarium</t>
        </is>
      </c>
      <c r="I101" t="inlineStr">
        <is>
          <t>Miscelanea</t>
        </is>
      </c>
      <c r="J101" t="n">
        <v>2006</v>
      </c>
      <c r="K101" t="n">
        <v>0.4717</v>
      </c>
      <c r="L101" t="inlineStr"/>
      <c r="M101" t="inlineStr"/>
      <c r="N101" t="inlineStr"/>
      <c r="O101" t="inlineStr">
        <is>
          <t>plot 50#1465</t>
        </is>
      </c>
      <c r="P101" t="inlineStr"/>
      <c r="Q101" t="inlineStr"/>
      <c r="R101" t="n">
        <v>3621</v>
      </c>
      <c r="S101" t="n">
        <v>1465</v>
      </c>
      <c r="T101" t="inlineStr"/>
      <c r="U101" t="n">
        <v>-32.07</v>
      </c>
      <c r="V101" t="inlineStr"/>
      <c r="W101" t="inlineStr"/>
      <c r="X101" t="inlineStr">
        <is>
          <t>Galeras</t>
        </is>
      </c>
      <c r="Y101" t="n">
        <v>1500</v>
      </c>
      <c r="Z101" t="n">
        <v>50</v>
      </c>
      <c r="AA101" t="inlineStr">
        <is>
          <t>Galeras</t>
        </is>
      </c>
      <c r="AB101" t="inlineStr">
        <is>
          <t>GAL_50</t>
        </is>
      </c>
      <c r="AC101" t="n">
        <v>1465</v>
      </c>
      <c r="AD101" t="n">
        <v>1</v>
      </c>
      <c r="AE101" t="inlineStr"/>
      <c r="AF101" t="inlineStr"/>
      <c r="AG101" t="inlineStr"/>
      <c r="AH101" t="inlineStr">
        <is>
          <t>Lauraceae</t>
        </is>
      </c>
      <c r="AI101" t="inlineStr">
        <is>
          <t>Persea</t>
        </is>
      </c>
      <c r="AJ101" t="inlineStr">
        <is>
          <t>aff. pseudofasciculata</t>
        </is>
      </c>
      <c r="AK101" s="2" t="n">
        <v>38873</v>
      </c>
      <c r="AL101" t="n">
        <v>12.73239544735163</v>
      </c>
      <c r="AM101" t="inlineStr"/>
      <c r="AN101" t="inlineStr"/>
      <c r="AO101" t="inlineStr"/>
      <c r="AP101" t="inlineStr"/>
      <c r="AQ101" t="inlineStr">
        <is>
          <t>3621</t>
        </is>
      </c>
      <c r="AR101" t="inlineStr"/>
      <c r="AS101" t="inlineStr">
        <is>
          <t>Ο</t>
        </is>
      </c>
      <c r="AT101" t="inlineStr">
        <is>
          <t>Ø</t>
        </is>
      </c>
      <c r="AU101" t="n">
        <v>8778</v>
      </c>
      <c r="AV101" t="n">
        <v>1</v>
      </c>
      <c r="AW101" t="inlineStr"/>
      <c r="AX101" t="inlineStr"/>
      <c r="AY101" s="2" t="n">
        <v>45539</v>
      </c>
      <c r="AZ101" t="n">
        <v>13.1</v>
      </c>
      <c r="BA101" t="n">
        <v>21.7</v>
      </c>
      <c r="BB101" t="inlineStr"/>
      <c r="BC101" t="inlineStr"/>
      <c r="BD101" t="inlineStr">
        <is>
          <t>A</t>
        </is>
      </c>
      <c r="BE101" t="inlineStr"/>
      <c r="BF101" t="inlineStr"/>
      <c r="BG101" t="inlineStr"/>
      <c r="BH101" t="inlineStr"/>
      <c r="BI101" t="inlineStr"/>
      <c r="BJ101" t="n">
        <v>0.5</v>
      </c>
      <c r="BK101" t="n">
        <v>5.1</v>
      </c>
      <c r="BL101" t="n">
        <v>1.13</v>
      </c>
      <c r="BM101" t="n">
        <v>0.5</v>
      </c>
    </row>
    <row r="102">
      <c r="A102" s="1" t="n">
        <v>100</v>
      </c>
      <c r="B102" t="inlineStr"/>
      <c r="C102" t="inlineStr"/>
      <c r="D102" t="n">
        <v>48</v>
      </c>
      <c r="E102" t="inlineStr"/>
      <c r="F102" t="inlineStr">
        <is>
          <t>jh-p48-3710</t>
        </is>
      </c>
      <c r="G102" t="inlineStr"/>
      <c r="H102" t="inlineStr">
        <is>
          <t>leaf herbarium</t>
        </is>
      </c>
      <c r="I102" t="inlineStr">
        <is>
          <t>Miscelanea</t>
        </is>
      </c>
      <c r="J102" t="n">
        <v>2006</v>
      </c>
      <c r="K102" t="n">
        <v>0.4586</v>
      </c>
      <c r="L102" t="inlineStr"/>
      <c r="M102" t="inlineStr"/>
      <c r="N102" t="inlineStr"/>
      <c r="O102" t="inlineStr">
        <is>
          <t>plot 48#1414</t>
        </is>
      </c>
      <c r="P102" t="inlineStr"/>
      <c r="Q102" t="inlineStr"/>
      <c r="R102" t="n">
        <v>3710</v>
      </c>
      <c r="S102" t="n">
        <v>1414</v>
      </c>
      <c r="T102" t="inlineStr"/>
      <c r="U102" t="n">
        <v>-31.48</v>
      </c>
      <c r="V102" t="inlineStr"/>
      <c r="W102" t="inlineStr"/>
      <c r="X102" t="inlineStr">
        <is>
          <t>Galeras</t>
        </is>
      </c>
      <c r="Y102" t="n">
        <v>1000</v>
      </c>
      <c r="Z102" t="n">
        <v>48</v>
      </c>
      <c r="AA102" t="inlineStr">
        <is>
          <t>Galeras</t>
        </is>
      </c>
      <c r="AB102" t="inlineStr">
        <is>
          <t>GAL_48</t>
        </is>
      </c>
      <c r="AC102" t="n">
        <v>1414</v>
      </c>
      <c r="AD102" t="n">
        <v>1</v>
      </c>
      <c r="AE102" t="inlineStr"/>
      <c r="AF102" t="inlineStr"/>
      <c r="AG102" t="inlineStr"/>
      <c r="AH102" t="inlineStr">
        <is>
          <t>Moraceae</t>
        </is>
      </c>
      <c r="AI102" t="inlineStr">
        <is>
          <t>Pseudolmedia</t>
        </is>
      </c>
      <c r="AJ102" t="inlineStr">
        <is>
          <t>laevis</t>
        </is>
      </c>
      <c r="AK102" s="2" t="n">
        <v>38871</v>
      </c>
      <c r="AL102" t="n">
        <v>12.09577567498405</v>
      </c>
      <c r="AM102" t="inlineStr"/>
      <c r="AN102" t="inlineStr"/>
      <c r="AO102" t="inlineStr"/>
      <c r="AP102" t="inlineStr"/>
      <c r="AQ102" t="inlineStr">
        <is>
          <t>3710</t>
        </is>
      </c>
      <c r="AR102" t="inlineStr"/>
      <c r="AS102" t="inlineStr"/>
      <c r="AT102" t="inlineStr">
        <is>
          <t>ø</t>
        </is>
      </c>
      <c r="AU102" t="n">
        <v>8664</v>
      </c>
      <c r="AV102" t="n">
        <v>1</v>
      </c>
      <c r="AW102" t="inlineStr"/>
      <c r="AX102" t="inlineStr"/>
      <c r="AY102" s="2" t="n">
        <v>45666</v>
      </c>
      <c r="AZ102" t="n">
        <v>12.9</v>
      </c>
      <c r="BA102" t="n">
        <v>14</v>
      </c>
      <c r="BB102" t="inlineStr"/>
      <c r="BC102" t="inlineStr"/>
      <c r="BD102" t="inlineStr">
        <is>
          <t>A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</row>
    <row r="103">
      <c r="A103" s="1" t="n">
        <v>101</v>
      </c>
      <c r="B103" t="inlineStr"/>
      <c r="C103" t="inlineStr"/>
      <c r="D103" t="n">
        <v>48</v>
      </c>
      <c r="E103" t="inlineStr"/>
      <c r="F103" t="inlineStr">
        <is>
          <t>jh-p48-3700</t>
        </is>
      </c>
      <c r="G103" t="inlineStr"/>
      <c r="H103" t="inlineStr">
        <is>
          <t>leaf herbarium</t>
        </is>
      </c>
      <c r="I103" t="inlineStr">
        <is>
          <t>Miscelanea</t>
        </is>
      </c>
      <c r="J103" t="n">
        <v>2006</v>
      </c>
      <c r="K103" t="n">
        <v>0.4695</v>
      </c>
      <c r="L103" t="inlineStr"/>
      <c r="M103" t="inlineStr"/>
      <c r="N103" t="inlineStr"/>
      <c r="O103" t="inlineStr">
        <is>
          <t>plot 48#1407</t>
        </is>
      </c>
      <c r="P103" t="inlineStr"/>
      <c r="Q103" t="inlineStr"/>
      <c r="R103" t="n">
        <v>3700</v>
      </c>
      <c r="S103" t="n">
        <v>1407</v>
      </c>
      <c r="T103" t="inlineStr"/>
      <c r="U103" t="n">
        <v>-32.3</v>
      </c>
      <c r="V103" t="inlineStr"/>
      <c r="W103" t="inlineStr"/>
      <c r="X103" t="inlineStr">
        <is>
          <t>Galeras</t>
        </is>
      </c>
      <c r="Y103" t="n">
        <v>1000</v>
      </c>
      <c r="Z103" t="n">
        <v>48</v>
      </c>
      <c r="AA103" t="inlineStr">
        <is>
          <t>Galeras</t>
        </is>
      </c>
      <c r="AB103" t="inlineStr">
        <is>
          <t>GAL_48</t>
        </is>
      </c>
      <c r="AC103" t="n">
        <v>1407</v>
      </c>
      <c r="AD103" t="n">
        <v>1</v>
      </c>
      <c r="AE103" t="inlineStr"/>
      <c r="AF103" t="inlineStr"/>
      <c r="AG103" t="inlineStr"/>
      <c r="AH103" t="inlineStr">
        <is>
          <t>Myrtaceae</t>
        </is>
      </c>
      <c r="AI103" t="inlineStr">
        <is>
          <t>Calyptranthes</t>
        </is>
      </c>
      <c r="AJ103" t="inlineStr"/>
      <c r="AK103" s="2" t="n">
        <v>38871</v>
      </c>
      <c r="AL103" t="n">
        <v>16.8704239677409</v>
      </c>
      <c r="AM103" t="inlineStr"/>
      <c r="AN103" t="inlineStr"/>
      <c r="AO103" t="inlineStr"/>
      <c r="AP103" t="inlineStr"/>
      <c r="AQ103" t="inlineStr">
        <is>
          <t>3700</t>
        </is>
      </c>
      <c r="AR103" t="inlineStr"/>
      <c r="AS103" t="inlineStr"/>
      <c r="AT103" t="inlineStr">
        <is>
          <t>ø</t>
        </is>
      </c>
      <c r="AU103" t="n">
        <v>8667</v>
      </c>
      <c r="AV103" t="n">
        <v>1</v>
      </c>
      <c r="AW103" t="inlineStr"/>
      <c r="AX103" t="inlineStr"/>
      <c r="AY103" s="2" t="n">
        <v>45666</v>
      </c>
      <c r="AZ103" t="n">
        <v>22.6</v>
      </c>
      <c r="BA103" t="n">
        <v>20.5</v>
      </c>
      <c r="BB103" t="inlineStr"/>
      <c r="BC103" t="inlineStr"/>
      <c r="BD103" t="inlineStr">
        <is>
          <t>B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</row>
    <row r="104">
      <c r="A104" s="1" t="n">
        <v>102</v>
      </c>
      <c r="B104" t="inlineStr"/>
      <c r="C104" t="inlineStr"/>
      <c r="D104" t="n">
        <v>48</v>
      </c>
      <c r="E104" t="inlineStr"/>
      <c r="F104" t="inlineStr">
        <is>
          <t>jh-p48-3702</t>
        </is>
      </c>
      <c r="G104" t="inlineStr"/>
      <c r="H104" t="inlineStr">
        <is>
          <t>leaf herbarium</t>
        </is>
      </c>
      <c r="I104" t="inlineStr">
        <is>
          <t>Miscelanea</t>
        </is>
      </c>
      <c r="J104" t="n">
        <v>2006</v>
      </c>
      <c r="K104" t="n">
        <v>0.503</v>
      </c>
      <c r="L104" t="inlineStr"/>
      <c r="M104" t="inlineStr"/>
      <c r="N104" t="inlineStr"/>
      <c r="O104" t="inlineStr">
        <is>
          <t>plot 48#1408</t>
        </is>
      </c>
      <c r="P104" t="inlineStr"/>
      <c r="Q104" t="inlineStr"/>
      <c r="R104" t="n">
        <v>3702</v>
      </c>
      <c r="S104" t="n">
        <v>1408</v>
      </c>
      <c r="T104" t="inlineStr"/>
      <c r="U104" t="n">
        <v>-26.31</v>
      </c>
      <c r="V104" t="inlineStr"/>
      <c r="W104" t="inlineStr"/>
      <c r="X104" t="inlineStr">
        <is>
          <t>Galeras</t>
        </is>
      </c>
      <c r="Y104" t="n">
        <v>1000</v>
      </c>
      <c r="Z104" t="n">
        <v>48</v>
      </c>
      <c r="AA104" t="inlineStr">
        <is>
          <t>Galeras</t>
        </is>
      </c>
      <c r="AB104" t="inlineStr">
        <is>
          <t>GAL_48</t>
        </is>
      </c>
      <c r="AC104" t="n">
        <v>1408</v>
      </c>
      <c r="AD104" t="n">
        <v>1</v>
      </c>
      <c r="AE104" t="inlineStr"/>
      <c r="AF104" t="inlineStr"/>
      <c r="AG104" t="inlineStr"/>
      <c r="AH104" t="inlineStr">
        <is>
          <t>Fabaceae</t>
        </is>
      </c>
      <c r="AI104" t="inlineStr">
        <is>
          <t>Tachigali</t>
        </is>
      </c>
      <c r="AJ104" t="inlineStr"/>
      <c r="AK104" s="2" t="n">
        <v>38871</v>
      </c>
      <c r="AL104" t="n">
        <v>32.78591827693044</v>
      </c>
      <c r="AM104" t="inlineStr"/>
      <c r="AN104" t="inlineStr"/>
      <c r="AO104" t="inlineStr"/>
      <c r="AP104" t="inlineStr"/>
      <c r="AQ104" t="inlineStr">
        <is>
          <t>3702</t>
        </is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</row>
    <row r="105">
      <c r="A105" s="1" t="n">
        <v>103</v>
      </c>
      <c r="B105" t="inlineStr"/>
      <c r="C105" t="inlineStr"/>
      <c r="D105" t="n">
        <v>50</v>
      </c>
      <c r="E105" t="inlineStr"/>
      <c r="F105" t="inlineStr">
        <is>
          <t>jh-p50-3617</t>
        </is>
      </c>
      <c r="G105" t="inlineStr"/>
      <c r="H105" t="inlineStr">
        <is>
          <t>leaf herbarium</t>
        </is>
      </c>
      <c r="I105" t="inlineStr">
        <is>
          <t>Miscelanea</t>
        </is>
      </c>
      <c r="J105" t="n">
        <v>2006</v>
      </c>
      <c r="K105" t="n">
        <v>0.4921</v>
      </c>
      <c r="L105" t="inlineStr"/>
      <c r="M105" t="inlineStr"/>
      <c r="N105" t="inlineStr"/>
      <c r="O105" t="inlineStr">
        <is>
          <t>plot 50#1470</t>
        </is>
      </c>
      <c r="P105" t="inlineStr"/>
      <c r="Q105" t="inlineStr"/>
      <c r="R105" t="n">
        <v>3617</v>
      </c>
      <c r="S105" t="n">
        <v>1470</v>
      </c>
      <c r="T105" t="inlineStr"/>
      <c r="U105" t="n">
        <v>-31.4</v>
      </c>
      <c r="V105" t="inlineStr"/>
      <c r="W105" t="inlineStr"/>
      <c r="X105" t="inlineStr">
        <is>
          <t>Galeras</t>
        </is>
      </c>
      <c r="Y105" t="n">
        <v>1500</v>
      </c>
      <c r="Z105" t="n">
        <v>50</v>
      </c>
      <c r="AA105" t="inlineStr">
        <is>
          <t>Galeras</t>
        </is>
      </c>
      <c r="AB105" t="inlineStr">
        <is>
          <t>GAL_50</t>
        </is>
      </c>
      <c r="AC105" t="n">
        <v>1470</v>
      </c>
      <c r="AD105" t="n">
        <v>1</v>
      </c>
      <c r="AE105" t="inlineStr"/>
      <c r="AF105" t="inlineStr"/>
      <c r="AG105" t="inlineStr"/>
      <c r="AH105" t="inlineStr">
        <is>
          <t>Styracaceae</t>
        </is>
      </c>
      <c r="AI105" t="inlineStr">
        <is>
          <t>Styrax</t>
        </is>
      </c>
      <c r="AJ105" t="inlineStr">
        <is>
          <t>cordatus</t>
        </is>
      </c>
      <c r="AK105" s="2" t="n">
        <v>38873</v>
      </c>
      <c r="AL105" t="n">
        <v>17.50704374010849</v>
      </c>
      <c r="AM105" t="inlineStr"/>
      <c r="AN105" t="inlineStr"/>
      <c r="AO105" t="inlineStr"/>
      <c r="AP105" t="inlineStr"/>
      <c r="AQ105" t="inlineStr">
        <is>
          <t>3617</t>
        </is>
      </c>
      <c r="AR105" t="inlineStr"/>
      <c r="AS105" t="inlineStr">
        <is>
          <t>Ο</t>
        </is>
      </c>
      <c r="AT105" t="inlineStr">
        <is>
          <t>Ø</t>
        </is>
      </c>
      <c r="AU105" t="n">
        <v>8780</v>
      </c>
      <c r="AV105" t="n">
        <v>1</v>
      </c>
      <c r="AW105" t="inlineStr"/>
      <c r="AX105" t="inlineStr"/>
      <c r="AY105" s="2" t="n">
        <v>45539</v>
      </c>
      <c r="AZ105" t="n">
        <v>16.8</v>
      </c>
      <c r="BA105" t="n">
        <v>14.3</v>
      </c>
      <c r="BB105" t="inlineStr"/>
      <c r="BC105" t="inlineStr"/>
      <c r="BD105" t="inlineStr">
        <is>
          <t>A</t>
        </is>
      </c>
      <c r="BE105" t="inlineStr"/>
      <c r="BF105" t="inlineStr">
        <is>
          <t>JH6789</t>
        </is>
      </c>
      <c r="BG105" t="inlineStr"/>
      <c r="BH105" t="inlineStr"/>
      <c r="BI105" t="inlineStr">
        <is>
          <t>Antes S. cordatus Ahora S. pavonii</t>
        </is>
      </c>
      <c r="BJ105" t="n">
        <v>0.5</v>
      </c>
      <c r="BK105" t="n">
        <v>7.2</v>
      </c>
      <c r="BL105" t="n">
        <v>1.52</v>
      </c>
      <c r="BM105" t="n">
        <v>0.85</v>
      </c>
    </row>
    <row r="106">
      <c r="A106" s="1" t="n">
        <v>104</v>
      </c>
      <c r="B106" t="inlineStr"/>
      <c r="C106" t="inlineStr"/>
      <c r="D106" t="n">
        <v>48</v>
      </c>
      <c r="E106" t="inlineStr"/>
      <c r="F106" t="inlineStr">
        <is>
          <t>jh-p48-3699</t>
        </is>
      </c>
      <c r="G106" t="inlineStr"/>
      <c r="H106" t="inlineStr">
        <is>
          <t>leaf herbarium</t>
        </is>
      </c>
      <c r="I106" t="inlineStr">
        <is>
          <t>Miscelanea</t>
        </is>
      </c>
      <c r="J106" t="n">
        <v>2006</v>
      </c>
      <c r="K106" t="n">
        <v>0.4884</v>
      </c>
      <c r="L106" t="inlineStr"/>
      <c r="M106" t="inlineStr"/>
      <c r="N106" t="inlineStr"/>
      <c r="O106" t="inlineStr">
        <is>
          <t>plot 48#1398</t>
        </is>
      </c>
      <c r="P106" t="inlineStr"/>
      <c r="Q106" t="inlineStr"/>
      <c r="R106" t="n">
        <v>3699</v>
      </c>
      <c r="S106" t="n">
        <v>1398</v>
      </c>
      <c r="T106" t="inlineStr"/>
      <c r="U106" t="n">
        <v>-30.45</v>
      </c>
      <c r="V106" t="inlineStr"/>
      <c r="W106" t="inlineStr"/>
      <c r="X106" t="inlineStr">
        <is>
          <t>Galeras</t>
        </is>
      </c>
      <c r="Y106" t="n">
        <v>1000</v>
      </c>
      <c r="Z106" t="n">
        <v>48</v>
      </c>
      <c r="AA106" t="inlineStr">
        <is>
          <t>Galeras</t>
        </is>
      </c>
      <c r="AB106" t="inlineStr">
        <is>
          <t>GAL_48</t>
        </is>
      </c>
      <c r="AC106" t="n">
        <v>1398</v>
      </c>
      <c r="AD106" t="n">
        <v>1</v>
      </c>
      <c r="AE106" t="inlineStr"/>
      <c r="AF106" t="inlineStr"/>
      <c r="AG106" t="inlineStr"/>
      <c r="AH106" t="inlineStr">
        <is>
          <t>Sapotaceae</t>
        </is>
      </c>
      <c r="AI106" t="inlineStr">
        <is>
          <t>Ragala</t>
        </is>
      </c>
      <c r="AJ106" t="inlineStr">
        <is>
          <t>sanguinolenta</t>
        </is>
      </c>
      <c r="AK106" s="2" t="n">
        <v>38871</v>
      </c>
      <c r="AL106" t="n">
        <v>10.3450713009732</v>
      </c>
      <c r="AM106" t="inlineStr"/>
      <c r="AN106" t="inlineStr"/>
      <c r="AO106" t="inlineStr"/>
      <c r="AP106" t="inlineStr"/>
      <c r="AQ106" t="inlineStr">
        <is>
          <t>3699,2460</t>
        </is>
      </c>
      <c r="AR106" t="inlineStr"/>
      <c r="AS106" t="inlineStr"/>
      <c r="AT106" t="inlineStr">
        <is>
          <t>ø</t>
        </is>
      </c>
      <c r="AU106" t="n">
        <v>8678</v>
      </c>
      <c r="AV106" t="n">
        <v>1</v>
      </c>
      <c r="AW106" t="inlineStr"/>
      <c r="AX106" t="inlineStr"/>
      <c r="AY106" s="2" t="n">
        <v>45666</v>
      </c>
      <c r="AZ106" t="n">
        <v>11.4</v>
      </c>
      <c r="BA106" t="n">
        <v>14</v>
      </c>
      <c r="BB106" t="inlineStr"/>
      <c r="BC106" t="inlineStr"/>
      <c r="BD106" t="inlineStr">
        <is>
          <t>C</t>
        </is>
      </c>
      <c r="BE106" t="inlineStr"/>
      <c r="BF106" t="inlineStr"/>
      <c r="BG106" t="n">
        <v>3</v>
      </c>
      <c r="BH106" t="inlineStr"/>
      <c r="BI106" t="inlineStr">
        <is>
          <t>Antes Chrysophyllum sanguinolentum Ahora Ragala sanguinolenta</t>
        </is>
      </c>
      <c r="BJ106" t="inlineStr"/>
      <c r="BK106" t="inlineStr"/>
      <c r="BL106" t="inlineStr"/>
      <c r="BM106" t="inlineStr"/>
    </row>
    <row r="107">
      <c r="A107" s="1" t="n">
        <v>105</v>
      </c>
      <c r="B107" t="inlineStr"/>
      <c r="C107" t="inlineStr"/>
      <c r="D107" t="n">
        <v>28</v>
      </c>
      <c r="E107" t="inlineStr"/>
      <c r="F107" t="inlineStr">
        <is>
          <t>jh-p28-3578</t>
        </is>
      </c>
      <c r="G107" t="inlineStr"/>
      <c r="H107" t="inlineStr">
        <is>
          <t>leaf herbarium</t>
        </is>
      </c>
      <c r="I107" t="inlineStr">
        <is>
          <t>Miscelanea</t>
        </is>
      </c>
      <c r="J107" t="n">
        <v>2006</v>
      </c>
      <c r="K107" t="n">
        <v>0.5884</v>
      </c>
      <c r="L107" t="inlineStr"/>
      <c r="M107" t="inlineStr"/>
      <c r="N107" t="inlineStr"/>
      <c r="O107" t="inlineStr">
        <is>
          <t>plot 28#731</t>
        </is>
      </c>
      <c r="P107" t="inlineStr"/>
      <c r="Q107" t="inlineStr"/>
      <c r="R107" t="n">
        <v>3578</v>
      </c>
      <c r="S107" t="n">
        <v>731</v>
      </c>
      <c r="T107" t="inlineStr"/>
      <c r="U107" t="n">
        <v>-30.95</v>
      </c>
      <c r="V107" t="inlineStr"/>
      <c r="W107" t="inlineStr"/>
      <c r="X107" t="inlineStr">
        <is>
          <t>Galeras</t>
        </is>
      </c>
      <c r="Y107" t="n">
        <v>2000</v>
      </c>
      <c r="Z107" t="n">
        <v>28</v>
      </c>
      <c r="AA107" t="inlineStr">
        <is>
          <t>Galeras</t>
        </is>
      </c>
      <c r="AB107" t="inlineStr">
        <is>
          <t>GAL_28</t>
        </is>
      </c>
      <c r="AC107" t="n">
        <v>731</v>
      </c>
      <c r="AD107" t="n">
        <v>1</v>
      </c>
      <c r="AE107" t="inlineStr"/>
      <c r="AF107" t="inlineStr"/>
      <c r="AG107" t="inlineStr"/>
      <c r="AH107" t="inlineStr">
        <is>
          <t>Myristicaceae</t>
        </is>
      </c>
      <c r="AI107" t="inlineStr">
        <is>
          <t>Virola</t>
        </is>
      </c>
      <c r="AJ107" t="inlineStr">
        <is>
          <t>obovata</t>
        </is>
      </c>
      <c r="AK107" s="2" t="n">
        <v>38821</v>
      </c>
      <c r="AL107" t="n">
        <v>19.41690305721123</v>
      </c>
      <c r="AM107" t="inlineStr"/>
      <c r="AN107" t="inlineStr"/>
      <c r="AO107" t="inlineStr"/>
      <c r="AP107" t="inlineStr"/>
      <c r="AQ107" t="inlineStr">
        <is>
          <t>3578</t>
        </is>
      </c>
      <c r="AR107" t="inlineStr"/>
      <c r="AS107" t="inlineStr"/>
      <c r="AT107" t="inlineStr"/>
      <c r="AU107" t="inlineStr"/>
      <c r="AV107" t="inlineStr"/>
      <c r="AW107" t="inlineStr"/>
      <c r="AX107" t="inlineStr"/>
      <c r="AY107" s="2" t="n">
        <v>45538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NE</t>
        </is>
      </c>
      <c r="BI107" t="inlineStr"/>
      <c r="BJ107" t="inlineStr"/>
      <c r="BK107" t="inlineStr"/>
      <c r="BL107" t="inlineStr"/>
      <c r="BM107" t="inlineStr"/>
    </row>
    <row r="108">
      <c r="A108" s="1" t="n">
        <v>106</v>
      </c>
      <c r="B108" t="inlineStr"/>
      <c r="C108" t="inlineStr"/>
      <c r="D108" t="n">
        <v>20</v>
      </c>
      <c r="E108" t="inlineStr"/>
      <c r="F108" t="inlineStr">
        <is>
          <t>jh-p20-3715</t>
        </is>
      </c>
      <c r="G108" t="inlineStr"/>
      <c r="H108" t="inlineStr">
        <is>
          <t>leaf herbarium</t>
        </is>
      </c>
      <c r="I108" t="inlineStr">
        <is>
          <t>Miscelanea</t>
        </is>
      </c>
      <c r="J108" t="n">
        <v>2006</v>
      </c>
      <c r="K108" t="n">
        <v>0.4684</v>
      </c>
      <c r="L108" t="inlineStr"/>
      <c r="M108" t="inlineStr"/>
      <c r="N108" t="inlineStr"/>
      <c r="O108" t="inlineStr">
        <is>
          <t>plot 20#498, one-seeded fruits</t>
        </is>
      </c>
      <c r="P108" t="inlineStr"/>
      <c r="Q108" t="inlineStr"/>
      <c r="R108" t="n">
        <v>3715</v>
      </c>
      <c r="S108" t="n">
        <v>498</v>
      </c>
      <c r="T108" t="inlineStr"/>
      <c r="U108" t="n">
        <v>-25.81</v>
      </c>
      <c r="V108" t="inlineStr"/>
      <c r="W108" t="inlineStr"/>
      <c r="X108" t="inlineStr">
        <is>
          <t>Galeras</t>
        </is>
      </c>
      <c r="Y108" t="n">
        <v>1000</v>
      </c>
      <c r="Z108" t="n">
        <v>20</v>
      </c>
      <c r="AA108" t="inlineStr">
        <is>
          <t>Galeras</t>
        </is>
      </c>
      <c r="AB108" t="inlineStr">
        <is>
          <t>GAL_20</t>
        </is>
      </c>
      <c r="AC108" t="n">
        <v>498</v>
      </c>
      <c r="AD108" t="n">
        <v>1</v>
      </c>
      <c r="AE108" t="n">
        <v>1</v>
      </c>
      <c r="AF108" t="n">
        <v>0</v>
      </c>
      <c r="AG108" t="n">
        <v>0</v>
      </c>
      <c r="AH108" t="inlineStr">
        <is>
          <t>Myristicaceae</t>
        </is>
      </c>
      <c r="AI108" t="inlineStr">
        <is>
          <t>Compsoneura</t>
        </is>
      </c>
      <c r="AJ108" t="inlineStr">
        <is>
          <t>capitellata</t>
        </is>
      </c>
      <c r="AK108" s="2" t="n">
        <v>38822</v>
      </c>
      <c r="AL108" t="n">
        <v>58.31</v>
      </c>
      <c r="AM108" s="2" t="n">
        <v>40724</v>
      </c>
      <c r="AN108" t="inlineStr">
        <is>
          <t>59,69</t>
        </is>
      </c>
      <c r="AO108" t="n">
        <v>32.5</v>
      </c>
      <c r="AP108" t="inlineStr"/>
      <c r="AQ108" t="n">
        <v>3715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</row>
    <row r="109">
      <c r="A109" s="1" t="n">
        <v>107</v>
      </c>
      <c r="B109" t="inlineStr"/>
      <c r="C109" t="inlineStr"/>
      <c r="D109" t="n">
        <v>50</v>
      </c>
      <c r="E109" t="inlineStr"/>
      <c r="F109" t="inlineStr">
        <is>
          <t>jh-p50-3625</t>
        </is>
      </c>
      <c r="G109" t="inlineStr"/>
      <c r="H109" t="inlineStr">
        <is>
          <t>leaf herbarium</t>
        </is>
      </c>
      <c r="I109" t="inlineStr">
        <is>
          <t>Miscelanea</t>
        </is>
      </c>
      <c r="J109" t="n">
        <v>2006</v>
      </c>
      <c r="K109" t="n">
        <v>0.4766</v>
      </c>
      <c r="L109" t="inlineStr"/>
      <c r="M109" t="inlineStr"/>
      <c r="N109" t="inlineStr"/>
      <c r="O109" t="inlineStr">
        <is>
          <t>plot 50#1464</t>
        </is>
      </c>
      <c r="P109" t="inlineStr"/>
      <c r="Q109" t="inlineStr"/>
      <c r="R109" t="n">
        <v>3625</v>
      </c>
      <c r="S109" t="n">
        <v>1464</v>
      </c>
      <c r="T109" t="inlineStr"/>
      <c r="U109" t="n">
        <v>-28.8</v>
      </c>
      <c r="V109" t="inlineStr"/>
      <c r="W109" t="inlineStr"/>
      <c r="X109" t="inlineStr">
        <is>
          <t>Galeras</t>
        </is>
      </c>
      <c r="Y109" t="n">
        <v>1500</v>
      </c>
      <c r="Z109" t="n">
        <v>50</v>
      </c>
      <c r="AA109" t="inlineStr">
        <is>
          <t>Galeras</t>
        </is>
      </c>
      <c r="AB109" t="inlineStr">
        <is>
          <t>GAL_50</t>
        </is>
      </c>
      <c r="AC109" t="n">
        <v>1464</v>
      </c>
      <c r="AD109" t="n">
        <v>1</v>
      </c>
      <c r="AE109" t="inlineStr"/>
      <c r="AF109" t="inlineStr"/>
      <c r="AG109" t="inlineStr"/>
      <c r="AH109" t="inlineStr">
        <is>
          <t>Euphorbiaceae</t>
        </is>
      </c>
      <c r="AI109" t="inlineStr">
        <is>
          <t>Alchornea</t>
        </is>
      </c>
      <c r="AJ109" t="inlineStr">
        <is>
          <t>triplinervia</t>
        </is>
      </c>
      <c r="AK109" s="2" t="n">
        <v>38873</v>
      </c>
      <c r="AL109" t="n">
        <v>13.687325105903</v>
      </c>
      <c r="AM109" t="inlineStr"/>
      <c r="AN109" t="inlineStr"/>
      <c r="AO109" t="inlineStr"/>
      <c r="AP109" t="inlineStr"/>
      <c r="AQ109" t="inlineStr">
        <is>
          <t>3625</t>
        </is>
      </c>
      <c r="AR109" t="inlineStr"/>
      <c r="AS109" t="inlineStr">
        <is>
          <t>Ο</t>
        </is>
      </c>
      <c r="AT109" t="inlineStr">
        <is>
          <t>Ø</t>
        </is>
      </c>
      <c r="AU109" t="n">
        <v>8800</v>
      </c>
      <c r="AV109" t="n">
        <v>1</v>
      </c>
      <c r="AW109" t="inlineStr"/>
      <c r="AX109" t="inlineStr"/>
      <c r="AY109" s="2" t="n">
        <v>45539</v>
      </c>
      <c r="AZ109" t="n">
        <v>13.4</v>
      </c>
      <c r="BA109" t="n">
        <v>15.3</v>
      </c>
      <c r="BB109" t="inlineStr"/>
      <c r="BC109" t="inlineStr"/>
      <c r="BD109" t="inlineStr">
        <is>
          <t>A</t>
        </is>
      </c>
      <c r="BE109" t="inlineStr"/>
      <c r="BF109" t="inlineStr"/>
      <c r="BG109" t="inlineStr"/>
      <c r="BH109" t="inlineStr"/>
      <c r="BI109" t="inlineStr"/>
      <c r="BJ109" t="n">
        <v>0.4</v>
      </c>
      <c r="BK109" t="n">
        <v>4.8</v>
      </c>
      <c r="BL109" t="n">
        <v>1.21</v>
      </c>
      <c r="BM109" t="n">
        <v>0.51</v>
      </c>
    </row>
    <row r="110">
      <c r="A110" s="1" t="n">
        <v>108</v>
      </c>
      <c r="B110" t="inlineStr"/>
      <c r="C110" t="inlineStr"/>
      <c r="D110" t="n">
        <v>23</v>
      </c>
      <c r="E110" t="inlineStr"/>
      <c r="F110" t="inlineStr">
        <is>
          <t>jh-p23-3736</t>
        </is>
      </c>
      <c r="G110" t="inlineStr"/>
      <c r="H110" t="inlineStr">
        <is>
          <t>leaf herbarium</t>
        </is>
      </c>
      <c r="I110" t="inlineStr">
        <is>
          <t>Miscelanea</t>
        </is>
      </c>
      <c r="J110" t="n">
        <v>2006</v>
      </c>
      <c r="K110" t="n">
        <v>0.4592</v>
      </c>
      <c r="L110" t="inlineStr"/>
      <c r="M110" t="inlineStr"/>
      <c r="N110" t="inlineStr"/>
      <c r="O110" t="inlineStr">
        <is>
          <t>plot 23#553</t>
        </is>
      </c>
      <c r="P110" t="inlineStr"/>
      <c r="Q110" t="inlineStr"/>
      <c r="R110" t="n">
        <v>3736</v>
      </c>
      <c r="S110" t="n">
        <v>553</v>
      </c>
      <c r="T110" t="inlineStr"/>
      <c r="U110" t="n">
        <v>-30.18</v>
      </c>
      <c r="V110" t="inlineStr"/>
      <c r="W110" t="inlineStr"/>
      <c r="X110" t="inlineStr">
        <is>
          <t>Galeras</t>
        </is>
      </c>
      <c r="Y110" t="n">
        <v>1000</v>
      </c>
      <c r="Z110" t="n">
        <v>23</v>
      </c>
      <c r="AA110" t="inlineStr">
        <is>
          <t>Galeras</t>
        </is>
      </c>
      <c r="AB110" t="inlineStr">
        <is>
          <t>GAL_23</t>
        </is>
      </c>
      <c r="AC110" t="n">
        <v>553</v>
      </c>
      <c r="AD110" t="n">
        <v>1</v>
      </c>
      <c r="AE110" t="inlineStr"/>
      <c r="AF110" t="inlineStr"/>
      <c r="AG110" t="inlineStr"/>
      <c r="AH110" t="inlineStr">
        <is>
          <t>Fabaceae</t>
        </is>
      </c>
      <c r="AI110" t="inlineStr">
        <is>
          <t>Inga</t>
        </is>
      </c>
      <c r="AJ110" t="inlineStr">
        <is>
          <t>marginata</t>
        </is>
      </c>
      <c r="AK110" s="2" t="n">
        <v>38653</v>
      </c>
      <c r="AL110" t="n">
        <v>10.50422624406509</v>
      </c>
      <c r="AM110" t="inlineStr"/>
      <c r="AN110" t="inlineStr"/>
      <c r="AO110" t="inlineStr"/>
      <c r="AP110" t="inlineStr"/>
      <c r="AQ110" t="inlineStr">
        <is>
          <t>3736</t>
        </is>
      </c>
      <c r="AR110" t="inlineStr"/>
      <c r="AS110" t="inlineStr">
        <is>
          <t>Ο</t>
        </is>
      </c>
      <c r="AT110" t="inlineStr">
        <is>
          <t>Ø</t>
        </is>
      </c>
      <c r="AU110" t="n">
        <v>8986</v>
      </c>
      <c r="AV110" t="n">
        <v>1</v>
      </c>
      <c r="AW110" t="inlineStr"/>
      <c r="AX110" t="inlineStr"/>
      <c r="AY110" s="2" t="n">
        <v>45541</v>
      </c>
      <c r="AZ110" t="n">
        <v>11.25</v>
      </c>
      <c r="BA110" t="n">
        <v>7.6</v>
      </c>
      <c r="BB110" t="inlineStr"/>
      <c r="BC110" t="inlineStr"/>
      <c r="BD110" t="inlineStr">
        <is>
          <t>B</t>
        </is>
      </c>
      <c r="BE110" t="inlineStr"/>
      <c r="BF110" t="inlineStr"/>
      <c r="BG110" t="inlineStr"/>
      <c r="BH110" t="inlineStr">
        <is>
          <t>Con placa vieja</t>
        </is>
      </c>
      <c r="BI110" t="inlineStr"/>
      <c r="BJ110" t="n">
        <v>0.4</v>
      </c>
      <c r="BK110" t="n">
        <v>5.6</v>
      </c>
      <c r="BL110" t="n">
        <v>1.33</v>
      </c>
      <c r="BM110" t="n">
        <v>0.76</v>
      </c>
    </row>
    <row r="111">
      <c r="A111" s="1" t="n">
        <v>109</v>
      </c>
      <c r="B111" t="inlineStr"/>
      <c r="C111" t="inlineStr"/>
      <c r="D111" t="n">
        <v>23</v>
      </c>
      <c r="E111" t="inlineStr"/>
      <c r="F111" t="inlineStr">
        <is>
          <t>jh-p23-3744</t>
        </is>
      </c>
      <c r="G111" t="inlineStr"/>
      <c r="H111" t="inlineStr">
        <is>
          <t>leaf herbarium</t>
        </is>
      </c>
      <c r="I111" t="inlineStr">
        <is>
          <t>Miscelanea</t>
        </is>
      </c>
      <c r="J111" t="n">
        <v>2006</v>
      </c>
      <c r="K111" t="n">
        <v>0.4724</v>
      </c>
      <c r="L111" t="inlineStr"/>
      <c r="M111" t="inlineStr"/>
      <c r="N111" t="inlineStr"/>
      <c r="O111" t="inlineStr">
        <is>
          <t>plot 23#563</t>
        </is>
      </c>
      <c r="P111" t="inlineStr"/>
      <c r="Q111" t="inlineStr"/>
      <c r="R111" t="n">
        <v>3744</v>
      </c>
      <c r="S111" t="n">
        <v>563</v>
      </c>
      <c r="T111" t="inlineStr"/>
      <c r="U111" t="n">
        <v>-29.71</v>
      </c>
      <c r="V111" t="inlineStr"/>
      <c r="W111" t="inlineStr"/>
      <c r="X111" t="inlineStr">
        <is>
          <t>Galeras</t>
        </is>
      </c>
      <c r="Y111" t="n">
        <v>1000</v>
      </c>
      <c r="Z111" t="n">
        <v>23</v>
      </c>
      <c r="AA111" t="inlineStr">
        <is>
          <t>Galeras</t>
        </is>
      </c>
      <c r="AB111" t="inlineStr">
        <is>
          <t>GAL_23</t>
        </is>
      </c>
      <c r="AC111" t="n">
        <v>563</v>
      </c>
      <c r="AD111" t="n">
        <v>1</v>
      </c>
      <c r="AE111" t="inlineStr"/>
      <c r="AF111" t="inlineStr"/>
      <c r="AG111" t="inlineStr"/>
      <c r="AH111" t="inlineStr">
        <is>
          <t>Fabaceae</t>
        </is>
      </c>
      <c r="AI111" t="inlineStr">
        <is>
          <t>Inga</t>
        </is>
      </c>
      <c r="AJ111" t="inlineStr">
        <is>
          <t>capitata</t>
        </is>
      </c>
      <c r="AK111" s="2" t="n">
        <v>38653</v>
      </c>
      <c r="AL111" t="n">
        <v>12.09577567498405</v>
      </c>
      <c r="AM111" t="inlineStr"/>
      <c r="AN111" t="inlineStr"/>
      <c r="AO111" t="inlineStr"/>
      <c r="AP111" t="inlineStr"/>
      <c r="AQ111" t="inlineStr">
        <is>
          <t>3744</t>
        </is>
      </c>
      <c r="AR111" t="inlineStr"/>
      <c r="AS111" t="inlineStr">
        <is>
          <t>Ο</t>
        </is>
      </c>
      <c r="AT111" t="inlineStr">
        <is>
          <t>Ø</t>
        </is>
      </c>
      <c r="AU111" t="n">
        <v>8975</v>
      </c>
      <c r="AV111" t="n">
        <v>1</v>
      </c>
      <c r="AW111" t="inlineStr"/>
      <c r="AX111" t="inlineStr"/>
      <c r="AY111" s="2" t="n">
        <v>45541</v>
      </c>
      <c r="AZ111" t="n">
        <v>12.3</v>
      </c>
      <c r="BA111" t="n">
        <v>14.6</v>
      </c>
      <c r="BB111" t="inlineStr"/>
      <c r="BC111" t="inlineStr"/>
      <c r="BD111" t="inlineStr">
        <is>
          <t>A</t>
        </is>
      </c>
      <c r="BE111" t="inlineStr"/>
      <c r="BF111" t="inlineStr"/>
      <c r="BG111" t="inlineStr"/>
      <c r="BH111" t="inlineStr"/>
      <c r="BI111" t="inlineStr"/>
      <c r="BJ111" t="n">
        <v>0.4</v>
      </c>
      <c r="BK111" t="n">
        <v>3.8</v>
      </c>
      <c r="BL111" t="n">
        <v>0.87</v>
      </c>
      <c r="BM111" t="n">
        <v>0.43</v>
      </c>
    </row>
    <row r="112">
      <c r="A112" s="1" t="n">
        <v>110</v>
      </c>
      <c r="B112" t="inlineStr"/>
      <c r="C112" t="inlineStr"/>
      <c r="D112" t="n">
        <v>28</v>
      </c>
      <c r="E112" t="inlineStr"/>
      <c r="F112" t="inlineStr">
        <is>
          <t>jh-p28-3587</t>
        </is>
      </c>
      <c r="G112" t="inlineStr"/>
      <c r="H112" t="inlineStr">
        <is>
          <t>leaf herbarium</t>
        </is>
      </c>
      <c r="I112" t="inlineStr">
        <is>
          <t>Miscelanea</t>
        </is>
      </c>
      <c r="J112" t="n">
        <v>2006</v>
      </c>
      <c r="K112" t="n">
        <v>0.4646</v>
      </c>
      <c r="L112" t="inlineStr"/>
      <c r="M112" t="inlineStr"/>
      <c r="N112" t="inlineStr"/>
      <c r="O112" t="inlineStr">
        <is>
          <t>plot 28#715</t>
        </is>
      </c>
      <c r="P112" t="inlineStr"/>
      <c r="Q112" t="inlineStr"/>
      <c r="R112" t="n">
        <v>3587</v>
      </c>
      <c r="S112" t="n">
        <v>715</v>
      </c>
      <c r="T112" t="inlineStr"/>
      <c r="U112" t="n">
        <v>-27.28</v>
      </c>
      <c r="V112" t="inlineStr"/>
      <c r="W112" t="inlineStr"/>
      <c r="X112" t="inlineStr">
        <is>
          <t>Galeras</t>
        </is>
      </c>
      <c r="Y112" t="n">
        <v>2000</v>
      </c>
      <c r="Z112" t="n">
        <v>28</v>
      </c>
      <c r="AA112" t="inlineStr">
        <is>
          <t>Galeras</t>
        </is>
      </c>
      <c r="AB112" t="inlineStr">
        <is>
          <t>GAL_28</t>
        </is>
      </c>
      <c r="AC112" t="n">
        <v>715</v>
      </c>
      <c r="AD112" t="n">
        <v>1</v>
      </c>
      <c r="AE112" t="inlineStr"/>
      <c r="AF112" t="inlineStr"/>
      <c r="AG112" t="inlineStr"/>
      <c r="AH112" t="inlineStr">
        <is>
          <t>Rosaceae</t>
        </is>
      </c>
      <c r="AI112" t="inlineStr">
        <is>
          <t>Prunus</t>
        </is>
      </c>
      <c r="AJ112" t="inlineStr">
        <is>
          <t>opaca</t>
        </is>
      </c>
      <c r="AK112" s="2" t="n">
        <v>38821</v>
      </c>
      <c r="AL112" t="n">
        <v>42.97183463481174</v>
      </c>
      <c r="AM112" t="inlineStr"/>
      <c r="AN112" t="inlineStr"/>
      <c r="AO112" t="inlineStr"/>
      <c r="AP112" t="inlineStr"/>
      <c r="AQ112" t="inlineStr">
        <is>
          <t>3587</t>
        </is>
      </c>
      <c r="AR112" t="inlineStr"/>
      <c r="AS112" t="inlineStr">
        <is>
          <t>Ο</t>
        </is>
      </c>
      <c r="AT112" t="inlineStr">
        <is>
          <t>Ø</t>
        </is>
      </c>
      <c r="AU112" t="n">
        <v>8738</v>
      </c>
      <c r="AV112" t="n">
        <v>1</v>
      </c>
      <c r="AW112" t="inlineStr"/>
      <c r="AX112" t="inlineStr"/>
      <c r="AY112" s="2" t="n">
        <v>45538</v>
      </c>
      <c r="AZ112" t="n">
        <v>44.9</v>
      </c>
      <c r="BA112" t="inlineStr"/>
      <c r="BB112" t="inlineStr"/>
      <c r="BC112" t="inlineStr"/>
      <c r="BD112" t="inlineStr">
        <is>
          <t>D</t>
        </is>
      </c>
      <c r="BE112" t="inlineStr"/>
      <c r="BF112" t="inlineStr"/>
      <c r="BG112" t="inlineStr"/>
      <c r="BH112" t="inlineStr">
        <is>
          <t>FALTA ALTURA</t>
        </is>
      </c>
      <c r="BI112" t="inlineStr"/>
      <c r="BJ112" t="n">
        <v>1.3</v>
      </c>
      <c r="BK112" t="n">
        <v>4.1</v>
      </c>
      <c r="BL112" t="n">
        <v>1.11</v>
      </c>
      <c r="BM112" t="n">
        <v>0.7</v>
      </c>
    </row>
    <row r="113">
      <c r="A113" s="1" t="n">
        <v>111</v>
      </c>
      <c r="B113" t="inlineStr"/>
      <c r="C113" t="inlineStr"/>
      <c r="D113" t="n">
        <v>62</v>
      </c>
      <c r="E113" t="inlineStr"/>
      <c r="F113" t="inlineStr">
        <is>
          <t>jh-p62-3615</t>
        </is>
      </c>
      <c r="G113" t="inlineStr"/>
      <c r="H113" t="inlineStr">
        <is>
          <t>leaf herbarium</t>
        </is>
      </c>
      <c r="I113" t="inlineStr">
        <is>
          <t>Miscelanea</t>
        </is>
      </c>
      <c r="J113" t="n">
        <v>2006</v>
      </c>
      <c r="K113" t="n">
        <v>0.4774</v>
      </c>
      <c r="L113" t="inlineStr"/>
      <c r="M113" t="inlineStr"/>
      <c r="N113" t="inlineStr"/>
      <c r="O113" t="inlineStr">
        <is>
          <t>plot 62#1880</t>
        </is>
      </c>
      <c r="P113" t="inlineStr"/>
      <c r="Q113" t="inlineStr"/>
      <c r="R113" t="n">
        <v>3615</v>
      </c>
      <c r="S113" t="n">
        <v>1880</v>
      </c>
      <c r="T113" t="inlineStr"/>
      <c r="U113" t="n">
        <v>-28.4</v>
      </c>
      <c r="V113" t="inlineStr"/>
      <c r="W113" t="inlineStr"/>
      <c r="X113" t="inlineStr">
        <is>
          <t>Galeras</t>
        </is>
      </c>
      <c r="Y113" t="n">
        <v>1500</v>
      </c>
      <c r="Z113" t="n">
        <v>62</v>
      </c>
      <c r="AA113" t="inlineStr">
        <is>
          <t>Galeras</t>
        </is>
      </c>
      <c r="AB113" t="inlineStr">
        <is>
          <t>GAL_62</t>
        </is>
      </c>
      <c r="AC113" t="n">
        <v>1880</v>
      </c>
      <c r="AD113" t="n">
        <v>1</v>
      </c>
      <c r="AE113" t="inlineStr"/>
      <c r="AF113" t="inlineStr"/>
      <c r="AG113" t="inlineStr"/>
      <c r="AH113" t="inlineStr">
        <is>
          <t>Lauraceae</t>
        </is>
      </c>
      <c r="AI113" t="inlineStr">
        <is>
          <t>Ocotea</t>
        </is>
      </c>
      <c r="AJ113" t="inlineStr">
        <is>
          <t>subrutilans</t>
        </is>
      </c>
      <c r="AK113" s="2" t="n">
        <v>38902</v>
      </c>
      <c r="AL113" t="n">
        <v>12.41408556116784</v>
      </c>
      <c r="AM113" t="inlineStr"/>
      <c r="AN113" t="inlineStr"/>
      <c r="AO113" t="inlineStr"/>
      <c r="AP113" t="inlineStr"/>
      <c r="AQ113" t="inlineStr">
        <is>
          <t>3615</t>
        </is>
      </c>
      <c r="AR113" t="inlineStr"/>
      <c r="AS113" t="inlineStr"/>
      <c r="AT113" t="inlineStr"/>
      <c r="AU113" t="inlineStr"/>
      <c r="AV113" t="inlineStr"/>
      <c r="AW113" t="inlineStr"/>
      <c r="AX113" t="inlineStr"/>
      <c r="AY113" s="2" t="n">
        <v>45540</v>
      </c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>
        <is>
          <t>NE</t>
        </is>
      </c>
      <c r="BI113" t="inlineStr"/>
      <c r="BJ113" t="inlineStr"/>
      <c r="BK113" t="inlineStr"/>
      <c r="BL113" t="inlineStr"/>
      <c r="BM113" t="inlineStr"/>
    </row>
    <row r="114">
      <c r="A114" s="1" t="n">
        <v>112</v>
      </c>
      <c r="B114" t="inlineStr"/>
      <c r="C114" t="inlineStr"/>
      <c r="D114" t="n">
        <v>50</v>
      </c>
      <c r="E114" t="inlineStr"/>
      <c r="F114" t="inlineStr">
        <is>
          <t>jh-p50-3624</t>
        </is>
      </c>
      <c r="G114" t="inlineStr"/>
      <c r="H114" t="inlineStr">
        <is>
          <t>leaf herbarium</t>
        </is>
      </c>
      <c r="I114" t="inlineStr">
        <is>
          <t>Miscelanea</t>
        </is>
      </c>
      <c r="J114" t="n">
        <v>2006</v>
      </c>
      <c r="K114" t="n">
        <v>0.4831</v>
      </c>
      <c r="L114" t="inlineStr"/>
      <c r="M114" t="inlineStr"/>
      <c r="N114" t="inlineStr"/>
      <c r="O114" t="inlineStr">
        <is>
          <t>plot 50#1459</t>
        </is>
      </c>
      <c r="P114" t="inlineStr"/>
      <c r="Q114" t="inlineStr"/>
      <c r="R114" t="n">
        <v>3624</v>
      </c>
      <c r="S114" t="n">
        <v>1459</v>
      </c>
      <c r="T114" t="inlineStr"/>
      <c r="U114" t="n">
        <v>-27.5</v>
      </c>
      <c r="V114" t="inlineStr"/>
      <c r="W114" t="inlineStr"/>
      <c r="X114" t="inlineStr">
        <is>
          <t>Galeras</t>
        </is>
      </c>
      <c r="Y114" t="n">
        <v>1500</v>
      </c>
      <c r="Z114" t="n">
        <v>50</v>
      </c>
      <c r="AA114" t="inlineStr">
        <is>
          <t>Galeras</t>
        </is>
      </c>
      <c r="AB114" t="inlineStr">
        <is>
          <t>GAL_50</t>
        </is>
      </c>
      <c r="AC114" t="n">
        <v>1459</v>
      </c>
      <c r="AD114" t="n">
        <v>1</v>
      </c>
      <c r="AE114" t="inlineStr"/>
      <c r="AF114" t="inlineStr"/>
      <c r="AG114" t="inlineStr"/>
      <c r="AH114" t="inlineStr">
        <is>
          <t>Melastomataceae</t>
        </is>
      </c>
      <c r="AI114" t="inlineStr">
        <is>
          <t>Ossaea</t>
        </is>
      </c>
      <c r="AJ114" t="inlineStr">
        <is>
          <t>laxivenula</t>
        </is>
      </c>
      <c r="AK114" s="2" t="n">
        <v>38873</v>
      </c>
      <c r="AL114" t="n">
        <v>10.50422624406509</v>
      </c>
      <c r="AM114" t="inlineStr"/>
      <c r="AN114" t="inlineStr"/>
      <c r="AO114" t="inlineStr"/>
      <c r="AP114" t="inlineStr"/>
      <c r="AQ114" t="inlineStr">
        <is>
          <t>3624</t>
        </is>
      </c>
      <c r="AR114" t="inlineStr"/>
      <c r="AS114" t="inlineStr">
        <is>
          <t>Ο</t>
        </is>
      </c>
      <c r="AT114" t="inlineStr">
        <is>
          <t>Ø</t>
        </is>
      </c>
      <c r="AU114" t="n">
        <v>8786</v>
      </c>
      <c r="AV114" t="n">
        <v>1</v>
      </c>
      <c r="AW114" t="inlineStr"/>
      <c r="AX114" t="inlineStr"/>
      <c r="AY114" s="2" t="n">
        <v>45539</v>
      </c>
      <c r="AZ114" t="n">
        <v>11.4</v>
      </c>
      <c r="BA114" t="n">
        <v>10.5</v>
      </c>
      <c r="BB114" t="inlineStr"/>
      <c r="BC114" t="inlineStr"/>
      <c r="BD114" t="inlineStr">
        <is>
          <t>B</t>
        </is>
      </c>
      <c r="BE114" t="inlineStr"/>
      <c r="BF114" t="inlineStr">
        <is>
          <t>JH6792</t>
        </is>
      </c>
      <c r="BG114" t="inlineStr"/>
      <c r="BH114" t="inlineStr"/>
      <c r="BI114" t="inlineStr">
        <is>
          <t>Flores</t>
        </is>
      </c>
      <c r="BJ114" t="n">
        <v>0.4</v>
      </c>
      <c r="BK114" t="n">
        <v>5.2</v>
      </c>
      <c r="BL114" t="n">
        <v>1.34</v>
      </c>
      <c r="BM114" t="n">
        <v>0.61</v>
      </c>
    </row>
    <row r="115">
      <c r="A115" s="1" t="n">
        <v>113</v>
      </c>
      <c r="B115" t="inlineStr"/>
      <c r="C115" t="inlineStr"/>
      <c r="D115" t="n">
        <v>60</v>
      </c>
      <c r="E115" t="inlineStr"/>
      <c r="F115" t="inlineStr">
        <is>
          <t>jh-p60-5010</t>
        </is>
      </c>
      <c r="G115" t="inlineStr"/>
      <c r="H115" t="inlineStr">
        <is>
          <t>leaf herbarium</t>
        </is>
      </c>
      <c r="I115" t="inlineStr">
        <is>
          <t>Miscelanea</t>
        </is>
      </c>
      <c r="J115" t="n">
        <v>2006</v>
      </c>
      <c r="K115" t="n">
        <v>0.5252</v>
      </c>
      <c r="L115" t="inlineStr"/>
      <c r="M115" t="inlineStr"/>
      <c r="N115" t="inlineStr"/>
      <c r="O115" t="inlineStr">
        <is>
          <t>plot 60 #1823</t>
        </is>
      </c>
      <c r="P115" t="inlineStr"/>
      <c r="Q115" t="inlineStr"/>
      <c r="R115" t="n">
        <v>5010</v>
      </c>
      <c r="S115" t="n">
        <v>1823</v>
      </c>
      <c r="T115" t="inlineStr"/>
      <c r="U115" t="n">
        <v>-30.96</v>
      </c>
      <c r="V115" t="inlineStr"/>
      <c r="W115" t="inlineStr"/>
      <c r="X115" t="inlineStr">
        <is>
          <t>Galeras</t>
        </is>
      </c>
      <c r="Y115" t="n">
        <v>1500</v>
      </c>
      <c r="Z115" t="n">
        <v>60</v>
      </c>
      <c r="AA115" t="inlineStr">
        <is>
          <t>Galeras</t>
        </is>
      </c>
      <c r="AB115" t="inlineStr">
        <is>
          <t>GAL_60</t>
        </is>
      </c>
      <c r="AC115" t="n">
        <v>1823</v>
      </c>
      <c r="AD115" t="n">
        <v>1</v>
      </c>
      <c r="AE115" t="n">
        <v>1</v>
      </c>
      <c r="AF115" t="n">
        <v>0</v>
      </c>
      <c r="AG115" t="n">
        <v>0</v>
      </c>
      <c r="AH115" t="inlineStr">
        <is>
          <t>Lecythidaceae</t>
        </is>
      </c>
      <c r="AI115" t="inlineStr">
        <is>
          <t>Eschweilera</t>
        </is>
      </c>
      <c r="AJ115" t="inlineStr"/>
      <c r="AK115" s="2" t="n">
        <v>39176</v>
      </c>
      <c r="AL115" t="n">
        <v>10.61</v>
      </c>
      <c r="AM115" s="2" t="n">
        <v>40724</v>
      </c>
      <c r="AN115" t="n">
        <v>10.62</v>
      </c>
      <c r="AO115" t="n">
        <v>8.800000000000001</v>
      </c>
      <c r="AP115" t="inlineStr"/>
      <c r="AQ115" t="inlineStr">
        <is>
          <t>5010, same as 3670</t>
        </is>
      </c>
      <c r="AR115" t="inlineStr"/>
      <c r="AS115" t="inlineStr">
        <is>
          <t>Ο</t>
        </is>
      </c>
      <c r="AT115" t="inlineStr">
        <is>
          <t>Ø</t>
        </is>
      </c>
      <c r="AU115" t="n">
        <v>8767</v>
      </c>
      <c r="AV115" t="n">
        <v>1</v>
      </c>
      <c r="AW115" t="inlineStr"/>
      <c r="AX115" t="inlineStr"/>
      <c r="AY115" s="2" t="n">
        <v>45539</v>
      </c>
      <c r="AZ115" t="n">
        <v>10.63</v>
      </c>
      <c r="BA115" t="n">
        <v>7.7</v>
      </c>
      <c r="BB115" t="inlineStr"/>
      <c r="BC115" t="inlineStr"/>
      <c r="BD115" t="inlineStr">
        <is>
          <t>C</t>
        </is>
      </c>
      <c r="BE115" t="inlineStr"/>
      <c r="BF115" t="inlineStr"/>
      <c r="BG115" t="inlineStr"/>
      <c r="BH115" t="inlineStr">
        <is>
          <t>Con dendrometro</t>
        </is>
      </c>
      <c r="BI115" t="inlineStr"/>
      <c r="BJ115" t="n">
        <v>0.6</v>
      </c>
      <c r="BK115" t="n">
        <v>3</v>
      </c>
      <c r="BL115" t="n">
        <v>0.78</v>
      </c>
      <c r="BM115" t="n">
        <v>0.4</v>
      </c>
    </row>
    <row r="116">
      <c r="A116" s="1" t="n">
        <v>114</v>
      </c>
      <c r="B116" t="n">
        <v>375.4588570968473</v>
      </c>
      <c r="C116" t="n">
        <v>0.9826450760209566</v>
      </c>
      <c r="D116" t="n">
        <v>23</v>
      </c>
      <c r="E116" t="inlineStr"/>
      <c r="F116" t="inlineStr">
        <is>
          <t>p23-566</t>
        </is>
      </c>
      <c r="G116" t="inlineStr">
        <is>
          <t>566</t>
        </is>
      </c>
      <c r="H116" t="inlineStr">
        <is>
          <t>leaf pulverized</t>
        </is>
      </c>
      <c r="I116" t="inlineStr"/>
      <c r="J116" t="n">
        <v>2006</v>
      </c>
      <c r="K116" t="n">
        <v>0.4499</v>
      </c>
      <c r="L116" t="inlineStr"/>
      <c r="M116" t="inlineStr"/>
      <c r="N116" t="inlineStr"/>
      <c r="O116" t="inlineStr"/>
      <c r="P116" t="n">
        <v>4.144464314470425</v>
      </c>
      <c r="Q116" t="inlineStr"/>
      <c r="R116" t="inlineStr"/>
      <c r="S116" t="n">
        <v>566</v>
      </c>
      <c r="T116" t="inlineStr"/>
      <c r="U116" t="n">
        <v>-32.8</v>
      </c>
      <c r="V116" t="inlineStr"/>
      <c r="W116" t="n">
        <v>25.35153019023986</v>
      </c>
      <c r="X116" t="inlineStr">
        <is>
          <t>Galeras</t>
        </is>
      </c>
      <c r="Y116" t="n">
        <v>1000</v>
      </c>
      <c r="Z116" t="n">
        <v>23</v>
      </c>
      <c r="AA116" t="inlineStr">
        <is>
          <t>Galeras</t>
        </is>
      </c>
      <c r="AB116" t="inlineStr">
        <is>
          <t>GAL_23</t>
        </is>
      </c>
      <c r="AC116" t="n">
        <v>566</v>
      </c>
      <c r="AD116" t="n">
        <v>1</v>
      </c>
      <c r="AE116" t="inlineStr"/>
      <c r="AF116" t="inlineStr"/>
      <c r="AG116" t="inlineStr"/>
      <c r="AH116" t="inlineStr">
        <is>
          <t>Rubiaceae</t>
        </is>
      </c>
      <c r="AI116" t="inlineStr">
        <is>
          <t>Posoqueria</t>
        </is>
      </c>
      <c r="AJ116" t="inlineStr">
        <is>
          <t>latifolia</t>
        </is>
      </c>
      <c r="AK116" s="2" t="n">
        <v>38653</v>
      </c>
      <c r="AL116" t="n">
        <v>14.32394487827058</v>
      </c>
      <c r="AM116" t="inlineStr"/>
      <c r="AN116" t="inlineStr"/>
      <c r="AO116" t="inlineStr"/>
      <c r="AP116" t="inlineStr"/>
      <c r="AQ116" t="inlineStr">
        <is>
          <t>2016</t>
        </is>
      </c>
      <c r="AR116" t="n">
        <v>1</v>
      </c>
      <c r="AS116" t="inlineStr"/>
      <c r="AT116" t="inlineStr"/>
      <c r="AU116" t="n">
        <v>8631</v>
      </c>
      <c r="AV116" t="n">
        <v>1</v>
      </c>
      <c r="AW116" t="inlineStr"/>
      <c r="AX116" t="inlineStr"/>
      <c r="AY116" s="2" t="n">
        <v>45541</v>
      </c>
      <c r="AZ116" t="n">
        <v>14.41</v>
      </c>
      <c r="BA116" t="n">
        <v>15</v>
      </c>
      <c r="BB116" t="inlineStr"/>
      <c r="BC116" t="inlineStr"/>
      <c r="BD116" t="inlineStr">
        <is>
          <t>D</t>
        </is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</row>
    <row r="117">
      <c r="A117" s="1" t="n">
        <v>115</v>
      </c>
      <c r="B117" t="n">
        <v>332.9065291074851</v>
      </c>
      <c r="C117" t="n">
        <v>0.8712777856198411</v>
      </c>
      <c r="D117" t="n">
        <v>23</v>
      </c>
      <c r="E117" t="inlineStr"/>
      <c r="F117" t="inlineStr">
        <is>
          <t>p23-578</t>
        </is>
      </c>
      <c r="G117" t="inlineStr">
        <is>
          <t>578</t>
        </is>
      </c>
      <c r="H117" t="inlineStr">
        <is>
          <t>leaf pulverized</t>
        </is>
      </c>
      <c r="I117" t="inlineStr"/>
      <c r="J117" t="n">
        <v>2006</v>
      </c>
      <c r="K117" t="n">
        <v>0.3496</v>
      </c>
      <c r="L117" t="inlineStr"/>
      <c r="M117" t="inlineStr"/>
      <c r="N117" t="inlineStr"/>
      <c r="O117" t="inlineStr"/>
      <c r="P117" t="n">
        <v>30.73966930782181</v>
      </c>
      <c r="Q117" t="inlineStr"/>
      <c r="R117" t="inlineStr"/>
      <c r="S117" t="n">
        <v>578</v>
      </c>
      <c r="T117" t="inlineStr"/>
      <c r="U117" t="n">
        <v>-30.42</v>
      </c>
      <c r="V117" t="inlineStr"/>
      <c r="W117" t="n">
        <v>22.83462942717465</v>
      </c>
      <c r="X117" t="inlineStr">
        <is>
          <t>Galeras</t>
        </is>
      </c>
      <c r="Y117" t="n">
        <v>1000</v>
      </c>
      <c r="Z117" t="n">
        <v>23</v>
      </c>
      <c r="AA117" t="inlineStr">
        <is>
          <t>Galeras</t>
        </is>
      </c>
      <c r="AB117" t="inlineStr">
        <is>
          <t>GAL_23</t>
        </is>
      </c>
      <c r="AC117" t="n">
        <v>578</v>
      </c>
      <c r="AD117" t="n">
        <v>1</v>
      </c>
      <c r="AE117" t="inlineStr"/>
      <c r="AF117" t="inlineStr"/>
      <c r="AG117" t="inlineStr"/>
      <c r="AH117" t="inlineStr">
        <is>
          <t>Fabaceae</t>
        </is>
      </c>
      <c r="AI117" t="inlineStr">
        <is>
          <t>Inga</t>
        </is>
      </c>
      <c r="AJ117" t="inlineStr">
        <is>
          <t>leiocalycina</t>
        </is>
      </c>
      <c r="AK117" s="2" t="n">
        <v>38653</v>
      </c>
      <c r="AL117" t="n">
        <v>12.09577567498405</v>
      </c>
      <c r="AM117" t="inlineStr"/>
      <c r="AN117" t="inlineStr"/>
      <c r="AO117" t="inlineStr"/>
      <c r="AP117" t="inlineStr"/>
      <c r="AQ117" t="inlineStr">
        <is>
          <t>2021</t>
        </is>
      </c>
      <c r="AR117" t="n">
        <v>1</v>
      </c>
      <c r="AS117" t="inlineStr"/>
      <c r="AT117" t="inlineStr"/>
      <c r="AU117" t="inlineStr"/>
      <c r="AV117" t="inlineStr"/>
      <c r="AW117" t="inlineStr"/>
      <c r="AX117" t="inlineStr"/>
      <c r="AY117" s="2" t="n">
        <v>45541</v>
      </c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NE</t>
        </is>
      </c>
      <c r="BI117" t="inlineStr"/>
      <c r="BJ117" t="inlineStr"/>
      <c r="BK117" t="inlineStr"/>
      <c r="BL117" t="inlineStr"/>
      <c r="BM117" t="inlineStr"/>
    </row>
    <row r="118">
      <c r="A118" s="1" t="n">
        <v>116</v>
      </c>
      <c r="B118" t="n">
        <v>367.2181389791887</v>
      </c>
      <c r="C118" t="n">
        <v>0.9610775968467867</v>
      </c>
      <c r="D118" t="n">
        <v>29</v>
      </c>
      <c r="E118" t="inlineStr"/>
      <c r="F118" t="inlineStr">
        <is>
          <t>p29-792</t>
        </is>
      </c>
      <c r="G118" t="inlineStr">
        <is>
          <t>792</t>
        </is>
      </c>
      <c r="H118" t="inlineStr">
        <is>
          <t>leaf pulverized</t>
        </is>
      </c>
      <c r="I118" t="inlineStr"/>
      <c r="J118" t="n">
        <v>2006</v>
      </c>
      <c r="K118" t="n">
        <v>0.3766</v>
      </c>
      <c r="L118" t="inlineStr"/>
      <c r="M118" t="inlineStr"/>
      <c r="N118" t="inlineStr"/>
      <c r="O118" t="inlineStr"/>
      <c r="P118" t="n">
        <v>9.294913138007036</v>
      </c>
      <c r="Q118" t="inlineStr"/>
      <c r="R118" t="inlineStr"/>
      <c r="S118" t="n">
        <v>792</v>
      </c>
      <c r="T118" t="inlineStr"/>
      <c r="U118" t="n">
        <v>-32.34</v>
      </c>
      <c r="V118" t="inlineStr"/>
      <c r="W118" t="n">
        <v>24.86410516090363</v>
      </c>
      <c r="X118" t="inlineStr">
        <is>
          <t>Galeras</t>
        </is>
      </c>
      <c r="Y118" t="n">
        <v>1000</v>
      </c>
      <c r="Z118" t="n">
        <v>29</v>
      </c>
      <c r="AA118" t="inlineStr">
        <is>
          <t>Galeras</t>
        </is>
      </c>
      <c r="AB118" t="inlineStr">
        <is>
          <t>GAL_29</t>
        </is>
      </c>
      <c r="AC118" t="n">
        <v>792</v>
      </c>
      <c r="AD118" t="n">
        <v>1</v>
      </c>
      <c r="AE118" t="inlineStr"/>
      <c r="AF118" t="inlineStr"/>
      <c r="AG118" t="inlineStr"/>
      <c r="AH118" t="inlineStr">
        <is>
          <t>Chrysobalanaceae</t>
        </is>
      </c>
      <c r="AI118" t="inlineStr">
        <is>
          <t>Hirtella</t>
        </is>
      </c>
      <c r="AJ118" t="inlineStr">
        <is>
          <t>cf. schultesii</t>
        </is>
      </c>
      <c r="AK118" s="2" t="n">
        <v>38823</v>
      </c>
      <c r="AL118" t="n">
        <v>11.14084601643267</v>
      </c>
      <c r="AM118" t="inlineStr"/>
      <c r="AN118" t="inlineStr"/>
      <c r="AO118" t="inlineStr"/>
      <c r="AP118" t="inlineStr"/>
      <c r="AQ118" t="inlineStr">
        <is>
          <t>3796,2501</t>
        </is>
      </c>
      <c r="AR118" t="n">
        <v>1</v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</row>
    <row r="119">
      <c r="A119" s="1" t="n">
        <v>117</v>
      </c>
      <c r="B119" t="n">
        <v>369.0089328909468</v>
      </c>
      <c r="C119" t="n">
        <v>0.9657644347953279</v>
      </c>
      <c r="D119" t="n">
        <v>23</v>
      </c>
      <c r="E119" t="inlineStr"/>
      <c r="F119" t="inlineStr">
        <is>
          <t>p23-565</t>
        </is>
      </c>
      <c r="G119" t="inlineStr">
        <is>
          <t>565</t>
        </is>
      </c>
      <c r="H119" t="inlineStr">
        <is>
          <t>leaf pulverized</t>
        </is>
      </c>
      <c r="I119" t="inlineStr"/>
      <c r="J119" t="n">
        <v>2006</v>
      </c>
      <c r="K119" t="n">
        <v>0.4368</v>
      </c>
      <c r="L119" t="inlineStr"/>
      <c r="M119" t="inlineStr"/>
      <c r="N119" t="inlineStr"/>
      <c r="O119" t="inlineStr"/>
      <c r="P119" t="n">
        <v>8.175666943158221</v>
      </c>
      <c r="Q119" t="inlineStr"/>
      <c r="R119" t="inlineStr"/>
      <c r="S119" t="n">
        <v>565</v>
      </c>
      <c r="T119" t="inlineStr"/>
      <c r="U119" t="n">
        <v>-32.44</v>
      </c>
      <c r="V119" t="inlineStr"/>
      <c r="W119" t="n">
        <v>24.97002769854065</v>
      </c>
      <c r="X119" t="inlineStr">
        <is>
          <t>Galeras</t>
        </is>
      </c>
      <c r="Y119" t="n">
        <v>1000</v>
      </c>
      <c r="Z119" t="n">
        <v>23</v>
      </c>
      <c r="AA119" t="inlineStr">
        <is>
          <t>Galeras</t>
        </is>
      </c>
      <c r="AB119" t="inlineStr">
        <is>
          <t>GAL_23</t>
        </is>
      </c>
      <c r="AC119" t="n">
        <v>565</v>
      </c>
      <c r="AD119" t="n">
        <v>1</v>
      </c>
      <c r="AE119" t="inlineStr"/>
      <c r="AF119" t="inlineStr"/>
      <c r="AG119" t="inlineStr"/>
      <c r="AH119" t="inlineStr">
        <is>
          <t>Meliaceae</t>
        </is>
      </c>
      <c r="AI119" t="inlineStr">
        <is>
          <t>Guarea</t>
        </is>
      </c>
      <c r="AJ119" t="inlineStr">
        <is>
          <t>pterorhachis</t>
        </is>
      </c>
      <c r="AK119" s="2" t="n">
        <v>38653</v>
      </c>
      <c r="AL119" t="n">
        <v>10.50422624406509</v>
      </c>
      <c r="AM119" t="inlineStr"/>
      <c r="AN119" t="inlineStr"/>
      <c r="AO119" t="inlineStr"/>
      <c r="AP119" t="inlineStr"/>
      <c r="AQ119" t="inlineStr"/>
      <c r="AR119" t="n">
        <v>1</v>
      </c>
      <c r="AS119" t="inlineStr"/>
      <c r="AT119" t="inlineStr"/>
      <c r="AU119" t="n">
        <v>8972</v>
      </c>
      <c r="AV119" t="n">
        <v>1</v>
      </c>
      <c r="AW119" t="inlineStr"/>
      <c r="AX119" t="inlineStr"/>
      <c r="AY119" s="2" t="n">
        <v>45541</v>
      </c>
      <c r="AZ119" t="n">
        <v>12.15</v>
      </c>
      <c r="BA119" t="n">
        <v>10.6</v>
      </c>
      <c r="BB119" t="inlineStr"/>
      <c r="BC119" t="inlineStr"/>
      <c r="BD119" t="inlineStr">
        <is>
          <t>A</t>
        </is>
      </c>
      <c r="BE119" t="inlineStr"/>
      <c r="BF119" t="inlineStr"/>
      <c r="BG119" t="inlineStr"/>
      <c r="BH119" t="inlineStr">
        <is>
          <t>Sin placa</t>
        </is>
      </c>
      <c r="BI119" t="inlineStr"/>
      <c r="BJ119" t="inlineStr"/>
      <c r="BK119" t="inlineStr"/>
      <c r="BL119" t="inlineStr"/>
      <c r="BM119" t="inlineStr"/>
    </row>
    <row r="120">
      <c r="A120" s="1" t="n">
        <v>118</v>
      </c>
      <c r="B120" t="n">
        <v>327.2011346667433</v>
      </c>
      <c r="C120" t="n">
        <v>0.8563457161054813</v>
      </c>
      <c r="D120" t="n">
        <v>23</v>
      </c>
      <c r="E120" t="inlineStr"/>
      <c r="F120" t="inlineStr">
        <is>
          <t>p23-560</t>
        </is>
      </c>
      <c r="G120" t="inlineStr">
        <is>
          <t>560</t>
        </is>
      </c>
      <c r="H120" t="inlineStr">
        <is>
          <t>leaf pulverized</t>
        </is>
      </c>
      <c r="I120" t="inlineStr"/>
      <c r="J120" t="n">
        <v>2006</v>
      </c>
      <c r="K120" t="n">
        <v>0.3961</v>
      </c>
      <c r="L120" t="inlineStr"/>
      <c r="M120" t="inlineStr"/>
      <c r="N120" t="inlineStr"/>
      <c r="O120" t="inlineStr"/>
      <c r="P120" t="n">
        <v>34.30554083328541</v>
      </c>
      <c r="Q120" t="inlineStr"/>
      <c r="R120" t="inlineStr"/>
      <c r="S120" t="n">
        <v>560</v>
      </c>
      <c r="T120" t="inlineStr"/>
      <c r="U120" t="n">
        <v>-30.1</v>
      </c>
      <c r="V120" t="inlineStr"/>
      <c r="W120" t="n">
        <v>22.49716465615012</v>
      </c>
      <c r="X120" t="inlineStr">
        <is>
          <t>Galeras</t>
        </is>
      </c>
      <c r="Y120" t="n">
        <v>1000</v>
      </c>
      <c r="Z120" t="n">
        <v>23</v>
      </c>
      <c r="AA120" t="inlineStr">
        <is>
          <t>Galeras</t>
        </is>
      </c>
      <c r="AB120" t="inlineStr">
        <is>
          <t>GAL_23</t>
        </is>
      </c>
      <c r="AC120" t="n">
        <v>560</v>
      </c>
      <c r="AD120" t="n">
        <v>1</v>
      </c>
      <c r="AE120" t="inlineStr"/>
      <c r="AF120" t="inlineStr"/>
      <c r="AG120" t="inlineStr"/>
      <c r="AH120" t="inlineStr">
        <is>
          <t>Sapotaceae</t>
        </is>
      </c>
      <c r="AI120" t="inlineStr">
        <is>
          <t>Lucuma</t>
        </is>
      </c>
      <c r="AJ120" t="inlineStr">
        <is>
          <t>multiflora</t>
        </is>
      </c>
      <c r="AK120" s="2" t="n">
        <v>38653</v>
      </c>
      <c r="AL120" t="n">
        <v>13.36901521971921</v>
      </c>
      <c r="AM120" t="inlineStr"/>
      <c r="AN120" t="inlineStr"/>
      <c r="AO120" t="inlineStr"/>
      <c r="AP120" t="inlineStr"/>
      <c r="AQ120" t="inlineStr">
        <is>
          <t>3740</t>
        </is>
      </c>
      <c r="AR120" t="n">
        <v>1</v>
      </c>
      <c r="AS120" t="inlineStr">
        <is>
          <t>Ο</t>
        </is>
      </c>
      <c r="AT120" t="inlineStr">
        <is>
          <t>Ø</t>
        </is>
      </c>
      <c r="AU120" t="n">
        <v>8982</v>
      </c>
      <c r="AV120" t="n">
        <v>1</v>
      </c>
      <c r="AW120" t="inlineStr"/>
      <c r="AX120" t="inlineStr"/>
      <c r="AY120" s="2" t="n">
        <v>45541</v>
      </c>
      <c r="AZ120" t="n">
        <v>14</v>
      </c>
      <c r="BA120" t="n">
        <v>7.7</v>
      </c>
      <c r="BB120" t="inlineStr"/>
      <c r="BC120" t="inlineStr"/>
      <c r="BD120" t="inlineStr">
        <is>
          <t>B</t>
        </is>
      </c>
      <c r="BE120" t="inlineStr"/>
      <c r="BF120" t="inlineStr"/>
      <c r="BG120" t="inlineStr"/>
      <c r="BH120" t="inlineStr">
        <is>
          <t>Con placa vieja</t>
        </is>
      </c>
      <c r="BI120" t="inlineStr">
        <is>
          <t>Antes Pouteria m. Ahora Lucuma m.</t>
        </is>
      </c>
      <c r="BJ120" t="n">
        <v>0.4</v>
      </c>
      <c r="BK120" t="n">
        <v>4.75</v>
      </c>
      <c r="BL120" t="n">
        <v>1.29</v>
      </c>
      <c r="BM120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2026-07-02T16:09:42Z</dcterms:created>
  <dcterms:modified xmlns:dcterms="http://purl.org/dc/terms/" xmlns:xsi="http://www.w3.org/2001/XMLSchema-instance" xsi:type="dcterms:W3CDTF">2026-07-02T16:09:42Z</dcterms:modified>
</cp:coreProperties>
</file>
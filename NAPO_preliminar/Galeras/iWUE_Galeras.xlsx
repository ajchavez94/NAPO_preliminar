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Plot</t>
        </is>
      </c>
      <c r="C1" s="1" t="inlineStr">
        <is>
          <t>family</t>
        </is>
      </c>
      <c r="D1" s="1" t="inlineStr">
        <is>
          <t>genus</t>
        </is>
      </c>
      <c r="E1" s="1" t="inlineStr">
        <is>
          <t>species</t>
        </is>
      </c>
      <c r="F1" s="1" t="inlineStr">
        <is>
          <t>PlotID</t>
        </is>
      </c>
      <c r="G1" s="1" t="inlineStr">
        <is>
          <t>old_treeID</t>
        </is>
      </c>
      <c r="H1" s="1" t="inlineStr">
        <is>
          <t>new_TreeID</t>
        </is>
      </c>
      <c r="I1" s="1" t="inlineStr">
        <is>
          <t>[C]%</t>
        </is>
      </c>
      <c r="J1" s="1" t="inlineStr">
        <is>
          <t>δ13C (‰ v.s.V-PDB)</t>
        </is>
      </c>
      <c r="K1" s="1" t="inlineStr">
        <is>
          <t>Sample-ID</t>
        </is>
      </c>
      <c r="L1" s="1" t="inlineStr">
        <is>
          <t>Year</t>
        </is>
      </c>
      <c r="M1" s="1" t="inlineStr">
        <is>
          <t>[N]</t>
        </is>
      </c>
      <c r="N1" s="1" t="inlineStr">
        <is>
          <t>[C_b]%</t>
        </is>
      </c>
      <c r="O1" s="1" t="inlineStr">
        <is>
          <t>δ15N (‰ v.s. V-PDB)</t>
        </is>
      </c>
      <c r="P1" s="1" t="inlineStr">
        <is>
          <t>bulk_δ13C (‰ v.s.V-PDB)</t>
        </is>
      </c>
      <c r="Q1" s="1" t="inlineStr">
        <is>
          <t>JH herbarium collections</t>
        </is>
      </c>
      <c r="R1" s="1" t="inlineStr">
        <is>
          <t>Type</t>
        </is>
      </c>
      <c r="S1" s="1" t="inlineStr">
        <is>
          <t>Site</t>
        </is>
      </c>
      <c r="T1" s="1" t="inlineStr">
        <is>
          <t>Elevation</t>
        </is>
      </c>
    </row>
    <row r="2">
      <c r="A2" s="1" t="n">
        <v>106</v>
      </c>
      <c r="B2" t="n">
        <v>20</v>
      </c>
      <c r="C2" t="inlineStr">
        <is>
          <t>Myristicaceae</t>
        </is>
      </c>
      <c r="D2" t="inlineStr">
        <is>
          <t>Compsoneura</t>
        </is>
      </c>
      <c r="E2" t="inlineStr">
        <is>
          <t>capitellata</t>
        </is>
      </c>
      <c r="F2" t="inlineStr">
        <is>
          <t>GAL_20</t>
        </is>
      </c>
      <c r="G2" t="n">
        <v>498</v>
      </c>
      <c r="H2" t="inlineStr"/>
      <c r="I2" t="n">
        <v>0.4684</v>
      </c>
      <c r="J2" t="n">
        <v>-25.81</v>
      </c>
      <c r="K2" t="inlineStr">
        <is>
          <t>jh-p20-3715</t>
        </is>
      </c>
      <c r="L2" t="n">
        <v>2006</v>
      </c>
      <c r="M2" t="inlineStr"/>
      <c r="N2" t="inlineStr"/>
      <c r="O2" t="inlineStr"/>
      <c r="P2" t="inlineStr"/>
      <c r="Q2" t="n">
        <v>3715</v>
      </c>
      <c r="R2" t="inlineStr">
        <is>
          <t>leaf herbarium</t>
        </is>
      </c>
      <c r="S2" t="inlineStr">
        <is>
          <t>Galeras</t>
        </is>
      </c>
      <c r="T2" t="n">
        <v>1000</v>
      </c>
    </row>
    <row r="3">
      <c r="A3" s="1" t="n">
        <v>28</v>
      </c>
      <c r="B3" t="n">
        <v>22</v>
      </c>
      <c r="C3" t="inlineStr">
        <is>
          <t>Myristicaceae</t>
        </is>
      </c>
      <c r="D3" t="inlineStr">
        <is>
          <t>Compsoneura</t>
        </is>
      </c>
      <c r="E3" t="inlineStr">
        <is>
          <t>capitellata</t>
        </is>
      </c>
      <c r="F3" t="inlineStr">
        <is>
          <t>GAL_22</t>
        </is>
      </c>
      <c r="G3" t="n">
        <v>521</v>
      </c>
      <c r="H3" t="n">
        <v>8945</v>
      </c>
      <c r="I3" t="n">
        <v>42.3964946066613</v>
      </c>
      <c r="J3" t="n">
        <v>-27.4993837776844</v>
      </c>
      <c r="K3" t="inlineStr">
        <is>
          <t>p22-8945</t>
        </is>
      </c>
      <c r="L3" t="n">
        <v>2025</v>
      </c>
      <c r="M3" t="n">
        <v>0.013777052</v>
      </c>
      <c r="N3" t="n">
        <v>0.455753591</v>
      </c>
      <c r="O3" t="n">
        <v>0.5344116161616138</v>
      </c>
      <c r="P3" t="n">
        <v>-29.99337900318134</v>
      </c>
      <c r="Q3" t="n">
        <v>3715</v>
      </c>
      <c r="R3" t="inlineStr">
        <is>
          <t>leaf pulverized</t>
        </is>
      </c>
      <c r="S3" t="inlineStr">
        <is>
          <t>Galeras</t>
        </is>
      </c>
      <c r="T3" t="n">
        <v>1000</v>
      </c>
    </row>
    <row r="4">
      <c r="A4" s="1" t="n">
        <v>20</v>
      </c>
      <c r="B4" t="n">
        <v>22</v>
      </c>
      <c r="C4" t="inlineStr">
        <is>
          <t>Simaroubaceae</t>
        </is>
      </c>
      <c r="D4" t="inlineStr"/>
      <c r="E4" t="inlineStr"/>
      <c r="F4" t="inlineStr">
        <is>
          <t>GAL_22</t>
        </is>
      </c>
      <c r="G4" t="n">
        <v>525</v>
      </c>
      <c r="H4" t="n">
        <v>8948</v>
      </c>
      <c r="I4" t="n">
        <v>43.5026863007063</v>
      </c>
      <c r="J4" t="n">
        <v>-28.6154153781686</v>
      </c>
      <c r="K4" t="inlineStr">
        <is>
          <t>p22-525</t>
        </is>
      </c>
      <c r="L4" t="n">
        <v>2006</v>
      </c>
      <c r="M4" t="n">
        <v>0.01493137378613984</v>
      </c>
      <c r="N4" t="n">
        <v>0.4497232382273588</v>
      </c>
      <c r="O4" t="n">
        <v>2.14</v>
      </c>
      <c r="P4" t="n">
        <v>-30.33</v>
      </c>
      <c r="Q4" t="inlineStr"/>
      <c r="R4" t="inlineStr">
        <is>
          <t>leaf pulverized</t>
        </is>
      </c>
      <c r="S4" t="inlineStr">
        <is>
          <t>Galeras</t>
        </is>
      </c>
      <c r="T4" t="n">
        <v>1000</v>
      </c>
    </row>
    <row r="5">
      <c r="A5" s="1" t="n">
        <v>36</v>
      </c>
      <c r="B5" t="n">
        <v>22</v>
      </c>
      <c r="C5" t="inlineStr">
        <is>
          <t>Myristicaceae</t>
        </is>
      </c>
      <c r="D5" t="inlineStr">
        <is>
          <t>Virola</t>
        </is>
      </c>
      <c r="E5" t="inlineStr">
        <is>
          <t>calophylla</t>
        </is>
      </c>
      <c r="F5" t="inlineStr">
        <is>
          <t>GAL_22</t>
        </is>
      </c>
      <c r="G5" t="n">
        <v>535</v>
      </c>
      <c r="H5" t="n">
        <v>8955</v>
      </c>
      <c r="I5" t="n">
        <v>45.804659120635</v>
      </c>
      <c r="J5" t="n">
        <v>-30.1744819622071</v>
      </c>
      <c r="K5" t="inlineStr">
        <is>
          <t>p22-535</t>
        </is>
      </c>
      <c r="L5" t="n">
        <v>2006</v>
      </c>
      <c r="M5" t="n">
        <v>0.02359741981000591</v>
      </c>
      <c r="N5" t="n">
        <v>0.473618494870587</v>
      </c>
      <c r="O5" t="n">
        <v>2.76</v>
      </c>
      <c r="P5" t="n">
        <v>-31.05</v>
      </c>
      <c r="Q5" t="n">
        <v>2045</v>
      </c>
      <c r="R5" t="inlineStr">
        <is>
          <t>leaf pulverized</t>
        </is>
      </c>
      <c r="S5" t="inlineStr">
        <is>
          <t>Galeras</t>
        </is>
      </c>
      <c r="T5" t="n">
        <v>1000</v>
      </c>
    </row>
    <row r="6">
      <c r="A6" s="1" t="n">
        <v>88</v>
      </c>
      <c r="B6" t="n">
        <v>22</v>
      </c>
      <c r="C6" t="inlineStr">
        <is>
          <t>Myristicaceae</t>
        </is>
      </c>
      <c r="D6" t="inlineStr">
        <is>
          <t>Virola</t>
        </is>
      </c>
      <c r="E6" t="inlineStr">
        <is>
          <t>calophylla</t>
        </is>
      </c>
      <c r="F6" t="inlineStr">
        <is>
          <t>GAL_22</t>
        </is>
      </c>
      <c r="G6" t="n">
        <v>535</v>
      </c>
      <c r="H6" t="n">
        <v>8955</v>
      </c>
      <c r="I6" t="n">
        <v>0.4419</v>
      </c>
      <c r="J6" t="n">
        <v>-31.87</v>
      </c>
      <c r="K6" t="inlineStr">
        <is>
          <t>jh-p22-2045</t>
        </is>
      </c>
      <c r="L6" t="n">
        <v>2006</v>
      </c>
      <c r="M6" t="inlineStr"/>
      <c r="N6" t="inlineStr"/>
      <c r="O6" t="inlineStr"/>
      <c r="P6" t="inlineStr"/>
      <c r="Q6" t="n">
        <v>2045</v>
      </c>
      <c r="R6" t="inlineStr">
        <is>
          <t>leaf herbarium</t>
        </is>
      </c>
      <c r="S6" t="inlineStr">
        <is>
          <t>Galeras</t>
        </is>
      </c>
      <c r="T6" t="n">
        <v>1000</v>
      </c>
    </row>
    <row r="7">
      <c r="A7" s="1" t="n">
        <v>27</v>
      </c>
      <c r="B7" t="n">
        <v>22</v>
      </c>
      <c r="C7" t="inlineStr">
        <is>
          <t>Myristicaceae</t>
        </is>
      </c>
      <c r="D7" t="inlineStr">
        <is>
          <t>Virola</t>
        </is>
      </c>
      <c r="E7" t="inlineStr">
        <is>
          <t>calophylla</t>
        </is>
      </c>
      <c r="F7" t="inlineStr">
        <is>
          <t>GAL_22</t>
        </is>
      </c>
      <c r="G7" t="n">
        <v>535</v>
      </c>
      <c r="H7" t="n">
        <v>8955</v>
      </c>
      <c r="I7" t="n">
        <v>45.6439322011342</v>
      </c>
      <c r="J7" t="n">
        <v>-33.0767664672718</v>
      </c>
      <c r="K7" t="inlineStr">
        <is>
          <t>p22-8955</t>
        </is>
      </c>
      <c r="L7" t="n">
        <v>2025</v>
      </c>
      <c r="M7" t="n">
        <v>0.01759832</v>
      </c>
      <c r="N7" t="n">
        <v>0.464610416</v>
      </c>
      <c r="O7" t="n">
        <v>2.348896464646463</v>
      </c>
      <c r="P7" t="n">
        <v>-34.29374125132556</v>
      </c>
      <c r="Q7" t="n">
        <v>2045</v>
      </c>
      <c r="R7" t="inlineStr">
        <is>
          <t>leaf pulverized</t>
        </is>
      </c>
      <c r="S7" t="inlineStr">
        <is>
          <t>Galeras</t>
        </is>
      </c>
      <c r="T7" t="n">
        <v>1000</v>
      </c>
    </row>
    <row r="8">
      <c r="A8" s="1" t="n">
        <v>31</v>
      </c>
      <c r="B8" t="n">
        <v>22</v>
      </c>
      <c r="C8" t="inlineStr">
        <is>
          <t>Lauraceae</t>
        </is>
      </c>
      <c r="D8" t="inlineStr">
        <is>
          <t>Ocotea</t>
        </is>
      </c>
      <c r="E8" t="inlineStr">
        <is>
          <t>oblonga</t>
        </is>
      </c>
      <c r="F8" t="inlineStr">
        <is>
          <t>GAL_22</t>
        </is>
      </c>
      <c r="G8" t="n">
        <v>537</v>
      </c>
      <c r="H8" t="n">
        <v>8957</v>
      </c>
      <c r="I8" t="n">
        <v>43.4767657286995</v>
      </c>
      <c r="J8" t="n">
        <v>-28.6321393767579</v>
      </c>
      <c r="K8" t="inlineStr">
        <is>
          <t>p22-537</t>
        </is>
      </c>
      <c r="L8" t="n">
        <v>2006</v>
      </c>
      <c r="M8" t="n">
        <v>0.02364852931434891</v>
      </c>
      <c r="N8" t="n">
        <v>0.4877399996473799</v>
      </c>
      <c r="O8" t="n">
        <v>-0.98</v>
      </c>
      <c r="P8" t="n">
        <v>-31.22</v>
      </c>
      <c r="Q8" t="n">
        <v>2047</v>
      </c>
      <c r="R8" t="inlineStr">
        <is>
          <t>leaf pulverized</t>
        </is>
      </c>
      <c r="S8" t="inlineStr">
        <is>
          <t>Galeras</t>
        </is>
      </c>
      <c r="T8" t="n">
        <v>1000</v>
      </c>
    </row>
    <row r="9">
      <c r="A9" s="1" t="n">
        <v>26</v>
      </c>
      <c r="B9" t="n">
        <v>22</v>
      </c>
      <c r="C9" t="inlineStr">
        <is>
          <t>Lauraceae</t>
        </is>
      </c>
      <c r="D9" t="inlineStr">
        <is>
          <t>Ocotea</t>
        </is>
      </c>
      <c r="E9" t="inlineStr">
        <is>
          <t>oblonga</t>
        </is>
      </c>
      <c r="F9" t="inlineStr">
        <is>
          <t>GAL_22</t>
        </is>
      </c>
      <c r="G9" t="n">
        <v>537</v>
      </c>
      <c r="H9" t="n">
        <v>8957</v>
      </c>
      <c r="I9" t="n">
        <v>40.6982427243902</v>
      </c>
      <c r="J9" t="n">
        <v>-30.5903662612624</v>
      </c>
      <c r="K9" t="inlineStr">
        <is>
          <t>p22-8957</t>
        </is>
      </c>
      <c r="L9" t="n">
        <v>2025</v>
      </c>
      <c r="M9" t="n">
        <v>0.020112342</v>
      </c>
      <c r="N9" t="n">
        <v>0.479522005</v>
      </c>
      <c r="O9" t="n">
        <v>-2.241318181818185</v>
      </c>
      <c r="P9" t="n">
        <v>-33.55123266171793</v>
      </c>
      <c r="Q9" t="n">
        <v>2047</v>
      </c>
      <c r="R9" t="inlineStr">
        <is>
          <t>leaf pulverized</t>
        </is>
      </c>
      <c r="S9" t="inlineStr">
        <is>
          <t>Galeras</t>
        </is>
      </c>
      <c r="T9" t="n">
        <v>1000</v>
      </c>
    </row>
    <row r="10">
      <c r="A10" s="1" t="n">
        <v>23</v>
      </c>
      <c r="B10" t="n">
        <v>22</v>
      </c>
      <c r="C10" t="inlineStr">
        <is>
          <t>Fabaceae</t>
        </is>
      </c>
      <c r="D10" t="inlineStr">
        <is>
          <t>Inga</t>
        </is>
      </c>
      <c r="E10" t="inlineStr">
        <is>
          <t>laevigata</t>
        </is>
      </c>
      <c r="F10" t="inlineStr">
        <is>
          <t>GAL_22</t>
        </is>
      </c>
      <c r="G10" t="n">
        <v>531</v>
      </c>
      <c r="H10" t="n">
        <v>8961</v>
      </c>
      <c r="I10" t="n">
        <v>42.9734858344922</v>
      </c>
      <c r="J10" t="n">
        <v>-30.0055722815965</v>
      </c>
      <c r="K10" t="inlineStr">
        <is>
          <t>p22-8961</t>
        </is>
      </c>
      <c r="L10" t="n">
        <v>2025</v>
      </c>
      <c r="M10" t="n">
        <v>0.027952579</v>
      </c>
      <c r="N10" t="n">
        <v>0.459607526</v>
      </c>
      <c r="O10" t="n">
        <v>1.484856060606059</v>
      </c>
      <c r="P10" t="n">
        <v>-32.3137183457052</v>
      </c>
      <c r="Q10" t="n">
        <v>2062</v>
      </c>
      <c r="R10" t="inlineStr">
        <is>
          <t>leaf pulverized</t>
        </is>
      </c>
      <c r="S10" t="inlineStr">
        <is>
          <t>Galeras</t>
        </is>
      </c>
      <c r="T10" t="n">
        <v>1000</v>
      </c>
    </row>
    <row r="11">
      <c r="A11" s="1" t="n">
        <v>15</v>
      </c>
      <c r="B11" t="n">
        <v>22</v>
      </c>
      <c r="C11" t="inlineStr">
        <is>
          <t>Fabaceae</t>
        </is>
      </c>
      <c r="D11" t="inlineStr">
        <is>
          <t>Jupunba</t>
        </is>
      </c>
      <c r="E11" t="inlineStr">
        <is>
          <t>trapezifolia var. micradenia</t>
        </is>
      </c>
      <c r="F11" t="inlineStr">
        <is>
          <t>GAL_22</t>
        </is>
      </c>
      <c r="G11" t="n">
        <v>543</v>
      </c>
      <c r="H11" t="n">
        <v>8962</v>
      </c>
      <c r="I11" t="n">
        <v>43.4886846365052</v>
      </c>
      <c r="J11" t="n">
        <v>-30.8130786583592</v>
      </c>
      <c r="K11" t="inlineStr">
        <is>
          <t>p22-543</t>
        </is>
      </c>
      <c r="L11" t="n">
        <v>2006</v>
      </c>
      <c r="M11" t="n">
        <v>0.02829417692417514</v>
      </c>
      <c r="N11" t="n">
        <v>0.4581620563499377</v>
      </c>
      <c r="O11" t="n">
        <v>1.91</v>
      </c>
      <c r="P11" t="n">
        <v>-31.89</v>
      </c>
      <c r="Q11" t="n">
        <v>2037</v>
      </c>
      <c r="R11" t="inlineStr">
        <is>
          <t>leaf pulverized</t>
        </is>
      </c>
      <c r="S11" t="inlineStr">
        <is>
          <t>Galeras</t>
        </is>
      </c>
      <c r="T11" t="n">
        <v>1000</v>
      </c>
    </row>
    <row r="12">
      <c r="A12" s="1" t="n">
        <v>21</v>
      </c>
      <c r="B12" t="n">
        <v>22</v>
      </c>
      <c r="C12" t="inlineStr">
        <is>
          <t>Fabaceae</t>
        </is>
      </c>
      <c r="D12" t="inlineStr">
        <is>
          <t>Jupunba</t>
        </is>
      </c>
      <c r="E12" t="inlineStr">
        <is>
          <t>trapezifolia var. micradenia</t>
        </is>
      </c>
      <c r="F12" t="inlineStr">
        <is>
          <t>GAL_22</t>
        </is>
      </c>
      <c r="G12" t="n">
        <v>543</v>
      </c>
      <c r="H12" t="n">
        <v>8962</v>
      </c>
      <c r="I12" t="n">
        <v>41.2453944867987</v>
      </c>
      <c r="J12" t="n">
        <v>-31.6435901264917</v>
      </c>
      <c r="K12" t="inlineStr">
        <is>
          <t>p22-8962</t>
        </is>
      </c>
      <c r="L12" t="n">
        <v>2025</v>
      </c>
      <c r="M12" t="n">
        <v>0.029902414</v>
      </c>
      <c r="N12" t="n">
        <v>0.447937109</v>
      </c>
      <c r="O12" t="n">
        <v>0.05918939393939154</v>
      </c>
      <c r="P12" t="n">
        <v>-33.57185790031813</v>
      </c>
      <c r="Q12" t="n">
        <v>2037</v>
      </c>
      <c r="R12" t="inlineStr">
        <is>
          <t>leaf pulverized</t>
        </is>
      </c>
      <c r="S12" t="inlineStr">
        <is>
          <t>Galeras</t>
        </is>
      </c>
      <c r="T12" t="n">
        <v>1000</v>
      </c>
    </row>
    <row r="13">
      <c r="A13" s="1" t="n">
        <v>24</v>
      </c>
      <c r="B13" t="n">
        <v>22</v>
      </c>
      <c r="C13" t="inlineStr">
        <is>
          <t>Melastomataceae</t>
        </is>
      </c>
      <c r="D13" t="inlineStr"/>
      <c r="E13" t="inlineStr"/>
      <c r="F13" t="inlineStr">
        <is>
          <t>GAL_22</t>
        </is>
      </c>
      <c r="G13" t="inlineStr"/>
      <c r="H13" t="n">
        <v>8965</v>
      </c>
      <c r="I13" t="n">
        <v>44.2499966869261</v>
      </c>
      <c r="J13" t="n">
        <v>-31.980242911481</v>
      </c>
      <c r="K13" t="inlineStr">
        <is>
          <t>p22-8965</t>
        </is>
      </c>
      <c r="L13" t="n">
        <v>2025</v>
      </c>
      <c r="M13" t="n">
        <v>0.020303437</v>
      </c>
      <c r="N13" t="n">
        <v>0.357138371</v>
      </c>
      <c r="O13" t="n">
        <v>3.720560606060605</v>
      </c>
      <c r="P13" t="n">
        <v>-32.98403860021209</v>
      </c>
      <c r="Q13" t="inlineStr"/>
      <c r="R13" t="inlineStr">
        <is>
          <t>leaf pulverized</t>
        </is>
      </c>
      <c r="S13" t="inlineStr">
        <is>
          <t>Galeras</t>
        </is>
      </c>
      <c r="T13" t="n">
        <v>1000</v>
      </c>
    </row>
    <row r="14">
      <c r="A14" s="1" t="n">
        <v>22</v>
      </c>
      <c r="B14" t="n">
        <v>22</v>
      </c>
      <c r="C14" t="inlineStr">
        <is>
          <t>Myristicaceae</t>
        </is>
      </c>
      <c r="D14" t="inlineStr"/>
      <c r="E14" t="inlineStr"/>
      <c r="F14" t="inlineStr">
        <is>
          <t>GAL_22</t>
        </is>
      </c>
      <c r="G14" t="inlineStr"/>
      <c r="H14" t="n">
        <v>8966</v>
      </c>
      <c r="I14" t="n">
        <v>45.2066695761991</v>
      </c>
      <c r="J14" t="n">
        <v>-33.4635486186094</v>
      </c>
      <c r="K14" t="inlineStr">
        <is>
          <t>p22-8966</t>
        </is>
      </c>
      <c r="L14" t="n">
        <v>2025</v>
      </c>
      <c r="M14" t="n">
        <v>0.023312172</v>
      </c>
      <c r="N14" t="n">
        <v>0.473049903</v>
      </c>
      <c r="O14" t="n">
        <v>2.100484848484847</v>
      </c>
      <c r="P14" t="n">
        <v>-34.51030625662779</v>
      </c>
      <c r="Q14" t="inlineStr"/>
      <c r="R14" t="inlineStr">
        <is>
          <t>leaf pulverized</t>
        </is>
      </c>
      <c r="S14" t="inlineStr">
        <is>
          <t>Galeras</t>
        </is>
      </c>
      <c r="T14" t="n">
        <v>1000</v>
      </c>
    </row>
    <row r="15">
      <c r="A15" s="1" t="n">
        <v>75</v>
      </c>
      <c r="B15" t="n">
        <v>22</v>
      </c>
      <c r="C15" t="inlineStr">
        <is>
          <t>Myristicaceae</t>
        </is>
      </c>
      <c r="D15" t="inlineStr">
        <is>
          <t>Virola</t>
        </is>
      </c>
      <c r="E15" t="inlineStr">
        <is>
          <t>pavonis</t>
        </is>
      </c>
      <c r="F15" t="inlineStr">
        <is>
          <t>GAL_22</t>
        </is>
      </c>
      <c r="G15" t="n">
        <v>547</v>
      </c>
      <c r="H15" t="n">
        <v>8968</v>
      </c>
      <c r="I15" t="n">
        <v>0.4543</v>
      </c>
      <c r="J15" t="n">
        <v>-29.02</v>
      </c>
      <c r="K15" t="inlineStr">
        <is>
          <t>jh-p22-3782</t>
        </is>
      </c>
      <c r="L15" t="n">
        <v>2006</v>
      </c>
      <c r="M15" t="inlineStr"/>
      <c r="N15" t="inlineStr"/>
      <c r="O15" t="inlineStr"/>
      <c r="P15" t="inlineStr"/>
      <c r="Q15" t="n">
        <v>3782</v>
      </c>
      <c r="R15" t="inlineStr">
        <is>
          <t>leaf herbarium</t>
        </is>
      </c>
      <c r="S15" t="inlineStr">
        <is>
          <t>Galeras</t>
        </is>
      </c>
      <c r="T15" t="n">
        <v>1000</v>
      </c>
    </row>
    <row r="16">
      <c r="A16" s="1" t="n">
        <v>25</v>
      </c>
      <c r="B16" t="n">
        <v>22</v>
      </c>
      <c r="C16" t="inlineStr">
        <is>
          <t>Myristicaceae</t>
        </is>
      </c>
      <c r="D16" t="inlineStr">
        <is>
          <t>Virola</t>
        </is>
      </c>
      <c r="E16" t="inlineStr">
        <is>
          <t>pavonis</t>
        </is>
      </c>
      <c r="F16" t="inlineStr">
        <is>
          <t>GAL_22</t>
        </is>
      </c>
      <c r="G16" t="n">
        <v>547</v>
      </c>
      <c r="H16" t="n">
        <v>8968</v>
      </c>
      <c r="I16" t="n">
        <v>43.9651545875486</v>
      </c>
      <c r="J16" t="n">
        <v>-25.8864785486152</v>
      </c>
      <c r="K16" t="inlineStr">
        <is>
          <t>p22-8968</t>
        </is>
      </c>
      <c r="L16" t="n">
        <v>2025</v>
      </c>
      <c r="M16" t="n">
        <v>0.032576278</v>
      </c>
      <c r="N16" t="n">
        <v>0.471324392</v>
      </c>
      <c r="O16" t="n">
        <v>2.003280303030301</v>
      </c>
      <c r="P16" t="n">
        <v>-27.78647847295865</v>
      </c>
      <c r="Q16" t="n">
        <v>3782</v>
      </c>
      <c r="R16" t="inlineStr">
        <is>
          <t>leaf pulverized</t>
        </is>
      </c>
      <c r="S16" t="inlineStr">
        <is>
          <t>Galeras</t>
        </is>
      </c>
      <c r="T16" t="n">
        <v>1000</v>
      </c>
    </row>
    <row r="17">
      <c r="A17" s="1" t="n">
        <v>2</v>
      </c>
      <c r="B17" t="n">
        <v>22</v>
      </c>
      <c r="C17" t="inlineStr">
        <is>
          <t>Melastomataceae</t>
        </is>
      </c>
      <c r="D17" t="inlineStr"/>
      <c r="E17" t="inlineStr"/>
      <c r="F17" t="inlineStr">
        <is>
          <t>GAL_22</t>
        </is>
      </c>
      <c r="G17" t="n">
        <v>550</v>
      </c>
      <c r="H17" t="inlineStr"/>
      <c r="I17" t="n">
        <v>0.4741139913597374</v>
      </c>
      <c r="J17" t="n">
        <v>-29.7236591091723</v>
      </c>
      <c r="K17" t="inlineStr">
        <is>
          <t>p22-550</t>
        </is>
      </c>
      <c r="L17" t="n">
        <v>2006</v>
      </c>
      <c r="M17" t="n">
        <v>0.02523026048763594</v>
      </c>
      <c r="N17" t="n">
        <v>0.4650527989796192</v>
      </c>
      <c r="O17" t="n">
        <v>4.37</v>
      </c>
      <c r="P17" t="n">
        <v>-30.31</v>
      </c>
      <c r="Q17" t="inlineStr"/>
      <c r="R17" t="inlineStr">
        <is>
          <t>leaf pulverized</t>
        </is>
      </c>
      <c r="S17" t="inlineStr">
        <is>
          <t>Galeras</t>
        </is>
      </c>
      <c r="T17" t="n">
        <v>1000</v>
      </c>
    </row>
    <row r="18">
      <c r="A18" s="1" t="n">
        <v>3</v>
      </c>
      <c r="B18" t="n">
        <v>22</v>
      </c>
      <c r="C18" t="inlineStr">
        <is>
          <t>Melastomataceae</t>
        </is>
      </c>
      <c r="D18" t="inlineStr"/>
      <c r="E18" t="inlineStr"/>
      <c r="F18" t="inlineStr">
        <is>
          <t>GAL_22</t>
        </is>
      </c>
      <c r="G18" t="n">
        <v>550</v>
      </c>
      <c r="H18" t="inlineStr"/>
      <c r="I18" t="n">
        <v>47.2077120182068</v>
      </c>
      <c r="J18" t="n">
        <v>-29.7239225267736</v>
      </c>
      <c r="K18" t="inlineStr">
        <is>
          <t>p22-550</t>
        </is>
      </c>
      <c r="L18" t="n">
        <v>2006</v>
      </c>
      <c r="M18" t="n">
        <v>0.02523026048763594</v>
      </c>
      <c r="N18" t="n">
        <v>0.4650527989796192</v>
      </c>
      <c r="O18" t="n">
        <v>4.37</v>
      </c>
      <c r="P18" t="n">
        <v>-30.31</v>
      </c>
      <c r="Q18" t="inlineStr"/>
      <c r="R18" t="inlineStr">
        <is>
          <t>leaf pulverized</t>
        </is>
      </c>
      <c r="S18" t="inlineStr">
        <is>
          <t>Galeras</t>
        </is>
      </c>
      <c r="T18" t="n">
        <v>1000</v>
      </c>
    </row>
    <row r="19">
      <c r="A19" s="1" t="n">
        <v>16</v>
      </c>
      <c r="B19" t="n">
        <v>22</v>
      </c>
      <c r="C19" t="inlineStr">
        <is>
          <t>Sapindaceae</t>
        </is>
      </c>
      <c r="D19" t="inlineStr">
        <is>
          <t>Allophylus</t>
        </is>
      </c>
      <c r="E19" t="inlineStr">
        <is>
          <t>sp Galeras</t>
        </is>
      </c>
      <c r="F19" t="inlineStr">
        <is>
          <t>GAL_22</t>
        </is>
      </c>
      <c r="G19" t="n">
        <v>538</v>
      </c>
      <c r="H19" t="inlineStr"/>
      <c r="I19" t="n">
        <v>44.1716029263925</v>
      </c>
      <c r="J19" t="n">
        <v>-30.2827231573956</v>
      </c>
      <c r="K19" t="inlineStr">
        <is>
          <t>p22-538</t>
        </is>
      </c>
      <c r="L19" t="n">
        <v>2006</v>
      </c>
      <c r="M19" t="n">
        <v>0.02171498443086809</v>
      </c>
      <c r="N19" t="n">
        <v>0.4435332220175985</v>
      </c>
      <c r="O19" t="n">
        <v>1.37</v>
      </c>
      <c r="P19" t="n">
        <v>-32.59</v>
      </c>
      <c r="Q19" t="inlineStr"/>
      <c r="R19" t="inlineStr">
        <is>
          <t>leaf pulverized</t>
        </is>
      </c>
      <c r="S19" t="inlineStr">
        <is>
          <t>Galeras</t>
        </is>
      </c>
      <c r="T19" t="n">
        <v>1000</v>
      </c>
    </row>
    <row r="20">
      <c r="A20" s="1" t="n">
        <v>19</v>
      </c>
      <c r="B20" t="n">
        <v>22</v>
      </c>
      <c r="C20" t="inlineStr">
        <is>
          <t>Violaceae</t>
        </is>
      </c>
      <c r="D20" t="inlineStr">
        <is>
          <t>Gloeospermum</t>
        </is>
      </c>
      <c r="E20" t="inlineStr">
        <is>
          <t>equatoriense</t>
        </is>
      </c>
      <c r="F20" t="inlineStr">
        <is>
          <t>GAL_22</t>
        </is>
      </c>
      <c r="G20" t="n">
        <v>546</v>
      </c>
      <c r="H20" t="inlineStr"/>
      <c r="I20" t="n">
        <v>43.3392562736045</v>
      </c>
      <c r="J20" t="n">
        <v>-31.7256951940085</v>
      </c>
      <c r="K20" t="inlineStr">
        <is>
          <t>p22-546</t>
        </is>
      </c>
      <c r="L20" t="n">
        <v>2006</v>
      </c>
      <c r="M20" t="n">
        <v>0.02301483593866714</v>
      </c>
      <c r="N20" t="n">
        <v>0.4093267533659382</v>
      </c>
      <c r="O20" t="n">
        <v>2.58</v>
      </c>
      <c r="P20" t="n">
        <v>-31.98</v>
      </c>
      <c r="Q20" t="n">
        <v>2049</v>
      </c>
      <c r="R20" t="inlineStr">
        <is>
          <t>leaf pulverized</t>
        </is>
      </c>
      <c r="S20" t="inlineStr">
        <is>
          <t>Galeras</t>
        </is>
      </c>
      <c r="T20" t="n">
        <v>1000</v>
      </c>
    </row>
    <row r="21">
      <c r="A21" s="1" t="n">
        <v>23</v>
      </c>
      <c r="B21" t="n">
        <v>22</v>
      </c>
      <c r="C21" t="inlineStr">
        <is>
          <t>Meliaceae</t>
        </is>
      </c>
      <c r="D21" t="inlineStr">
        <is>
          <t>Guarea</t>
        </is>
      </c>
      <c r="E21" t="inlineStr">
        <is>
          <t>silvatica</t>
        </is>
      </c>
      <c r="F21" t="inlineStr">
        <is>
          <t>GAL_22</t>
        </is>
      </c>
      <c r="G21" t="n">
        <v>541</v>
      </c>
      <c r="H21" t="inlineStr"/>
      <c r="I21" t="n">
        <v>44.7628534294191</v>
      </c>
      <c r="J21" t="n">
        <v>-31.1345305708987</v>
      </c>
      <c r="K21" t="inlineStr">
        <is>
          <t>p22-541</t>
        </is>
      </c>
      <c r="L21" t="n">
        <v>2006</v>
      </c>
      <c r="M21" t="n">
        <v>0.02933085063780434</v>
      </c>
      <c r="N21" t="n">
        <v>0.4524764801394821</v>
      </c>
      <c r="O21" t="n">
        <v>2.99</v>
      </c>
      <c r="P21" t="n">
        <v>-32.34</v>
      </c>
      <c r="Q21" t="n">
        <v>2053</v>
      </c>
      <c r="R21" t="inlineStr">
        <is>
          <t>leaf pulverized</t>
        </is>
      </c>
      <c r="S21" t="inlineStr">
        <is>
          <t>Galeras</t>
        </is>
      </c>
      <c r="T21" t="n">
        <v>1000</v>
      </c>
    </row>
    <row r="22">
      <c r="A22" s="1" t="n">
        <v>26</v>
      </c>
      <c r="B22" t="n">
        <v>22</v>
      </c>
      <c r="C22" t="inlineStr">
        <is>
          <t>Myristicaceae</t>
        </is>
      </c>
      <c r="D22" t="inlineStr">
        <is>
          <t>Virola</t>
        </is>
      </c>
      <c r="E22" t="inlineStr">
        <is>
          <t>calophylla</t>
        </is>
      </c>
      <c r="F22" t="inlineStr">
        <is>
          <t>GAL_22</t>
        </is>
      </c>
      <c r="G22" t="n">
        <v>522</v>
      </c>
      <c r="H22" t="inlineStr"/>
      <c r="I22" t="n">
        <v>44.3087215329995</v>
      </c>
      <c r="J22" t="n">
        <v>-29.5363538839223</v>
      </c>
      <c r="K22" t="inlineStr">
        <is>
          <t>p22-522</t>
        </is>
      </c>
      <c r="L22" t="n">
        <v>2006</v>
      </c>
      <c r="M22" t="n">
        <v>0.02629721406005764</v>
      </c>
      <c r="N22" t="n">
        <v>0.41389200937081</v>
      </c>
      <c r="O22" t="n">
        <v>4.52</v>
      </c>
      <c r="P22" t="n">
        <v>-30.8</v>
      </c>
      <c r="Q22" t="inlineStr">
        <is>
          <t>David</t>
        </is>
      </c>
      <c r="R22" t="inlineStr">
        <is>
          <t>leaf pulverized</t>
        </is>
      </c>
      <c r="S22" t="inlineStr">
        <is>
          <t>Galeras</t>
        </is>
      </c>
      <c r="T22" t="n">
        <v>1000</v>
      </c>
    </row>
    <row r="23">
      <c r="A23" s="1" t="n">
        <v>32</v>
      </c>
      <c r="B23" t="n">
        <v>22</v>
      </c>
      <c r="C23" t="inlineStr">
        <is>
          <t>Sapotaceae</t>
        </is>
      </c>
      <c r="D23" t="inlineStr">
        <is>
          <t>Chrysophyllum</t>
        </is>
      </c>
      <c r="E23" t="inlineStr">
        <is>
          <t>venezuelanense</t>
        </is>
      </c>
      <c r="F23" t="inlineStr">
        <is>
          <t>GAL_22</t>
        </is>
      </c>
      <c r="G23" t="n">
        <v>548</v>
      </c>
      <c r="H23" t="inlineStr"/>
      <c r="I23" t="n">
        <v>47.9929624870333</v>
      </c>
      <c r="J23" t="n">
        <v>-30.2274375568906</v>
      </c>
      <c r="K23" t="inlineStr">
        <is>
          <t>p22-548</t>
        </is>
      </c>
      <c r="L23" t="n">
        <v>2006</v>
      </c>
      <c r="M23" t="n">
        <v>0.01382059850956835</v>
      </c>
      <c r="N23" t="n">
        <v>0.4546028314845653</v>
      </c>
      <c r="O23" t="n">
        <v>0.3</v>
      </c>
      <c r="P23" t="n">
        <v>-32.55</v>
      </c>
      <c r="Q23" t="inlineStr">
        <is>
          <t>same as 3745</t>
        </is>
      </c>
      <c r="R23" t="inlineStr">
        <is>
          <t>leaf pulverized</t>
        </is>
      </c>
      <c r="S23" t="inlineStr">
        <is>
          <t>Galeras</t>
        </is>
      </c>
      <c r="T23" t="n">
        <v>1000</v>
      </c>
    </row>
    <row r="24">
      <c r="A24" s="1" t="n">
        <v>44</v>
      </c>
      <c r="B24" t="n">
        <v>22</v>
      </c>
      <c r="C24" t="inlineStr">
        <is>
          <t>Meliaceae</t>
        </is>
      </c>
      <c r="D24" t="inlineStr">
        <is>
          <t>Guarea</t>
        </is>
      </c>
      <c r="E24" t="inlineStr">
        <is>
          <t>silvatica</t>
        </is>
      </c>
      <c r="F24" t="inlineStr">
        <is>
          <t>GAL_22</t>
        </is>
      </c>
      <c r="G24" t="n">
        <v>541</v>
      </c>
      <c r="H24" t="inlineStr"/>
      <c r="I24" t="n">
        <v>42.7164489294743</v>
      </c>
      <c r="J24" t="n">
        <v>-32.4842367140312</v>
      </c>
      <c r="K24" t="inlineStr">
        <is>
          <t>jh-2053</t>
        </is>
      </c>
      <c r="L24" t="n">
        <v>2006</v>
      </c>
      <c r="M24" t="inlineStr"/>
      <c r="N24" t="inlineStr"/>
      <c r="O24" t="inlineStr"/>
      <c r="P24" t="inlineStr"/>
      <c r="Q24" t="n">
        <v>2053</v>
      </c>
      <c r="R24" t="inlineStr">
        <is>
          <t>leaf herbarium</t>
        </is>
      </c>
      <c r="S24" t="inlineStr">
        <is>
          <t>Galeras</t>
        </is>
      </c>
      <c r="T24" t="n">
        <v>1000</v>
      </c>
    </row>
    <row r="25">
      <c r="A25" s="1" t="n">
        <v>39</v>
      </c>
      <c r="B25" t="n">
        <v>23</v>
      </c>
      <c r="C25" t="inlineStr">
        <is>
          <t>Rubiaceae</t>
        </is>
      </c>
      <c r="D25" t="inlineStr">
        <is>
          <t>Posoqueria</t>
        </is>
      </c>
      <c r="E25" t="inlineStr">
        <is>
          <t>latifolia</t>
        </is>
      </c>
      <c r="F25" t="inlineStr">
        <is>
          <t>GAL_23</t>
        </is>
      </c>
      <c r="G25" t="n">
        <v>566</v>
      </c>
      <c r="H25" t="n">
        <v>8631</v>
      </c>
      <c r="I25" t="inlineStr"/>
      <c r="J25" t="inlineStr"/>
      <c r="K25" t="inlineStr"/>
      <c r="L25" t="n">
        <v>2006</v>
      </c>
      <c r="M25" t="n">
        <v>0.01886422637028332</v>
      </c>
      <c r="N25" t="n">
        <v>0.4456981416018225</v>
      </c>
      <c r="O25" t="n">
        <v>-0.595567620927937</v>
      </c>
      <c r="P25" t="n">
        <v>-32.39193745232646</v>
      </c>
      <c r="Q25" t="inlineStr">
        <is>
          <t>2016</t>
        </is>
      </c>
      <c r="R25" t="inlineStr"/>
      <c r="S25" t="inlineStr">
        <is>
          <t>Galeras</t>
        </is>
      </c>
      <c r="T25" t="n">
        <v>1000</v>
      </c>
    </row>
    <row r="26">
      <c r="A26" s="1" t="n">
        <v>114</v>
      </c>
      <c r="B26" t="n">
        <v>23</v>
      </c>
      <c r="C26" t="inlineStr">
        <is>
          <t>Rubiaceae</t>
        </is>
      </c>
      <c r="D26" t="inlineStr">
        <is>
          <t>Posoqueria</t>
        </is>
      </c>
      <c r="E26" t="inlineStr">
        <is>
          <t>latifolia</t>
        </is>
      </c>
      <c r="F26" t="inlineStr">
        <is>
          <t>GAL_23</t>
        </is>
      </c>
      <c r="G26" t="n">
        <v>566</v>
      </c>
      <c r="H26" t="n">
        <v>8631</v>
      </c>
      <c r="I26" t="n">
        <v>0.4499</v>
      </c>
      <c r="J26" t="n">
        <v>-32.8</v>
      </c>
      <c r="K26" t="inlineStr">
        <is>
          <t>p23-566</t>
        </is>
      </c>
      <c r="L26" t="n">
        <v>2006</v>
      </c>
      <c r="M26" t="inlineStr"/>
      <c r="N26" t="inlineStr"/>
      <c r="O26" t="inlineStr"/>
      <c r="P26" t="inlineStr"/>
      <c r="Q26" t="inlineStr">
        <is>
          <t>2016</t>
        </is>
      </c>
      <c r="R26" t="inlineStr">
        <is>
          <t>leaf pulverized</t>
        </is>
      </c>
      <c r="S26" t="inlineStr">
        <is>
          <t>Galeras</t>
        </is>
      </c>
      <c r="T26" t="n">
        <v>1000</v>
      </c>
    </row>
    <row r="27">
      <c r="A27" s="1" t="n">
        <v>37</v>
      </c>
      <c r="B27" t="n">
        <v>23</v>
      </c>
      <c r="C27" t="inlineStr">
        <is>
          <t>Meliaceae</t>
        </is>
      </c>
      <c r="D27" t="inlineStr">
        <is>
          <t>Guarea</t>
        </is>
      </c>
      <c r="E27" t="inlineStr">
        <is>
          <t>pterorhachis</t>
        </is>
      </c>
      <c r="F27" t="inlineStr">
        <is>
          <t>GAL_23</t>
        </is>
      </c>
      <c r="G27" t="n">
        <v>565</v>
      </c>
      <c r="H27" t="n">
        <v>8972</v>
      </c>
      <c r="I27" t="inlineStr"/>
      <c r="J27" t="inlineStr"/>
      <c r="K27" t="inlineStr"/>
      <c r="L27" t="n">
        <v>2006</v>
      </c>
      <c r="M27" t="n">
        <v>0.0202588111216678</v>
      </c>
      <c r="N27" t="n">
        <v>0.4535337885511843</v>
      </c>
      <c r="O27" t="n">
        <v>0.2100976450315908</v>
      </c>
      <c r="P27" t="n">
        <v>-33.00425606616213</v>
      </c>
      <c r="Q27" t="inlineStr"/>
      <c r="R27" t="inlineStr"/>
      <c r="S27" t="inlineStr">
        <is>
          <t>Galeras</t>
        </is>
      </c>
      <c r="T27" t="n">
        <v>1000</v>
      </c>
    </row>
    <row r="28">
      <c r="A28" s="1" t="n">
        <v>117</v>
      </c>
      <c r="B28" t="n">
        <v>23</v>
      </c>
      <c r="C28" t="inlineStr">
        <is>
          <t>Meliaceae</t>
        </is>
      </c>
      <c r="D28" t="inlineStr">
        <is>
          <t>Guarea</t>
        </is>
      </c>
      <c r="E28" t="inlineStr">
        <is>
          <t>pterorhachis</t>
        </is>
      </c>
      <c r="F28" t="inlineStr">
        <is>
          <t>GAL_23</t>
        </is>
      </c>
      <c r="G28" t="n">
        <v>565</v>
      </c>
      <c r="H28" t="n">
        <v>8972</v>
      </c>
      <c r="I28" t="n">
        <v>0.4368</v>
      </c>
      <c r="J28" t="n">
        <v>-32.44</v>
      </c>
      <c r="K28" t="inlineStr">
        <is>
          <t>p23-565</t>
        </is>
      </c>
      <c r="L28" t="n">
        <v>2006</v>
      </c>
      <c r="M28" t="inlineStr"/>
      <c r="N28" t="inlineStr"/>
      <c r="O28" t="inlineStr"/>
      <c r="P28" t="inlineStr"/>
      <c r="Q28" t="inlineStr"/>
      <c r="R28" t="inlineStr">
        <is>
          <t>leaf pulverized</t>
        </is>
      </c>
      <c r="S28" t="inlineStr">
        <is>
          <t>Galeras</t>
        </is>
      </c>
      <c r="T28" t="n">
        <v>1000</v>
      </c>
    </row>
    <row r="29">
      <c r="A29" s="1" t="n">
        <v>83</v>
      </c>
      <c r="B29" t="n">
        <v>23</v>
      </c>
      <c r="C29" t="inlineStr">
        <is>
          <t>Sapotaceae</t>
        </is>
      </c>
      <c r="D29" t="inlineStr">
        <is>
          <t>Cornuella</t>
        </is>
      </c>
      <c r="E29" t="inlineStr">
        <is>
          <t>venezuelanense</t>
        </is>
      </c>
      <c r="F29" t="inlineStr">
        <is>
          <t>GAL_23</t>
        </is>
      </c>
      <c r="G29" t="n">
        <v>564</v>
      </c>
      <c r="H29" t="n">
        <v>8974</v>
      </c>
      <c r="I29" t="n">
        <v>0.3676</v>
      </c>
      <c r="J29" t="n">
        <v>-26.51</v>
      </c>
      <c r="K29" t="inlineStr">
        <is>
          <t>jh-p23-3745</t>
        </is>
      </c>
      <c r="L29" t="n">
        <v>2006</v>
      </c>
      <c r="M29" t="inlineStr"/>
      <c r="N29" t="inlineStr"/>
      <c r="O29" t="inlineStr"/>
      <c r="P29" t="inlineStr"/>
      <c r="Q29" t="inlineStr">
        <is>
          <t>3745</t>
        </is>
      </c>
      <c r="R29" t="inlineStr">
        <is>
          <t>leaf herbarium</t>
        </is>
      </c>
      <c r="S29" t="inlineStr">
        <is>
          <t>Galeras</t>
        </is>
      </c>
      <c r="T29" t="n">
        <v>1000</v>
      </c>
    </row>
    <row r="30">
      <c r="A30" s="1" t="n">
        <v>10</v>
      </c>
      <c r="B30" t="n">
        <v>23</v>
      </c>
      <c r="C30" t="inlineStr">
        <is>
          <t>Sapotaceae</t>
        </is>
      </c>
      <c r="D30" t="inlineStr">
        <is>
          <t>Cornuella</t>
        </is>
      </c>
      <c r="E30" t="inlineStr">
        <is>
          <t>venezuelanense</t>
        </is>
      </c>
      <c r="F30" t="inlineStr">
        <is>
          <t>GAL_23</t>
        </is>
      </c>
      <c r="G30" t="n">
        <v>564</v>
      </c>
      <c r="H30" t="n">
        <v>8974</v>
      </c>
      <c r="I30" t="n">
        <v>37.2296106855743</v>
      </c>
      <c r="J30" t="n">
        <v>-29.1951021508777</v>
      </c>
      <c r="K30" t="inlineStr">
        <is>
          <t>p23-8974</t>
        </is>
      </c>
      <c r="L30" t="n">
        <v>2025</v>
      </c>
      <c r="M30" t="n">
        <v>0.032737523</v>
      </c>
      <c r="N30" t="n">
        <v>0.446083019</v>
      </c>
      <c r="O30" t="n">
        <v>1.344449494949493</v>
      </c>
      <c r="P30" t="n">
        <v>-30.52963520678685</v>
      </c>
      <c r="Q30" t="inlineStr">
        <is>
          <t>3745</t>
        </is>
      </c>
      <c r="R30" t="inlineStr">
        <is>
          <t>leaf pulverized</t>
        </is>
      </c>
      <c r="S30" t="inlineStr">
        <is>
          <t>Galeras</t>
        </is>
      </c>
      <c r="T30" t="n">
        <v>1000</v>
      </c>
    </row>
    <row r="31">
      <c r="A31" s="1" t="n">
        <v>109</v>
      </c>
      <c r="B31" t="n">
        <v>23</v>
      </c>
      <c r="C31" t="inlineStr">
        <is>
          <t>Fabaceae</t>
        </is>
      </c>
      <c r="D31" t="inlineStr">
        <is>
          <t>Inga</t>
        </is>
      </c>
      <c r="E31" t="inlineStr">
        <is>
          <t>capitata</t>
        </is>
      </c>
      <c r="F31" t="inlineStr">
        <is>
          <t>GAL_23</t>
        </is>
      </c>
      <c r="G31" t="n">
        <v>563</v>
      </c>
      <c r="H31" t="n">
        <v>8975</v>
      </c>
      <c r="I31" t="n">
        <v>0.4724</v>
      </c>
      <c r="J31" t="n">
        <v>-29.71</v>
      </c>
      <c r="K31" t="inlineStr">
        <is>
          <t>jh-p23-3744</t>
        </is>
      </c>
      <c r="L31" t="n">
        <v>2006</v>
      </c>
      <c r="M31" t="inlineStr"/>
      <c r="N31" t="inlineStr"/>
      <c r="O31" t="inlineStr"/>
      <c r="P31" t="inlineStr"/>
      <c r="Q31" t="inlineStr">
        <is>
          <t>3744</t>
        </is>
      </c>
      <c r="R31" t="inlineStr">
        <is>
          <t>leaf herbarium</t>
        </is>
      </c>
      <c r="S31" t="inlineStr">
        <is>
          <t>Galeras</t>
        </is>
      </c>
      <c r="T31" t="n">
        <v>1000</v>
      </c>
    </row>
    <row r="32">
      <c r="A32" s="1" t="n">
        <v>14</v>
      </c>
      <c r="B32" t="n">
        <v>23</v>
      </c>
      <c r="C32" t="inlineStr">
        <is>
          <t>Fabaceae</t>
        </is>
      </c>
      <c r="D32" t="inlineStr">
        <is>
          <t>Inga</t>
        </is>
      </c>
      <c r="E32" t="inlineStr">
        <is>
          <t>capitata</t>
        </is>
      </c>
      <c r="F32" t="inlineStr">
        <is>
          <t>GAL_23</t>
        </is>
      </c>
      <c r="G32" t="n">
        <v>563</v>
      </c>
      <c r="H32" t="n">
        <v>8975</v>
      </c>
      <c r="I32" t="n">
        <v>41.5303356058943</v>
      </c>
      <c r="J32" t="n">
        <v>-29.7107721724254</v>
      </c>
      <c r="K32" t="inlineStr">
        <is>
          <t>p23-8975</t>
        </is>
      </c>
      <c r="L32" t="n">
        <v>2025</v>
      </c>
      <c r="M32" t="n">
        <v>0.029246209</v>
      </c>
      <c r="N32" t="n">
        <v>0.444560767</v>
      </c>
      <c r="O32" t="n">
        <v>-1.064063131313134</v>
      </c>
      <c r="P32" t="n">
        <v>-31.6330854718982</v>
      </c>
      <c r="Q32" t="inlineStr">
        <is>
          <t>3744</t>
        </is>
      </c>
      <c r="R32" t="inlineStr">
        <is>
          <t>leaf pulverized</t>
        </is>
      </c>
      <c r="S32" t="inlineStr">
        <is>
          <t>Galeras</t>
        </is>
      </c>
      <c r="T32" t="n">
        <v>1000</v>
      </c>
    </row>
    <row r="33">
      <c r="A33" s="1" t="n">
        <v>6</v>
      </c>
      <c r="B33" t="n">
        <v>23</v>
      </c>
      <c r="C33" t="inlineStr">
        <is>
          <t>Rubiaceae</t>
        </is>
      </c>
      <c r="D33" t="inlineStr">
        <is>
          <t>Faramea</t>
        </is>
      </c>
      <c r="E33" t="inlineStr">
        <is>
          <t>multiflora</t>
        </is>
      </c>
      <c r="F33" t="inlineStr">
        <is>
          <t>GAL_23</t>
        </is>
      </c>
      <c r="G33" t="n">
        <v>561</v>
      </c>
      <c r="H33" t="n">
        <v>8976</v>
      </c>
      <c r="I33" t="n">
        <v>43.330252490663</v>
      </c>
      <c r="J33" t="n">
        <v>-31.0694918492985</v>
      </c>
      <c r="K33" t="inlineStr">
        <is>
          <t>p23-8976</t>
        </is>
      </c>
      <c r="L33" t="n">
        <v>2025</v>
      </c>
      <c r="M33" t="n">
        <v>0.016808389</v>
      </c>
      <c r="N33" t="n">
        <v>0.392860231</v>
      </c>
      <c r="O33" t="n">
        <v>2.316494949494948</v>
      </c>
      <c r="P33" t="n">
        <v>-32.53028335100743</v>
      </c>
      <c r="Q33" t="inlineStr">
        <is>
          <t>2022</t>
        </is>
      </c>
      <c r="R33" t="inlineStr">
        <is>
          <t>leaf pulverized</t>
        </is>
      </c>
      <c r="S33" t="inlineStr">
        <is>
          <t>Galeras</t>
        </is>
      </c>
      <c r="T33" t="n">
        <v>1000</v>
      </c>
    </row>
    <row r="34">
      <c r="A34" s="1" t="n">
        <v>46</v>
      </c>
      <c r="B34" t="n">
        <v>23</v>
      </c>
      <c r="C34" t="inlineStr">
        <is>
          <t>Moraceae</t>
        </is>
      </c>
      <c r="D34" t="inlineStr">
        <is>
          <t>Sorocea</t>
        </is>
      </c>
      <c r="E34" t="inlineStr">
        <is>
          <t>trophoides</t>
        </is>
      </c>
      <c r="F34" t="inlineStr">
        <is>
          <t>GAL_23</t>
        </is>
      </c>
      <c r="G34" t="n">
        <v>570</v>
      </c>
      <c r="H34" t="n">
        <v>8980</v>
      </c>
      <c r="I34" t="n">
        <v>42.9464182290098</v>
      </c>
      <c r="J34" t="n">
        <v>-30.6019667295903</v>
      </c>
      <c r="K34" t="inlineStr">
        <is>
          <t>jh-2034</t>
        </is>
      </c>
      <c r="L34" t="n">
        <v>2006</v>
      </c>
      <c r="M34" t="inlineStr"/>
      <c r="N34" t="inlineStr"/>
      <c r="O34" t="inlineStr"/>
      <c r="P34" t="inlineStr"/>
      <c r="Q34" t="inlineStr">
        <is>
          <t>2034</t>
        </is>
      </c>
      <c r="R34" t="inlineStr">
        <is>
          <t>leaf herbarium</t>
        </is>
      </c>
      <c r="S34" t="inlineStr">
        <is>
          <t>Galeras</t>
        </is>
      </c>
      <c r="T34" t="n">
        <v>1000</v>
      </c>
    </row>
    <row r="35">
      <c r="A35" s="1" t="n">
        <v>11</v>
      </c>
      <c r="B35" t="n">
        <v>23</v>
      </c>
      <c r="C35" t="inlineStr">
        <is>
          <t>Moraceae</t>
        </is>
      </c>
      <c r="D35" t="inlineStr">
        <is>
          <t>Sorocea</t>
        </is>
      </c>
      <c r="E35" t="inlineStr">
        <is>
          <t>trophoides</t>
        </is>
      </c>
      <c r="F35" t="inlineStr">
        <is>
          <t>GAL_23</t>
        </is>
      </c>
      <c r="G35" t="n">
        <v>570</v>
      </c>
      <c r="H35" t="n">
        <v>8980</v>
      </c>
      <c r="I35" t="n">
        <v>29.235018235055</v>
      </c>
      <c r="J35" t="n">
        <v>-27.2953083375885</v>
      </c>
      <c r="K35" t="inlineStr">
        <is>
          <t>p23-8980</t>
        </is>
      </c>
      <c r="L35" t="n">
        <v>2025</v>
      </c>
      <c r="M35" t="n">
        <v>0.018465962</v>
      </c>
      <c r="N35" t="n">
        <v>0.389815017</v>
      </c>
      <c r="O35" t="n">
        <v>1.852073232323231</v>
      </c>
      <c r="P35" t="n">
        <v>-30.23056924708378</v>
      </c>
      <c r="Q35" t="inlineStr">
        <is>
          <t>2034</t>
        </is>
      </c>
      <c r="R35" t="inlineStr">
        <is>
          <t>leaf pulverized</t>
        </is>
      </c>
      <c r="S35" t="inlineStr">
        <is>
          <t>Galeras</t>
        </is>
      </c>
      <c r="T35" t="n">
        <v>1000</v>
      </c>
    </row>
    <row r="36">
      <c r="A36" s="1" t="n">
        <v>80</v>
      </c>
      <c r="B36" t="n">
        <v>23</v>
      </c>
      <c r="C36" t="inlineStr">
        <is>
          <t>Moraceae</t>
        </is>
      </c>
      <c r="D36" t="inlineStr">
        <is>
          <t>Sorocea</t>
        </is>
      </c>
      <c r="E36" t="inlineStr">
        <is>
          <t>trophoides</t>
        </is>
      </c>
      <c r="F36" t="inlineStr">
        <is>
          <t>GAL_23</t>
        </is>
      </c>
      <c r="G36" t="n">
        <v>570</v>
      </c>
      <c r="H36" t="n">
        <v>8980</v>
      </c>
      <c r="I36" t="n">
        <v>0.2728</v>
      </c>
      <c r="J36" t="n">
        <v>-28.17</v>
      </c>
      <c r="K36" t="inlineStr">
        <is>
          <t>p23-8980</t>
        </is>
      </c>
      <c r="L36" t="n">
        <v>2025</v>
      </c>
      <c r="M36" t="inlineStr"/>
      <c r="N36" t="inlineStr"/>
      <c r="O36" t="inlineStr"/>
      <c r="P36" t="inlineStr"/>
      <c r="Q36" t="inlineStr">
        <is>
          <t>2034</t>
        </is>
      </c>
      <c r="R36" t="inlineStr">
        <is>
          <t>leaf pulverized</t>
        </is>
      </c>
      <c r="S36" t="inlineStr">
        <is>
          <t>Galeras</t>
        </is>
      </c>
      <c r="T36" t="n">
        <v>1000</v>
      </c>
    </row>
    <row r="37">
      <c r="A37" s="1" t="n">
        <v>8</v>
      </c>
      <c r="B37" t="n">
        <v>23</v>
      </c>
      <c r="C37" t="inlineStr">
        <is>
          <t>Sapotaceae</t>
        </is>
      </c>
      <c r="D37" t="inlineStr">
        <is>
          <t>Lucuma</t>
        </is>
      </c>
      <c r="E37" t="inlineStr">
        <is>
          <t>multiflora</t>
        </is>
      </c>
      <c r="F37" t="inlineStr">
        <is>
          <t>GAL_23</t>
        </is>
      </c>
      <c r="G37" t="n">
        <v>560</v>
      </c>
      <c r="H37" t="n">
        <v>8982</v>
      </c>
      <c r="I37" t="n">
        <v>39.8249429922284</v>
      </c>
      <c r="J37" t="n">
        <v>-29.806737041431</v>
      </c>
      <c r="K37" t="inlineStr">
        <is>
          <t>p23-560</t>
        </is>
      </c>
      <c r="L37" t="n">
        <v>2006</v>
      </c>
      <c r="M37" t="n">
        <v>0.02329127489213705</v>
      </c>
      <c r="N37" t="n">
        <v>0.4575489192207366</v>
      </c>
      <c r="O37" t="n">
        <v>2.326812176909822</v>
      </c>
      <c r="P37" t="n">
        <v>-31.96725832878209</v>
      </c>
      <c r="Q37" t="inlineStr">
        <is>
          <t>3740</t>
        </is>
      </c>
      <c r="R37" t="inlineStr">
        <is>
          <t>leaf pulverized</t>
        </is>
      </c>
      <c r="S37" t="inlineStr">
        <is>
          <t>Galeras</t>
        </is>
      </c>
      <c r="T37" t="n">
        <v>1000</v>
      </c>
    </row>
    <row r="38">
      <c r="A38" s="1" t="n">
        <v>118</v>
      </c>
      <c r="B38" t="n">
        <v>23</v>
      </c>
      <c r="C38" t="inlineStr">
        <is>
          <t>Sapotaceae</t>
        </is>
      </c>
      <c r="D38" t="inlineStr">
        <is>
          <t>Lucuma</t>
        </is>
      </c>
      <c r="E38" t="inlineStr">
        <is>
          <t>multiflora</t>
        </is>
      </c>
      <c r="F38" t="inlineStr">
        <is>
          <t>GAL_23</t>
        </is>
      </c>
      <c r="G38" t="n">
        <v>560</v>
      </c>
      <c r="H38" t="n">
        <v>8982</v>
      </c>
      <c r="I38" t="n">
        <v>0.3961</v>
      </c>
      <c r="J38" t="n">
        <v>-30.1</v>
      </c>
      <c r="K38" t="inlineStr">
        <is>
          <t>p23-560</t>
        </is>
      </c>
      <c r="L38" t="n">
        <v>2006</v>
      </c>
      <c r="M38" t="inlineStr"/>
      <c r="N38" t="inlineStr"/>
      <c r="O38" t="inlineStr"/>
      <c r="P38" t="inlineStr"/>
      <c r="Q38" t="inlineStr">
        <is>
          <t>3740</t>
        </is>
      </c>
      <c r="R38" t="inlineStr">
        <is>
          <t>leaf pulverized</t>
        </is>
      </c>
      <c r="S38" t="inlineStr">
        <is>
          <t>Galeras</t>
        </is>
      </c>
      <c r="T38" t="n">
        <v>1000</v>
      </c>
    </row>
    <row r="39">
      <c r="A39" s="1" t="n">
        <v>20</v>
      </c>
      <c r="B39" t="n">
        <v>23</v>
      </c>
      <c r="C39" t="inlineStr">
        <is>
          <t>Sapotaceae</t>
        </is>
      </c>
      <c r="D39" t="inlineStr">
        <is>
          <t>Lucuma</t>
        </is>
      </c>
      <c r="E39" t="inlineStr">
        <is>
          <t>multiflora</t>
        </is>
      </c>
      <c r="F39" t="inlineStr">
        <is>
          <t>GAL_23</t>
        </is>
      </c>
      <c r="G39" t="n">
        <v>560</v>
      </c>
      <c r="H39" t="n">
        <v>8982</v>
      </c>
      <c r="I39" t="n">
        <v>42.6094512384768</v>
      </c>
      <c r="J39" t="n">
        <v>-29.4398007961879</v>
      </c>
      <c r="K39" t="inlineStr">
        <is>
          <t>p23-8982</t>
        </is>
      </c>
      <c r="L39" t="n">
        <v>2025</v>
      </c>
      <c r="M39" t="n">
        <v>0.018394413</v>
      </c>
      <c r="N39" t="n">
        <v>0.439969982</v>
      </c>
      <c r="O39" t="n">
        <v>2.996926767676766</v>
      </c>
      <c r="P39" t="n">
        <v>-31.47839618239661</v>
      </c>
      <c r="Q39" t="inlineStr">
        <is>
          <t>3740</t>
        </is>
      </c>
      <c r="R39" t="inlineStr">
        <is>
          <t>leaf pulverized</t>
        </is>
      </c>
      <c r="S39" t="inlineStr">
        <is>
          <t>Galeras</t>
        </is>
      </c>
      <c r="T39" t="n">
        <v>1000</v>
      </c>
    </row>
    <row r="40">
      <c r="A40" s="1" t="n">
        <v>17</v>
      </c>
      <c r="B40" t="n">
        <v>23</v>
      </c>
      <c r="C40" t="inlineStr">
        <is>
          <t>Lecythidaceae</t>
        </is>
      </c>
      <c r="D40" t="inlineStr">
        <is>
          <t>Grias</t>
        </is>
      </c>
      <c r="E40" t="inlineStr">
        <is>
          <t>peruviana</t>
        </is>
      </c>
      <c r="F40" t="inlineStr">
        <is>
          <t>GAL_23</t>
        </is>
      </c>
      <c r="G40" t="n">
        <v>559</v>
      </c>
      <c r="H40" t="n">
        <v>8983</v>
      </c>
      <c r="I40" t="n">
        <v>44.3129749791381</v>
      </c>
      <c r="J40" t="n">
        <v>-29.5889762264672</v>
      </c>
      <c r="K40" t="inlineStr">
        <is>
          <t>p23-559</t>
        </is>
      </c>
      <c r="L40" t="n">
        <v>2006</v>
      </c>
      <c r="M40" t="n">
        <v>0.01904069946879364</v>
      </c>
      <c r="N40" t="n">
        <v>0.4375015651279461</v>
      </c>
      <c r="O40" t="n">
        <v>1.112783810463968</v>
      </c>
      <c r="P40" t="n">
        <v>-30.72292143401983</v>
      </c>
      <c r="Q40" t="inlineStr">
        <is>
          <t>3739</t>
        </is>
      </c>
      <c r="R40" t="inlineStr">
        <is>
          <t>leaf pulverized</t>
        </is>
      </c>
      <c r="S40" t="inlineStr">
        <is>
          <t>Galeras</t>
        </is>
      </c>
      <c r="T40" t="n">
        <v>1000</v>
      </c>
    </row>
    <row r="41">
      <c r="A41" s="1" t="n">
        <v>13</v>
      </c>
      <c r="B41" t="n">
        <v>23</v>
      </c>
      <c r="C41" t="inlineStr">
        <is>
          <t>Lecythidaceae</t>
        </is>
      </c>
      <c r="D41" t="inlineStr">
        <is>
          <t>Grias</t>
        </is>
      </c>
      <c r="E41" t="inlineStr">
        <is>
          <t>peruviana</t>
        </is>
      </c>
      <c r="F41" t="inlineStr">
        <is>
          <t>GAL_23</t>
        </is>
      </c>
      <c r="G41" t="n">
        <v>559</v>
      </c>
      <c r="H41" t="n">
        <v>8983</v>
      </c>
      <c r="I41" t="n">
        <v>42.337351793583</v>
      </c>
      <c r="J41" t="n">
        <v>-29.0008888885468</v>
      </c>
      <c r="K41" t="inlineStr">
        <is>
          <t>p23-8983</t>
        </is>
      </c>
      <c r="L41" t="n">
        <v>2025</v>
      </c>
      <c r="M41" t="n">
        <v>0.011074035</v>
      </c>
      <c r="N41" t="n">
        <v>0.422318473</v>
      </c>
      <c r="O41" t="n">
        <v>0.7396212121212099</v>
      </c>
      <c r="P41" t="n">
        <v>-30.57088568398727</v>
      </c>
      <c r="Q41" t="inlineStr">
        <is>
          <t>3739</t>
        </is>
      </c>
      <c r="R41" t="inlineStr">
        <is>
          <t>leaf pulverized</t>
        </is>
      </c>
      <c r="S41" t="inlineStr">
        <is>
          <t>Galeras</t>
        </is>
      </c>
      <c r="T41" t="n">
        <v>1000</v>
      </c>
    </row>
    <row r="42">
      <c r="A42" s="1" t="n">
        <v>15</v>
      </c>
      <c r="B42" t="n">
        <v>23</v>
      </c>
      <c r="C42" t="inlineStr">
        <is>
          <t>Rubiaceae</t>
        </is>
      </c>
      <c r="D42" t="inlineStr"/>
      <c r="E42" t="inlineStr"/>
      <c r="F42" t="inlineStr">
        <is>
          <t>GAL_23</t>
        </is>
      </c>
      <c r="G42" t="inlineStr"/>
      <c r="H42" t="n">
        <v>8985</v>
      </c>
      <c r="I42" t="n">
        <v>41.6439967715565</v>
      </c>
      <c r="J42" t="n">
        <v>-29.519304007414</v>
      </c>
      <c r="K42" t="inlineStr">
        <is>
          <t>p23-8985</t>
        </is>
      </c>
      <c r="L42" t="n">
        <v>2025</v>
      </c>
      <c r="M42" t="n">
        <v>0.02287387</v>
      </c>
      <c r="N42" t="n">
        <v>0.495707737</v>
      </c>
      <c r="O42" t="n">
        <v>2.629709595959595</v>
      </c>
      <c r="P42" t="n">
        <v>-31.89090095440085</v>
      </c>
      <c r="Q42" t="inlineStr"/>
      <c r="R42" t="inlineStr">
        <is>
          <t>leaf pulverized</t>
        </is>
      </c>
      <c r="S42" t="inlineStr">
        <is>
          <t>Galeras</t>
        </is>
      </c>
      <c r="T42" t="n">
        <v>1000</v>
      </c>
    </row>
    <row r="43">
      <c r="A43" s="1" t="n">
        <v>108</v>
      </c>
      <c r="B43" t="n">
        <v>23</v>
      </c>
      <c r="C43" t="inlineStr">
        <is>
          <t>Fabaceae</t>
        </is>
      </c>
      <c r="D43" t="inlineStr">
        <is>
          <t>Inga</t>
        </is>
      </c>
      <c r="E43" t="inlineStr">
        <is>
          <t>marginata</t>
        </is>
      </c>
      <c r="F43" t="inlineStr">
        <is>
          <t>GAL_23</t>
        </is>
      </c>
      <c r="G43" t="n">
        <v>553</v>
      </c>
      <c r="H43" t="n">
        <v>8986</v>
      </c>
      <c r="I43" t="n">
        <v>0.4592</v>
      </c>
      <c r="J43" t="n">
        <v>-30.18</v>
      </c>
      <c r="K43" t="inlineStr">
        <is>
          <t>jh-p23-3736</t>
        </is>
      </c>
      <c r="L43" t="n">
        <v>2006</v>
      </c>
      <c r="M43" t="inlineStr"/>
      <c r="N43" t="inlineStr"/>
      <c r="O43" t="inlineStr"/>
      <c r="P43" t="inlineStr"/>
      <c r="Q43" t="inlineStr">
        <is>
          <t>3736</t>
        </is>
      </c>
      <c r="R43" t="inlineStr">
        <is>
          <t>leaf herbarium</t>
        </is>
      </c>
      <c r="S43" t="inlineStr">
        <is>
          <t>Galeras</t>
        </is>
      </c>
      <c r="T43" t="n">
        <v>1000</v>
      </c>
    </row>
    <row r="44">
      <c r="A44" s="1" t="n">
        <v>12</v>
      </c>
      <c r="B44" t="n">
        <v>23</v>
      </c>
      <c r="C44" t="inlineStr">
        <is>
          <t>Fabaceae</t>
        </is>
      </c>
      <c r="D44" t="inlineStr">
        <is>
          <t>Inga</t>
        </is>
      </c>
      <c r="E44" t="inlineStr">
        <is>
          <t>marginata</t>
        </is>
      </c>
      <c r="F44" t="inlineStr">
        <is>
          <t>GAL_23</t>
        </is>
      </c>
      <c r="G44" t="n">
        <v>553</v>
      </c>
      <c r="H44" t="n">
        <v>8986</v>
      </c>
      <c r="I44" t="n">
        <v>41.159136443641</v>
      </c>
      <c r="J44" t="n">
        <v>-29.4525475567856</v>
      </c>
      <c r="K44" t="inlineStr">
        <is>
          <t>p23-8986</t>
        </is>
      </c>
      <c r="L44" t="n">
        <v>2025</v>
      </c>
      <c r="M44" t="n">
        <v>0.040569896</v>
      </c>
      <c r="N44" t="n">
        <v>0.4512003</v>
      </c>
      <c r="O44" t="n">
        <v>0.1347929292929269</v>
      </c>
      <c r="P44" t="n">
        <v>-30.33369544008483</v>
      </c>
      <c r="Q44" t="inlineStr">
        <is>
          <t>3736</t>
        </is>
      </c>
      <c r="R44" t="inlineStr">
        <is>
          <t>leaf pulverized</t>
        </is>
      </c>
      <c r="S44" t="inlineStr">
        <is>
          <t>Galeras</t>
        </is>
      </c>
      <c r="T44" t="n">
        <v>1000</v>
      </c>
    </row>
    <row r="45">
      <c r="A45" s="1" t="n">
        <v>16</v>
      </c>
      <c r="B45" t="n">
        <v>23</v>
      </c>
      <c r="C45" t="inlineStr">
        <is>
          <t>Fabaceae</t>
        </is>
      </c>
      <c r="D45" t="inlineStr">
        <is>
          <t>Tachigali</t>
        </is>
      </c>
      <c r="E45" t="inlineStr"/>
      <c r="F45" t="inlineStr">
        <is>
          <t>GAL_23</t>
        </is>
      </c>
      <c r="G45" t="n">
        <v>558</v>
      </c>
      <c r="H45" t="n">
        <v>8989</v>
      </c>
      <c r="I45" t="n">
        <v>45.4857606024444</v>
      </c>
      <c r="J45" t="n">
        <v>-29.3396028599395</v>
      </c>
      <c r="K45" t="inlineStr">
        <is>
          <t>p23-8989</t>
        </is>
      </c>
      <c r="L45" t="n">
        <v>2025</v>
      </c>
      <c r="M45" t="n">
        <v>0.018643937</v>
      </c>
      <c r="N45" t="n">
        <v>0.460285072</v>
      </c>
      <c r="O45" t="n">
        <v>2.132886363636362</v>
      </c>
      <c r="P45" t="n">
        <v>-30.85963902439025</v>
      </c>
      <c r="Q45" t="inlineStr">
        <is>
          <t>3738</t>
        </is>
      </c>
      <c r="R45" t="inlineStr">
        <is>
          <t>leaf pulverized</t>
        </is>
      </c>
      <c r="S45" t="inlineStr">
        <is>
          <t>Galeras</t>
        </is>
      </c>
      <c r="T45" t="n">
        <v>1000</v>
      </c>
    </row>
    <row r="46">
      <c r="A46" s="1" t="n">
        <v>78</v>
      </c>
      <c r="B46" t="n">
        <v>23</v>
      </c>
      <c r="C46" t="inlineStr">
        <is>
          <t>Rubiaceae</t>
        </is>
      </c>
      <c r="D46" t="inlineStr">
        <is>
          <t>Kutchubaea</t>
        </is>
      </c>
      <c r="E46" t="inlineStr">
        <is>
          <t>semisericea</t>
        </is>
      </c>
      <c r="F46" t="inlineStr">
        <is>
          <t>GAL_23</t>
        </is>
      </c>
      <c r="G46" t="n">
        <v>576</v>
      </c>
      <c r="H46" t="n">
        <v>8990</v>
      </c>
      <c r="I46" t="n">
        <v>0.4123</v>
      </c>
      <c r="J46" t="n">
        <v>-32.18</v>
      </c>
      <c r="K46" t="inlineStr">
        <is>
          <t>jh-p23-3742</t>
        </is>
      </c>
      <c r="L46" t="n">
        <v>2006</v>
      </c>
      <c r="M46" t="inlineStr"/>
      <c r="N46" t="inlineStr"/>
      <c r="O46" t="inlineStr"/>
      <c r="P46" t="inlineStr"/>
      <c r="Q46" t="inlineStr">
        <is>
          <t>3742</t>
        </is>
      </c>
      <c r="R46" t="inlineStr">
        <is>
          <t>leaf herbarium</t>
        </is>
      </c>
      <c r="S46" t="inlineStr">
        <is>
          <t>Galeras</t>
        </is>
      </c>
      <c r="T46" t="n">
        <v>1000</v>
      </c>
    </row>
    <row r="47">
      <c r="A47" s="1" t="n">
        <v>0</v>
      </c>
      <c r="B47" t="n">
        <v>23</v>
      </c>
      <c r="C47" t="inlineStr">
        <is>
          <t>Quiinaceae</t>
        </is>
      </c>
      <c r="D47" t="inlineStr">
        <is>
          <t>Lacunaria</t>
        </is>
      </c>
      <c r="E47" t="inlineStr">
        <is>
          <t>crenata</t>
        </is>
      </c>
      <c r="F47" t="inlineStr">
        <is>
          <t>GAL_23</t>
        </is>
      </c>
      <c r="G47" t="n">
        <v>557</v>
      </c>
      <c r="H47" t="inlineStr"/>
      <c r="I47" t="n">
        <v>0.4555299539893652</v>
      </c>
      <c r="J47" t="n">
        <v>-29.28958972049875</v>
      </c>
      <c r="K47" t="inlineStr">
        <is>
          <t>p23-557</t>
        </is>
      </c>
      <c r="L47" t="n">
        <v>2006</v>
      </c>
      <c r="M47" t="n">
        <v>0.01912372642916168</v>
      </c>
      <c r="N47" t="n">
        <v>0.4855310575620023</v>
      </c>
      <c r="O47" t="n">
        <v>1.96067777139575</v>
      </c>
      <c r="P47" t="n">
        <v>-31.45873059218226</v>
      </c>
      <c r="Q47" t="inlineStr">
        <is>
          <t>3737</t>
        </is>
      </c>
      <c r="R47" t="inlineStr">
        <is>
          <t>leaf pulverized</t>
        </is>
      </c>
      <c r="S47" t="inlineStr">
        <is>
          <t>Galeras</t>
        </is>
      </c>
      <c r="T47" t="n">
        <v>1000</v>
      </c>
    </row>
    <row r="48">
      <c r="A48" s="1" t="n">
        <v>1</v>
      </c>
      <c r="B48" t="n">
        <v>23</v>
      </c>
      <c r="C48" t="inlineStr">
        <is>
          <t>Quiinaceae</t>
        </is>
      </c>
      <c r="D48" t="inlineStr">
        <is>
          <t>Lacunaria</t>
        </is>
      </c>
      <c r="E48" t="inlineStr">
        <is>
          <t>crenata</t>
        </is>
      </c>
      <c r="F48" t="inlineStr">
        <is>
          <t>GAL_23</t>
        </is>
      </c>
      <c r="G48" t="n">
        <v>557</v>
      </c>
      <c r="H48" t="inlineStr"/>
      <c r="I48" t="n">
        <v>43.3604790180212</v>
      </c>
      <c r="J48" t="n">
        <v>-29.4277878972228</v>
      </c>
      <c r="K48" t="inlineStr">
        <is>
          <t>p23-557</t>
        </is>
      </c>
      <c r="L48" t="n">
        <v>2006</v>
      </c>
      <c r="M48" t="n">
        <v>0.01912372642916168</v>
      </c>
      <c r="N48" t="n">
        <v>0.4855310575620023</v>
      </c>
      <c r="O48" t="n">
        <v>1.96067777139575</v>
      </c>
      <c r="P48" t="n">
        <v>-31.45873059218226</v>
      </c>
      <c r="Q48" t="inlineStr">
        <is>
          <t>3737</t>
        </is>
      </c>
      <c r="R48" t="inlineStr">
        <is>
          <t>leaf pulverized</t>
        </is>
      </c>
      <c r="S48" t="inlineStr">
        <is>
          <t>Galeras</t>
        </is>
      </c>
      <c r="T48" t="n">
        <v>1000</v>
      </c>
    </row>
    <row r="49">
      <c r="A49" s="1" t="n">
        <v>18</v>
      </c>
      <c r="B49" t="n">
        <v>23</v>
      </c>
      <c r="C49" t="inlineStr">
        <is>
          <t>Lauraceae</t>
        </is>
      </c>
      <c r="D49" t="inlineStr">
        <is>
          <t>Pleurothyrium</t>
        </is>
      </c>
      <c r="E49" t="inlineStr">
        <is>
          <t>insigne</t>
        </is>
      </c>
      <c r="F49" t="inlineStr">
        <is>
          <t>GAL_23</t>
        </is>
      </c>
      <c r="G49" t="n">
        <v>556</v>
      </c>
      <c r="H49" t="inlineStr"/>
      <c r="I49" t="n">
        <v>45.0467775205119</v>
      </c>
      <c r="J49" t="n">
        <v>-30.9498434726661</v>
      </c>
      <c r="K49" t="inlineStr">
        <is>
          <t>p23-556</t>
        </is>
      </c>
      <c r="L49" t="n">
        <v>2006</v>
      </c>
      <c r="M49" t="n">
        <v>0.02149380544039524</v>
      </c>
      <c r="N49" t="n">
        <v>0.4700220860030788</v>
      </c>
      <c r="O49" t="n">
        <v>1.079666858127513</v>
      </c>
      <c r="P49" t="n">
        <v>-32.15670983849575</v>
      </c>
      <c r="Q49" t="inlineStr">
        <is>
          <t>2024</t>
        </is>
      </c>
      <c r="R49" t="inlineStr">
        <is>
          <t>leaf pulverized</t>
        </is>
      </c>
      <c r="S49" t="inlineStr">
        <is>
          <t>Galeras</t>
        </is>
      </c>
      <c r="T49" t="n">
        <v>1000</v>
      </c>
    </row>
    <row r="50">
      <c r="A50" s="1" t="n">
        <v>38</v>
      </c>
      <c r="B50" t="n">
        <v>23</v>
      </c>
      <c r="C50" t="inlineStr">
        <is>
          <t>Fabaceae</t>
        </is>
      </c>
      <c r="D50" t="inlineStr">
        <is>
          <t>Inga</t>
        </is>
      </c>
      <c r="E50" t="inlineStr">
        <is>
          <t>leiocalycina</t>
        </is>
      </c>
      <c r="F50" t="inlineStr">
        <is>
          <t>GAL_23</t>
        </is>
      </c>
      <c r="G50" t="n">
        <v>578</v>
      </c>
      <c r="H50" t="inlineStr"/>
      <c r="I50" t="inlineStr"/>
      <c r="J50" t="inlineStr"/>
      <c r="K50" t="inlineStr"/>
      <c r="L50" t="n">
        <v>2006</v>
      </c>
      <c r="M50" t="n">
        <v>0.02731250225924158</v>
      </c>
      <c r="N50" t="n">
        <v>0.4248811927036952</v>
      </c>
      <c r="O50" t="n">
        <v>1.411476163124641</v>
      </c>
      <c r="P50" t="n">
        <v>-32.66523757509557</v>
      </c>
      <c r="Q50" t="inlineStr">
        <is>
          <t>2021</t>
        </is>
      </c>
      <c r="R50" t="inlineStr"/>
      <c r="S50" t="inlineStr">
        <is>
          <t>Galeras</t>
        </is>
      </c>
      <c r="T50" t="n">
        <v>1000</v>
      </c>
    </row>
    <row r="51">
      <c r="A51" s="1" t="n">
        <v>115</v>
      </c>
      <c r="B51" t="n">
        <v>23</v>
      </c>
      <c r="C51" t="inlineStr">
        <is>
          <t>Fabaceae</t>
        </is>
      </c>
      <c r="D51" t="inlineStr">
        <is>
          <t>Inga</t>
        </is>
      </c>
      <c r="E51" t="inlineStr">
        <is>
          <t>leiocalycina</t>
        </is>
      </c>
      <c r="F51" t="inlineStr">
        <is>
          <t>GAL_23</t>
        </is>
      </c>
      <c r="G51" t="n">
        <v>578</v>
      </c>
      <c r="H51" t="inlineStr"/>
      <c r="I51" t="n">
        <v>0.3496</v>
      </c>
      <c r="J51" t="n">
        <v>-30.42</v>
      </c>
      <c r="K51" t="inlineStr">
        <is>
          <t>p23-578</t>
        </is>
      </c>
      <c r="L51" t="n">
        <v>2006</v>
      </c>
      <c r="M51" t="inlineStr"/>
      <c r="N51" t="inlineStr"/>
      <c r="O51" t="inlineStr"/>
      <c r="P51" t="inlineStr"/>
      <c r="Q51" t="inlineStr">
        <is>
          <t>2021</t>
        </is>
      </c>
      <c r="R51" t="inlineStr">
        <is>
          <t>leaf pulverized</t>
        </is>
      </c>
      <c r="S51" t="inlineStr">
        <is>
          <t>Galeras</t>
        </is>
      </c>
      <c r="T51" t="n">
        <v>1000</v>
      </c>
    </row>
    <row r="52">
      <c r="A52" s="1" t="n">
        <v>62</v>
      </c>
      <c r="B52" t="n">
        <v>24</v>
      </c>
      <c r="C52" t="inlineStr">
        <is>
          <t>Clusiaceae</t>
        </is>
      </c>
      <c r="D52" t="inlineStr">
        <is>
          <t>Garcinia</t>
        </is>
      </c>
      <c r="E52" t="inlineStr">
        <is>
          <t>madruno</t>
        </is>
      </c>
      <c r="F52" t="inlineStr">
        <is>
          <t>GAL_24</t>
        </is>
      </c>
      <c r="G52" t="n">
        <v>590</v>
      </c>
      <c r="H52" t="n">
        <v>8633</v>
      </c>
      <c r="I52" t="n">
        <v>53.562366156364</v>
      </c>
      <c r="J52" t="n">
        <v>-32.5217284052814</v>
      </c>
      <c r="K52" t="inlineStr">
        <is>
          <t>p24-8633</t>
        </is>
      </c>
      <c r="L52" t="n">
        <v>2025</v>
      </c>
      <c r="M52" t="inlineStr"/>
      <c r="N52" t="inlineStr"/>
      <c r="O52" t="inlineStr"/>
      <c r="P52" t="inlineStr"/>
      <c r="Q52" t="n">
        <v>2073</v>
      </c>
      <c r="R52" t="inlineStr">
        <is>
          <t>leaf pulverized</t>
        </is>
      </c>
      <c r="S52" t="inlineStr">
        <is>
          <t>Galeras</t>
        </is>
      </c>
      <c r="T52" t="n">
        <v>1000</v>
      </c>
    </row>
    <row r="53">
      <c r="A53" s="1" t="n">
        <v>12</v>
      </c>
      <c r="B53" t="n">
        <v>24</v>
      </c>
      <c r="C53" t="inlineStr">
        <is>
          <t>Phyllanthaceae</t>
        </is>
      </c>
      <c r="D53" t="inlineStr">
        <is>
          <t>Hieronyma</t>
        </is>
      </c>
      <c r="E53" t="inlineStr">
        <is>
          <t>asperifolia</t>
        </is>
      </c>
      <c r="F53" t="inlineStr">
        <is>
          <t>GAL_24</t>
        </is>
      </c>
      <c r="G53" t="n">
        <v>586</v>
      </c>
      <c r="H53" t="n">
        <v>8638</v>
      </c>
      <c r="I53" t="n">
        <v>43.0454571079634</v>
      </c>
      <c r="J53" t="n">
        <v>-29.0879635790358</v>
      </c>
      <c r="K53" t="inlineStr">
        <is>
          <t>p24-586</t>
        </is>
      </c>
      <c r="L53" t="n">
        <v>2006</v>
      </c>
      <c r="M53" t="n">
        <v>0.02350003106563501</v>
      </c>
      <c r="N53" t="n">
        <v>0.4433682462362868</v>
      </c>
      <c r="O53" t="n">
        <v>-0.4878460654796098</v>
      </c>
      <c r="P53" t="n">
        <v>-31.18951002574706</v>
      </c>
      <c r="Q53" t="inlineStr"/>
      <c r="R53" t="inlineStr">
        <is>
          <t>leaf pulverized</t>
        </is>
      </c>
      <c r="S53" t="inlineStr">
        <is>
          <t>Galeras</t>
        </is>
      </c>
      <c r="T53" t="n">
        <v>1000</v>
      </c>
    </row>
    <row r="54">
      <c r="A54" s="1" t="n">
        <v>25</v>
      </c>
      <c r="B54" t="n">
        <v>24</v>
      </c>
      <c r="C54" t="inlineStr">
        <is>
          <t>Lacistemataceae</t>
        </is>
      </c>
      <c r="D54" t="inlineStr">
        <is>
          <t>Lozania</t>
        </is>
      </c>
      <c r="E54" t="inlineStr">
        <is>
          <t>klugii</t>
        </is>
      </c>
      <c r="F54" t="inlineStr">
        <is>
          <t>GAL_24</t>
        </is>
      </c>
      <c r="G54" t="n">
        <v>585</v>
      </c>
      <c r="H54" t="n">
        <v>8639</v>
      </c>
      <c r="I54" t="n">
        <v>44.1163789549339</v>
      </c>
      <c r="J54" t="n">
        <v>-31.5193635659915</v>
      </c>
      <c r="K54" t="inlineStr">
        <is>
          <t>p24-585</t>
        </is>
      </c>
      <c r="L54" t="n">
        <v>2006</v>
      </c>
      <c r="M54" t="n">
        <v>0.01698222842469201</v>
      </c>
      <c r="N54" t="n">
        <v>0.4412495801037915</v>
      </c>
      <c r="O54" t="n">
        <v>-2.14</v>
      </c>
      <c r="P54" t="n">
        <v>-32.91</v>
      </c>
      <c r="Q54" t="n">
        <v>2083</v>
      </c>
      <c r="R54" t="inlineStr">
        <is>
          <t>leaf pulverized</t>
        </is>
      </c>
      <c r="S54" t="inlineStr">
        <is>
          <t>Galeras</t>
        </is>
      </c>
      <c r="T54" t="n">
        <v>1000</v>
      </c>
    </row>
    <row r="55">
      <c r="A55" s="1" t="n">
        <v>42</v>
      </c>
      <c r="B55" t="n">
        <v>24</v>
      </c>
      <c r="C55" t="inlineStr">
        <is>
          <t>Lacistemataceae</t>
        </is>
      </c>
      <c r="D55" t="inlineStr">
        <is>
          <t>Lozania</t>
        </is>
      </c>
      <c r="E55" t="inlineStr">
        <is>
          <t>klugii</t>
        </is>
      </c>
      <c r="F55" t="inlineStr">
        <is>
          <t>GAL_24</t>
        </is>
      </c>
      <c r="G55" t="n">
        <v>585</v>
      </c>
      <c r="H55" t="n">
        <v>8639</v>
      </c>
      <c r="I55" t="n">
        <v>44.0685383962201</v>
      </c>
      <c r="J55" t="n">
        <v>-32.1956835423096</v>
      </c>
      <c r="K55" t="inlineStr">
        <is>
          <t>p24-8639</t>
        </is>
      </c>
      <c r="L55" t="n">
        <v>2025</v>
      </c>
      <c r="M55" t="inlineStr"/>
      <c r="N55" t="inlineStr"/>
      <c r="O55" t="inlineStr"/>
      <c r="P55" t="inlineStr"/>
      <c r="Q55" t="n">
        <v>2083</v>
      </c>
      <c r="R55" t="inlineStr">
        <is>
          <t>leaf pulverized</t>
        </is>
      </c>
      <c r="S55" t="inlineStr">
        <is>
          <t>Galeras</t>
        </is>
      </c>
      <c r="T55" t="n">
        <v>1000</v>
      </c>
    </row>
    <row r="56">
      <c r="A56" s="1" t="n">
        <v>35</v>
      </c>
      <c r="B56" t="n">
        <v>24</v>
      </c>
      <c r="C56" t="inlineStr">
        <is>
          <t>Vochysiaceae</t>
        </is>
      </c>
      <c r="D56" t="inlineStr"/>
      <c r="E56" t="inlineStr"/>
      <c r="F56" t="inlineStr">
        <is>
          <t>GAL_24</t>
        </is>
      </c>
      <c r="G56" t="n">
        <v>584</v>
      </c>
      <c r="H56" t="n">
        <v>8640</v>
      </c>
      <c r="I56" t="n">
        <v>43.7746904746501</v>
      </c>
      <c r="J56" t="n">
        <v>-30.6557937400044</v>
      </c>
      <c r="K56" t="inlineStr">
        <is>
          <t>p24-584</t>
        </is>
      </c>
      <c r="L56" t="n">
        <v>2006</v>
      </c>
      <c r="M56" t="n">
        <v>0.01440119444329544</v>
      </c>
      <c r="N56" t="n">
        <v>0.4583137739041457</v>
      </c>
      <c r="O56" t="n">
        <v>-0.85</v>
      </c>
      <c r="P56" t="n">
        <v>-32.36</v>
      </c>
      <c r="Q56" t="inlineStr"/>
      <c r="R56" t="inlineStr">
        <is>
          <t>leaf pulverized</t>
        </is>
      </c>
      <c r="S56" t="inlineStr">
        <is>
          <t>Galeras</t>
        </is>
      </c>
      <c r="T56" t="n">
        <v>1000</v>
      </c>
    </row>
    <row r="57">
      <c r="A57" s="1" t="n">
        <v>58</v>
      </c>
      <c r="B57" t="n">
        <v>24</v>
      </c>
      <c r="C57" t="inlineStr">
        <is>
          <t>Vochysiaceae</t>
        </is>
      </c>
      <c r="D57" t="inlineStr"/>
      <c r="E57" t="inlineStr"/>
      <c r="F57" t="inlineStr">
        <is>
          <t>GAL_24</t>
        </is>
      </c>
      <c r="G57" t="n">
        <v>584</v>
      </c>
      <c r="H57" t="n">
        <v>8640</v>
      </c>
      <c r="I57" t="n">
        <v>48.3668109395467</v>
      </c>
      <c r="J57" t="n">
        <v>-28.089768184058</v>
      </c>
      <c r="K57" t="inlineStr">
        <is>
          <t>p24-8640</t>
        </is>
      </c>
      <c r="L57" t="n">
        <v>2025</v>
      </c>
      <c r="M57" t="inlineStr"/>
      <c r="N57" t="inlineStr"/>
      <c r="O57" t="inlineStr"/>
      <c r="P57" t="inlineStr"/>
      <c r="Q57" t="inlineStr"/>
      <c r="R57" t="inlineStr">
        <is>
          <t>leaf pulverized</t>
        </is>
      </c>
      <c r="S57" t="inlineStr">
        <is>
          <t>Galeras</t>
        </is>
      </c>
      <c r="T57" t="n">
        <v>1000</v>
      </c>
    </row>
    <row r="58">
      <c r="A58" s="1" t="n">
        <v>24</v>
      </c>
      <c r="B58" t="n">
        <v>24</v>
      </c>
      <c r="C58" t="inlineStr">
        <is>
          <t>Moraceae</t>
        </is>
      </c>
      <c r="D58" t="inlineStr">
        <is>
          <t>Sorocea</t>
        </is>
      </c>
      <c r="E58" t="inlineStr">
        <is>
          <t>sp</t>
        </is>
      </c>
      <c r="F58" t="inlineStr">
        <is>
          <t>GAL_24</t>
        </is>
      </c>
      <c r="G58" t="n">
        <v>580</v>
      </c>
      <c r="H58" t="n">
        <v>8641</v>
      </c>
      <c r="I58" t="n">
        <v>42.1128334332028</v>
      </c>
      <c r="J58" t="n">
        <v>-31.3205747520526</v>
      </c>
      <c r="K58" t="inlineStr">
        <is>
          <t>p24-580</t>
        </is>
      </c>
      <c r="L58" t="n">
        <v>2006</v>
      </c>
      <c r="M58" t="n">
        <v>0.01798726840614421</v>
      </c>
      <c r="N58" t="n">
        <v>0.3919901680145296</v>
      </c>
      <c r="O58" t="n">
        <v>0.66</v>
      </c>
      <c r="P58" t="n">
        <v>-31.65</v>
      </c>
      <c r="Q58" t="inlineStr"/>
      <c r="R58" t="inlineStr">
        <is>
          <t>leaf pulverized</t>
        </is>
      </c>
      <c r="S58" t="inlineStr">
        <is>
          <t>Galeras</t>
        </is>
      </c>
      <c r="T58" t="n">
        <v>1000</v>
      </c>
    </row>
    <row r="59">
      <c r="A59" s="1" t="n">
        <v>47</v>
      </c>
      <c r="B59" t="n">
        <v>24</v>
      </c>
      <c r="C59" t="inlineStr">
        <is>
          <t>Moraceae</t>
        </is>
      </c>
      <c r="D59" t="inlineStr">
        <is>
          <t>Sorocea</t>
        </is>
      </c>
      <c r="E59" t="inlineStr">
        <is>
          <t>sp</t>
        </is>
      </c>
      <c r="F59" t="inlineStr">
        <is>
          <t>GAL_24</t>
        </is>
      </c>
      <c r="G59" t="n">
        <v>580</v>
      </c>
      <c r="H59" t="n">
        <v>8641</v>
      </c>
      <c r="I59" t="n">
        <v>45.6788402527187</v>
      </c>
      <c r="J59" t="n">
        <v>-29.3942934566527</v>
      </c>
      <c r="K59" t="inlineStr">
        <is>
          <t>p24-8641</t>
        </is>
      </c>
      <c r="L59" t="n">
        <v>2025</v>
      </c>
      <c r="M59" t="inlineStr"/>
      <c r="N59" t="inlineStr"/>
      <c r="O59" t="inlineStr"/>
      <c r="P59" t="inlineStr"/>
      <c r="Q59" t="inlineStr"/>
      <c r="R59" t="inlineStr">
        <is>
          <t>leaf pulverized</t>
        </is>
      </c>
      <c r="S59" t="inlineStr">
        <is>
          <t>Galeras</t>
        </is>
      </c>
      <c r="T59" t="n">
        <v>1000</v>
      </c>
    </row>
    <row r="60">
      <c r="A60" s="1" t="n">
        <v>72</v>
      </c>
      <c r="B60" t="n">
        <v>24</v>
      </c>
      <c r="C60" t="inlineStr">
        <is>
          <t>Lecythidaceae</t>
        </is>
      </c>
      <c r="D60" t="inlineStr">
        <is>
          <t>Eschweilera</t>
        </is>
      </c>
      <c r="E60" t="inlineStr">
        <is>
          <t>caudiculata</t>
        </is>
      </c>
      <c r="F60" t="inlineStr">
        <is>
          <t>GAL_24</t>
        </is>
      </c>
      <c r="G60" t="n">
        <v>579</v>
      </c>
      <c r="H60" t="n">
        <v>8642</v>
      </c>
      <c r="I60" t="n">
        <v>48.3415836866317</v>
      </c>
      <c r="J60" t="n">
        <v>-32.3566034758169</v>
      </c>
      <c r="K60" t="inlineStr">
        <is>
          <t>p24-8642</t>
        </is>
      </c>
      <c r="L60" t="n">
        <v>2025</v>
      </c>
      <c r="M60" t="inlineStr"/>
      <c r="N60" t="inlineStr"/>
      <c r="O60" t="inlineStr"/>
      <c r="P60" t="inlineStr"/>
      <c r="Q60" t="n">
        <v>2081</v>
      </c>
      <c r="R60" t="inlineStr">
        <is>
          <t>leaf pulverized</t>
        </is>
      </c>
      <c r="S60" t="inlineStr">
        <is>
          <t>Galeras</t>
        </is>
      </c>
      <c r="T60" t="n">
        <v>1000</v>
      </c>
    </row>
    <row r="61">
      <c r="A61" s="1" t="n">
        <v>28</v>
      </c>
      <c r="B61" t="n">
        <v>24</v>
      </c>
      <c r="C61" t="inlineStr">
        <is>
          <t>Melastomataceae</t>
        </is>
      </c>
      <c r="D61" t="inlineStr"/>
      <c r="E61" t="inlineStr"/>
      <c r="F61" t="inlineStr">
        <is>
          <t>GAL_24</t>
        </is>
      </c>
      <c r="G61" t="n">
        <v>611</v>
      </c>
      <c r="H61" t="n">
        <v>8643</v>
      </c>
      <c r="I61" t="n">
        <v>45.1697260885546</v>
      </c>
      <c r="J61" t="n">
        <v>-27.8951960529949</v>
      </c>
      <c r="K61" t="inlineStr">
        <is>
          <t>p24-611</t>
        </is>
      </c>
      <c r="L61" t="n">
        <v>2006</v>
      </c>
      <c r="M61" t="n">
        <v>0.01605533186563507</v>
      </c>
      <c r="N61" t="n">
        <v>0.378851131355276</v>
      </c>
      <c r="O61" t="n">
        <v>-0.9912808730614592</v>
      </c>
      <c r="P61" t="n">
        <v>-29.59412889131622</v>
      </c>
      <c r="Q61" t="n">
        <v>2067</v>
      </c>
      <c r="R61" t="inlineStr">
        <is>
          <t>leaf pulverized</t>
        </is>
      </c>
      <c r="S61" t="inlineStr">
        <is>
          <t>Galeras</t>
        </is>
      </c>
      <c r="T61" t="n">
        <v>1000</v>
      </c>
    </row>
    <row r="62">
      <c r="A62" s="1" t="n">
        <v>64</v>
      </c>
      <c r="B62" t="n">
        <v>24</v>
      </c>
      <c r="C62" t="inlineStr">
        <is>
          <t>Melastomataceae</t>
        </is>
      </c>
      <c r="D62" t="inlineStr"/>
      <c r="E62" t="inlineStr"/>
      <c r="F62" t="inlineStr">
        <is>
          <t>GAL_24</t>
        </is>
      </c>
      <c r="G62" t="n">
        <v>611</v>
      </c>
      <c r="H62" t="n">
        <v>8643</v>
      </c>
      <c r="I62" t="n">
        <v>42.3291323522651</v>
      </c>
      <c r="J62" t="n">
        <v>-26.8604457873218</v>
      </c>
      <c r="K62" t="inlineStr">
        <is>
          <t>p24-8643</t>
        </is>
      </c>
      <c r="L62" t="n">
        <v>2025</v>
      </c>
      <c r="M62" t="inlineStr"/>
      <c r="N62" t="inlineStr"/>
      <c r="O62" t="inlineStr"/>
      <c r="P62" t="inlineStr"/>
      <c r="Q62" t="n">
        <v>2067</v>
      </c>
      <c r="R62" t="inlineStr">
        <is>
          <t>leaf pulverized</t>
        </is>
      </c>
      <c r="S62" t="inlineStr">
        <is>
          <t>Galeras</t>
        </is>
      </c>
      <c r="T62" t="n">
        <v>1000</v>
      </c>
    </row>
    <row r="63">
      <c r="A63" s="1" t="n">
        <v>59</v>
      </c>
      <c r="B63" t="n">
        <v>24</v>
      </c>
      <c r="C63" t="inlineStr">
        <is>
          <t>Phyllanthaceae</t>
        </is>
      </c>
      <c r="D63" t="inlineStr">
        <is>
          <t>Hieronyma</t>
        </is>
      </c>
      <c r="E63" t="inlineStr">
        <is>
          <t>asperifolia</t>
        </is>
      </c>
      <c r="F63" t="inlineStr">
        <is>
          <t>GAL_24</t>
        </is>
      </c>
      <c r="G63" t="n">
        <v>606</v>
      </c>
      <c r="H63" t="n">
        <v>8644</v>
      </c>
      <c r="I63" t="n">
        <v>45.3467710094455</v>
      </c>
      <c r="J63" t="n">
        <v>-30.6065220715266</v>
      </c>
      <c r="K63" t="inlineStr">
        <is>
          <t>p24-8644</t>
        </is>
      </c>
      <c r="L63" t="n">
        <v>2025</v>
      </c>
      <c r="M63" t="inlineStr"/>
      <c r="N63" t="inlineStr"/>
      <c r="O63" t="inlineStr"/>
      <c r="P63" t="inlineStr"/>
      <c r="Q63" t="n">
        <v>3691</v>
      </c>
      <c r="R63" t="inlineStr">
        <is>
          <t>leaf pulverized</t>
        </is>
      </c>
      <c r="S63" t="inlineStr">
        <is>
          <t>Galeras</t>
        </is>
      </c>
      <c r="T63" t="n">
        <v>1000</v>
      </c>
    </row>
    <row r="64">
      <c r="A64" s="1" t="n">
        <v>68</v>
      </c>
      <c r="B64" t="n">
        <v>24</v>
      </c>
      <c r="C64" t="inlineStr">
        <is>
          <t>Euphorbiaceae</t>
        </is>
      </c>
      <c r="D64" t="inlineStr">
        <is>
          <t>Alchornea</t>
        </is>
      </c>
      <c r="E64" t="inlineStr"/>
      <c r="F64" t="inlineStr">
        <is>
          <t>GAL_24</t>
        </is>
      </c>
      <c r="G64" t="n">
        <v>600</v>
      </c>
      <c r="H64" t="n">
        <v>8649</v>
      </c>
      <c r="I64" t="n">
        <v>44.5666577303445</v>
      </c>
      <c r="J64" t="n">
        <v>-28.841640962394</v>
      </c>
      <c r="K64" t="inlineStr">
        <is>
          <t>p24-8649</t>
        </is>
      </c>
      <c r="L64" t="n">
        <v>2025</v>
      </c>
      <c r="M64" t="inlineStr"/>
      <c r="N64" t="inlineStr"/>
      <c r="O64" t="inlineStr"/>
      <c r="P64" t="inlineStr"/>
      <c r="Q64" t="n">
        <v>3665</v>
      </c>
      <c r="R64" t="inlineStr">
        <is>
          <t>leaf pulverized</t>
        </is>
      </c>
      <c r="S64" t="inlineStr">
        <is>
          <t>Galeras</t>
        </is>
      </c>
      <c r="T64" t="n">
        <v>1000</v>
      </c>
    </row>
    <row r="65">
      <c r="A65" s="1" t="n">
        <v>27</v>
      </c>
      <c r="B65" t="n">
        <v>24</v>
      </c>
      <c r="C65" t="inlineStr">
        <is>
          <t>Caryocaraceae</t>
        </is>
      </c>
      <c r="D65" t="inlineStr">
        <is>
          <t>Caryocar</t>
        </is>
      </c>
      <c r="E65" t="inlineStr">
        <is>
          <t>glabrum</t>
        </is>
      </c>
      <c r="F65" t="inlineStr">
        <is>
          <t>GAL_24</t>
        </is>
      </c>
      <c r="G65" t="n">
        <v>598</v>
      </c>
      <c r="H65" t="n">
        <v>8651</v>
      </c>
      <c r="I65" t="n">
        <v>44.3600284136341</v>
      </c>
      <c r="J65" t="n">
        <v>-29.1569031533291</v>
      </c>
      <c r="K65" t="inlineStr">
        <is>
          <t>p24-598</t>
        </is>
      </c>
      <c r="L65" t="n">
        <v>2006</v>
      </c>
      <c r="M65" t="n">
        <v>0.01449108009791741</v>
      </c>
      <c r="N65" t="n">
        <v>0.4271889469030765</v>
      </c>
      <c r="O65" t="n">
        <v>-2.959253302699598</v>
      </c>
      <c r="P65" t="n">
        <v>-29.61407115549661</v>
      </c>
      <c r="Q65" t="n">
        <v>2069</v>
      </c>
      <c r="R65" t="inlineStr">
        <is>
          <t>leaf pulverized</t>
        </is>
      </c>
      <c r="S65" t="inlineStr">
        <is>
          <t>Galeras</t>
        </is>
      </c>
      <c r="T65" t="n">
        <v>1000</v>
      </c>
    </row>
    <row r="66">
      <c r="A66" s="1" t="n">
        <v>74</v>
      </c>
      <c r="B66" t="n">
        <v>24</v>
      </c>
      <c r="C66" t="inlineStr">
        <is>
          <t>Caryocaraceae</t>
        </is>
      </c>
      <c r="D66" t="inlineStr">
        <is>
          <t>Caryocar</t>
        </is>
      </c>
      <c r="E66" t="inlineStr">
        <is>
          <t>glabrum</t>
        </is>
      </c>
      <c r="F66" t="inlineStr">
        <is>
          <t>GAL_24</t>
        </is>
      </c>
      <c r="G66" t="n">
        <v>598</v>
      </c>
      <c r="H66" t="n">
        <v>8651</v>
      </c>
      <c r="I66" t="n">
        <v>44.2197495682497</v>
      </c>
      <c r="J66" t="n">
        <v>-29.1780436768037</v>
      </c>
      <c r="K66" t="inlineStr">
        <is>
          <t>p24-8651</t>
        </is>
      </c>
      <c r="L66" t="n">
        <v>2025</v>
      </c>
      <c r="M66" t="inlineStr"/>
      <c r="N66" t="inlineStr"/>
      <c r="O66" t="inlineStr"/>
      <c r="P66" t="inlineStr"/>
      <c r="Q66" t="n">
        <v>2069</v>
      </c>
      <c r="R66" t="inlineStr">
        <is>
          <t>leaf pulverized</t>
        </is>
      </c>
      <c r="S66" t="inlineStr">
        <is>
          <t>Galeras</t>
        </is>
      </c>
      <c r="T66" t="n">
        <v>1000</v>
      </c>
    </row>
    <row r="67">
      <c r="A67" s="1" t="n">
        <v>10</v>
      </c>
      <c r="B67" t="n">
        <v>24</v>
      </c>
      <c r="C67" t="inlineStr">
        <is>
          <t>Phyllanthaceae</t>
        </is>
      </c>
      <c r="D67" t="inlineStr">
        <is>
          <t>Hieronyma</t>
        </is>
      </c>
      <c r="E67" t="inlineStr">
        <is>
          <t>oblonga</t>
        </is>
      </c>
      <c r="F67" t="inlineStr">
        <is>
          <t>GAL_24</t>
        </is>
      </c>
      <c r="G67" t="n">
        <v>595</v>
      </c>
      <c r="H67" t="n">
        <v>8654</v>
      </c>
      <c r="I67" t="n">
        <v>44.1506423229927</v>
      </c>
      <c r="J67" t="n">
        <v>-31.1408309707465</v>
      </c>
      <c r="K67" t="inlineStr">
        <is>
          <t>p24-595</t>
        </is>
      </c>
      <c r="L67" t="n">
        <v>2006</v>
      </c>
      <c r="M67" t="n">
        <v>0.01792686443191889</v>
      </c>
      <c r="N67" t="n">
        <v>0.4310417131105663</v>
      </c>
      <c r="O67" t="n">
        <v>-1.99</v>
      </c>
      <c r="P67" t="n">
        <v>-32.18</v>
      </c>
      <c r="Q67" t="n">
        <v>3689</v>
      </c>
      <c r="R67" t="inlineStr">
        <is>
          <t>leaf pulverized</t>
        </is>
      </c>
      <c r="S67" t="inlineStr">
        <is>
          <t>Galeras</t>
        </is>
      </c>
      <c r="T67" t="n">
        <v>1000</v>
      </c>
    </row>
    <row r="68">
      <c r="A68" s="1" t="n">
        <v>67</v>
      </c>
      <c r="B68" t="n">
        <v>24</v>
      </c>
      <c r="C68" t="inlineStr">
        <is>
          <t>Phyllanthaceae</t>
        </is>
      </c>
      <c r="D68" t="inlineStr">
        <is>
          <t>Hieronyma</t>
        </is>
      </c>
      <c r="E68" t="inlineStr">
        <is>
          <t>oblonga</t>
        </is>
      </c>
      <c r="F68" t="inlineStr">
        <is>
          <t>GAL_24</t>
        </is>
      </c>
      <c r="G68" t="n">
        <v>595</v>
      </c>
      <c r="H68" t="n">
        <v>8654</v>
      </c>
      <c r="I68" t="n">
        <v>45.0157176833454</v>
      </c>
      <c r="J68" t="n">
        <v>-31.481073004197</v>
      </c>
      <c r="K68" t="inlineStr">
        <is>
          <t>p24-8654</t>
        </is>
      </c>
      <c r="L68" t="n">
        <v>2025</v>
      </c>
      <c r="M68" t="inlineStr"/>
      <c r="N68" t="inlineStr"/>
      <c r="O68" t="inlineStr"/>
      <c r="P68" t="inlineStr"/>
      <c r="Q68" t="n">
        <v>3689</v>
      </c>
      <c r="R68" t="inlineStr">
        <is>
          <t>leaf pulverized</t>
        </is>
      </c>
      <c r="S68" t="inlineStr">
        <is>
          <t>Galeras</t>
        </is>
      </c>
      <c r="T68" t="n">
        <v>1000</v>
      </c>
    </row>
    <row r="69">
      <c r="A69" s="1" t="n">
        <v>33</v>
      </c>
      <c r="B69" t="n">
        <v>24</v>
      </c>
      <c r="C69" t="inlineStr">
        <is>
          <t>Rubiaceae</t>
        </is>
      </c>
      <c r="D69" t="inlineStr"/>
      <c r="E69" t="inlineStr"/>
      <c r="F69" t="inlineStr">
        <is>
          <t>GAL_24</t>
        </is>
      </c>
      <c r="G69" t="n">
        <v>592</v>
      </c>
      <c r="H69" t="n">
        <v>8656</v>
      </c>
      <c r="I69" t="n">
        <v>43.4558903121359</v>
      </c>
      <c r="J69" t="n">
        <v>-29.0353282449297</v>
      </c>
      <c r="K69" t="inlineStr">
        <is>
          <t>p24-592</t>
        </is>
      </c>
      <c r="L69" t="n">
        <v>2006</v>
      </c>
      <c r="M69" t="n">
        <v>0.03436025577825637</v>
      </c>
      <c r="N69" t="n">
        <v>0.4726888591846104</v>
      </c>
      <c r="O69" t="n">
        <v>-0.22</v>
      </c>
      <c r="P69" t="n">
        <v>-31.74</v>
      </c>
      <c r="Q69" t="n">
        <v>3686</v>
      </c>
      <c r="R69" t="inlineStr">
        <is>
          <t>leaf pulverized</t>
        </is>
      </c>
      <c r="S69" t="inlineStr">
        <is>
          <t>Galeras</t>
        </is>
      </c>
      <c r="T69" t="n">
        <v>1000</v>
      </c>
    </row>
    <row r="70">
      <c r="A70" s="1" t="n">
        <v>46</v>
      </c>
      <c r="B70" t="n">
        <v>24</v>
      </c>
      <c r="C70" t="inlineStr">
        <is>
          <t>Rubiaceae</t>
        </is>
      </c>
      <c r="D70" t="inlineStr"/>
      <c r="E70" t="inlineStr"/>
      <c r="F70" t="inlineStr">
        <is>
          <t>GAL_24</t>
        </is>
      </c>
      <c r="G70" t="n">
        <v>592</v>
      </c>
      <c r="H70" t="n">
        <v>8656</v>
      </c>
      <c r="I70" t="n">
        <v>42.851590238464</v>
      </c>
      <c r="J70" t="n">
        <v>-31.0041351007367</v>
      </c>
      <c r="K70" t="inlineStr">
        <is>
          <t>p24-8656</t>
        </is>
      </c>
      <c r="L70" t="n">
        <v>2025</v>
      </c>
      <c r="M70" t="inlineStr"/>
      <c r="N70" t="inlineStr"/>
      <c r="O70" t="inlineStr"/>
      <c r="P70" t="inlineStr"/>
      <c r="Q70" t="n">
        <v>3686</v>
      </c>
      <c r="R70" t="inlineStr">
        <is>
          <t>leaf pulverized</t>
        </is>
      </c>
      <c r="S70" t="inlineStr">
        <is>
          <t>Galeras</t>
        </is>
      </c>
      <c r="T70" t="n">
        <v>1000</v>
      </c>
    </row>
    <row r="71">
      <c r="A71" s="1" t="n">
        <v>9</v>
      </c>
      <c r="B71" t="n">
        <v>24</v>
      </c>
      <c r="C71" t="inlineStr">
        <is>
          <t>Lacistemataceae</t>
        </is>
      </c>
      <c r="D71" t="inlineStr">
        <is>
          <t>Lacistema</t>
        </is>
      </c>
      <c r="E71" t="inlineStr"/>
      <c r="F71" t="inlineStr">
        <is>
          <t>GAL_24</t>
        </is>
      </c>
      <c r="G71" t="n">
        <v>596</v>
      </c>
      <c r="H71" t="inlineStr"/>
      <c r="I71" t="n">
        <v>44.8594569938198</v>
      </c>
      <c r="J71" t="n">
        <v>-30.0710220971368</v>
      </c>
      <c r="K71" t="inlineStr">
        <is>
          <t>p24-596</t>
        </is>
      </c>
      <c r="L71" t="n">
        <v>2006</v>
      </c>
      <c r="M71" t="n">
        <v>0.01928446678633658</v>
      </c>
      <c r="N71" t="n">
        <v>0.427318833293711</v>
      </c>
      <c r="O71" t="n">
        <v>-1.860850086157381</v>
      </c>
      <c r="P71" t="n">
        <v>-31.41884606382149</v>
      </c>
      <c r="Q71" t="n">
        <v>2070</v>
      </c>
      <c r="R71" t="inlineStr">
        <is>
          <t>leaf pulverized</t>
        </is>
      </c>
      <c r="S71" t="inlineStr">
        <is>
          <t>Galeras</t>
        </is>
      </c>
      <c r="T71" t="n">
        <v>1000</v>
      </c>
    </row>
    <row r="72">
      <c r="A72" s="1" t="n">
        <v>11</v>
      </c>
      <c r="B72" t="n">
        <v>24</v>
      </c>
      <c r="C72" t="inlineStr">
        <is>
          <t>Phyllanthaceae</t>
        </is>
      </c>
      <c r="D72" t="inlineStr">
        <is>
          <t>Hieronyma</t>
        </is>
      </c>
      <c r="E72" t="inlineStr">
        <is>
          <t>oblonga</t>
        </is>
      </c>
      <c r="F72" t="inlineStr">
        <is>
          <t>GAL_24</t>
        </is>
      </c>
      <c r="G72" t="n">
        <v>586</v>
      </c>
      <c r="H72" t="inlineStr"/>
      <c r="I72" t="n">
        <v>43.0454571079634</v>
      </c>
      <c r="J72" t="n">
        <v>-29.0879635790358</v>
      </c>
      <c r="K72" t="inlineStr">
        <is>
          <t>p24-586</t>
        </is>
      </c>
      <c r="L72" t="n">
        <v>2006</v>
      </c>
      <c r="M72" t="n">
        <v>0.02350003106563501</v>
      </c>
      <c r="N72" t="n">
        <v>0.4433682462362868</v>
      </c>
      <c r="O72" t="n">
        <v>-0.4878460654796098</v>
      </c>
      <c r="P72" t="n">
        <v>-31.18951002574706</v>
      </c>
      <c r="Q72" t="inlineStr"/>
      <c r="R72" t="inlineStr">
        <is>
          <t>leaf pulverized</t>
        </is>
      </c>
      <c r="S72" t="inlineStr">
        <is>
          <t>Galeras</t>
        </is>
      </c>
      <c r="T72" t="n">
        <v>1000</v>
      </c>
    </row>
    <row r="73">
      <c r="A73" s="1" t="n">
        <v>13</v>
      </c>
      <c r="B73" t="n">
        <v>24</v>
      </c>
      <c r="C73" t="inlineStr">
        <is>
          <t>Lauraceae</t>
        </is>
      </c>
      <c r="D73" t="inlineStr">
        <is>
          <t>Ocotea</t>
        </is>
      </c>
      <c r="E73" t="inlineStr">
        <is>
          <t>floribunda</t>
        </is>
      </c>
      <c r="F73" t="inlineStr">
        <is>
          <t>GAL_24</t>
        </is>
      </c>
      <c r="G73" t="n">
        <v>583</v>
      </c>
      <c r="H73" t="inlineStr"/>
      <c r="I73" t="n">
        <v>45.527935008181</v>
      </c>
      <c r="J73" t="n">
        <v>-29.6269552131774</v>
      </c>
      <c r="K73" t="inlineStr">
        <is>
          <t>p24-583</t>
        </is>
      </c>
      <c r="L73" t="n">
        <v>2006</v>
      </c>
      <c r="M73" t="n">
        <v>0.01405546410699842</v>
      </c>
      <c r="N73" t="n">
        <v>0.4902381907905758</v>
      </c>
      <c r="O73" t="n">
        <v>-1.26</v>
      </c>
      <c r="P73" t="n">
        <v>-32.44</v>
      </c>
      <c r="Q73" t="n">
        <v>3683</v>
      </c>
      <c r="R73" t="inlineStr">
        <is>
          <t>leaf pulverized</t>
        </is>
      </c>
      <c r="S73" t="inlineStr">
        <is>
          <t>Galeras</t>
        </is>
      </c>
      <c r="T73" t="n">
        <v>1000</v>
      </c>
    </row>
    <row r="74">
      <c r="A74" s="1" t="n">
        <v>34</v>
      </c>
      <c r="B74" t="n">
        <v>24</v>
      </c>
      <c r="C74" t="inlineStr">
        <is>
          <t>Vochysiaceae</t>
        </is>
      </c>
      <c r="D74" t="inlineStr"/>
      <c r="E74" t="inlineStr"/>
      <c r="F74" t="inlineStr">
        <is>
          <t>GAL_24</t>
        </is>
      </c>
      <c r="G74" t="n">
        <v>584</v>
      </c>
      <c r="H74" t="inlineStr"/>
      <c r="I74" t="n">
        <v>43.7746904746501</v>
      </c>
      <c r="J74" t="n">
        <v>-30.6557937400044</v>
      </c>
      <c r="K74" t="inlineStr">
        <is>
          <t>p24-584</t>
        </is>
      </c>
      <c r="L74" t="n">
        <v>2006</v>
      </c>
      <c r="M74" t="n">
        <v>0.01440119444329544</v>
      </c>
      <c r="N74" t="n">
        <v>0.4583137739041457</v>
      </c>
      <c r="O74" t="n">
        <v>-0.85</v>
      </c>
      <c r="P74" t="n">
        <v>-32.36</v>
      </c>
      <c r="Q74" t="n">
        <v>2079</v>
      </c>
      <c r="R74" t="inlineStr">
        <is>
          <t>leaf pulverized</t>
        </is>
      </c>
      <c r="S74" t="inlineStr">
        <is>
          <t>Galeras</t>
        </is>
      </c>
      <c r="T74" t="n">
        <v>1000</v>
      </c>
    </row>
    <row r="75">
      <c r="A75" s="1" t="n">
        <v>43</v>
      </c>
      <c r="B75" t="n">
        <v>24</v>
      </c>
      <c r="C75" t="inlineStr">
        <is>
          <t>Lacistemataceae</t>
        </is>
      </c>
      <c r="D75" t="inlineStr">
        <is>
          <t>Lacistema</t>
        </is>
      </c>
      <c r="E75" t="inlineStr"/>
      <c r="F75" t="inlineStr">
        <is>
          <t>GAL_24</t>
        </is>
      </c>
      <c r="G75" t="n">
        <v>596</v>
      </c>
      <c r="H75" t="inlineStr"/>
      <c r="I75" t="n">
        <v>45.3839858150379</v>
      </c>
      <c r="J75" t="n">
        <v>-30.2505650268338</v>
      </c>
      <c r="K75" t="inlineStr">
        <is>
          <t>jh-2070</t>
        </is>
      </c>
      <c r="L75" t="n">
        <v>2006</v>
      </c>
      <c r="M75" t="inlineStr"/>
      <c r="N75" t="inlineStr"/>
      <c r="O75" t="inlineStr"/>
      <c r="P75" t="inlineStr"/>
      <c r="Q75" t="n">
        <v>2070</v>
      </c>
      <c r="R75" t="inlineStr">
        <is>
          <t>leaf herbarium</t>
        </is>
      </c>
      <c r="S75" t="inlineStr">
        <is>
          <t>Galeras</t>
        </is>
      </c>
      <c r="T75" t="n">
        <v>1000</v>
      </c>
    </row>
    <row r="76">
      <c r="A76" s="1" t="n">
        <v>96</v>
      </c>
      <c r="B76" t="n">
        <v>24</v>
      </c>
      <c r="C76" t="inlineStr">
        <is>
          <t>Lauraceae</t>
        </is>
      </c>
      <c r="D76" t="inlineStr">
        <is>
          <t>Ocotea</t>
        </is>
      </c>
      <c r="E76" t="inlineStr">
        <is>
          <t>floribunda</t>
        </is>
      </c>
      <c r="F76" t="inlineStr">
        <is>
          <t>GAL_24</t>
        </is>
      </c>
      <c r="G76" t="n">
        <v>583</v>
      </c>
      <c r="H76" t="inlineStr"/>
      <c r="I76" t="n">
        <v>0.4597</v>
      </c>
      <c r="J76" t="n">
        <v>-30.1</v>
      </c>
      <c r="K76" t="inlineStr">
        <is>
          <t>jh-p24-3683</t>
        </is>
      </c>
      <c r="L76" t="n">
        <v>2006</v>
      </c>
      <c r="M76" t="inlineStr"/>
      <c r="N76" t="inlineStr"/>
      <c r="O76" t="inlineStr"/>
      <c r="P76" t="inlineStr"/>
      <c r="Q76" t="n">
        <v>3683</v>
      </c>
      <c r="R76" t="inlineStr">
        <is>
          <t>leaf herbarium</t>
        </is>
      </c>
      <c r="S76" t="inlineStr">
        <is>
          <t>Galeras</t>
        </is>
      </c>
      <c r="T76" t="n">
        <v>1000</v>
      </c>
    </row>
    <row r="77">
      <c r="A77" s="1" t="n">
        <v>61</v>
      </c>
      <c r="B77" t="n">
        <v>28</v>
      </c>
      <c r="C77" t="inlineStr">
        <is>
          <t>Peraceae</t>
        </is>
      </c>
      <c r="D77" t="inlineStr">
        <is>
          <t>Chaetocarpus</t>
        </is>
      </c>
      <c r="E77" t="inlineStr"/>
      <c r="F77" t="inlineStr">
        <is>
          <t>GAL_28</t>
        </is>
      </c>
      <c r="G77" t="n">
        <v>757</v>
      </c>
      <c r="H77" t="n">
        <v>8702</v>
      </c>
      <c r="I77" t="n">
        <v>44.17</v>
      </c>
      <c r="J77" t="n">
        <v>-31.78</v>
      </c>
      <c r="K77" t="inlineStr">
        <is>
          <t>jh-3580</t>
        </is>
      </c>
      <c r="L77" t="n">
        <v>2006</v>
      </c>
      <c r="M77" t="inlineStr"/>
      <c r="N77" t="inlineStr"/>
      <c r="O77" t="inlineStr"/>
      <c r="P77" t="inlineStr"/>
      <c r="Q77" t="inlineStr">
        <is>
          <t>3580</t>
        </is>
      </c>
      <c r="R77" t="inlineStr">
        <is>
          <t>leaf herbarium</t>
        </is>
      </c>
      <c r="S77" t="inlineStr">
        <is>
          <t>Galeras</t>
        </is>
      </c>
      <c r="T77" t="n">
        <v>2000</v>
      </c>
    </row>
    <row r="78">
      <c r="A78" s="1" t="n">
        <v>17</v>
      </c>
      <c r="B78" t="n">
        <v>28</v>
      </c>
      <c r="C78" t="inlineStr">
        <is>
          <t>Peraceae</t>
        </is>
      </c>
      <c r="D78" t="inlineStr">
        <is>
          <t>Chaetocarpus</t>
        </is>
      </c>
      <c r="E78" t="inlineStr"/>
      <c r="F78" t="inlineStr">
        <is>
          <t>GAL_28</t>
        </is>
      </c>
      <c r="G78" t="n">
        <v>757</v>
      </c>
      <c r="H78" t="n">
        <v>8702</v>
      </c>
      <c r="I78" t="n">
        <v>42.5086207928534</v>
      </c>
      <c r="J78" t="n">
        <v>-31.1912963223841</v>
      </c>
      <c r="K78" t="inlineStr">
        <is>
          <t>p28-8702</t>
        </is>
      </c>
      <c r="L78" t="n">
        <v>2025</v>
      </c>
      <c r="M78" t="n">
        <v>0.010451804</v>
      </c>
      <c r="N78" t="n">
        <v>0.348523842</v>
      </c>
      <c r="O78" t="n">
        <v>1.528058080808079</v>
      </c>
      <c r="P78" t="n">
        <v>-32.58184644750796</v>
      </c>
      <c r="Q78" t="inlineStr">
        <is>
          <t>3580</t>
        </is>
      </c>
      <c r="R78" t="inlineStr">
        <is>
          <t>leaf pulverized</t>
        </is>
      </c>
      <c r="S78" t="inlineStr">
        <is>
          <t>Galeras</t>
        </is>
      </c>
      <c r="T78" t="n">
        <v>2000</v>
      </c>
    </row>
    <row r="79">
      <c r="A79" s="1" t="n">
        <v>58</v>
      </c>
      <c r="B79" t="n">
        <v>28</v>
      </c>
      <c r="C79" t="inlineStr">
        <is>
          <t>Lauraceae</t>
        </is>
      </c>
      <c r="D79" t="inlineStr">
        <is>
          <t>Ocotea</t>
        </is>
      </c>
      <c r="E79" t="inlineStr">
        <is>
          <t>subrutilans</t>
        </is>
      </c>
      <c r="F79" t="inlineStr">
        <is>
          <t>GAL_28</t>
        </is>
      </c>
      <c r="G79" t="n">
        <v>755</v>
      </c>
      <c r="H79" t="n">
        <v>8708</v>
      </c>
      <c r="I79" t="n">
        <v>46.66</v>
      </c>
      <c r="J79" t="n">
        <v>-29.63</v>
      </c>
      <c r="K79" t="inlineStr">
        <is>
          <t>jh-3582</t>
        </is>
      </c>
      <c r="L79" t="n">
        <v>2006</v>
      </c>
      <c r="M79" t="inlineStr"/>
      <c r="N79" t="inlineStr"/>
      <c r="O79" t="inlineStr"/>
      <c r="P79" t="inlineStr"/>
      <c r="Q79" t="inlineStr">
        <is>
          <t>3582</t>
        </is>
      </c>
      <c r="R79" t="inlineStr">
        <is>
          <t>leaf herbarium</t>
        </is>
      </c>
      <c r="S79" t="inlineStr">
        <is>
          <t>Galeras</t>
        </is>
      </c>
      <c r="T79" t="n">
        <v>2000</v>
      </c>
    </row>
    <row r="80">
      <c r="A80" s="1" t="n">
        <v>5</v>
      </c>
      <c r="B80" t="n">
        <v>28</v>
      </c>
      <c r="C80" t="inlineStr">
        <is>
          <t>Lauraceae</t>
        </is>
      </c>
      <c r="D80" t="inlineStr">
        <is>
          <t>Ocotea</t>
        </is>
      </c>
      <c r="E80" t="inlineStr">
        <is>
          <t>subrutilans</t>
        </is>
      </c>
      <c r="F80" t="inlineStr">
        <is>
          <t>GAL_28</t>
        </is>
      </c>
      <c r="G80" t="n">
        <v>755</v>
      </c>
      <c r="H80" t="n">
        <v>8708</v>
      </c>
      <c r="I80" t="n">
        <v>44.7140793737736</v>
      </c>
      <c r="J80" t="n">
        <v>-30.2890504456658</v>
      </c>
      <c r="K80" t="inlineStr">
        <is>
          <t>p28-8708</t>
        </is>
      </c>
      <c r="L80" t="n">
        <v>2025</v>
      </c>
      <c r="M80" t="n">
        <v>0.013334221</v>
      </c>
      <c r="N80" t="n">
        <v>0.487449718</v>
      </c>
      <c r="O80" t="n">
        <v>0.04838888888888647</v>
      </c>
      <c r="P80" t="n">
        <v>-31.73621166489926</v>
      </c>
      <c r="Q80" t="inlineStr">
        <is>
          <t>3582</t>
        </is>
      </c>
      <c r="R80" t="inlineStr">
        <is>
          <t>leaf pulverized</t>
        </is>
      </c>
      <c r="S80" t="inlineStr">
        <is>
          <t>Galeras</t>
        </is>
      </c>
      <c r="T80" t="n">
        <v>2000</v>
      </c>
    </row>
    <row r="81">
      <c r="A81" s="1" t="n">
        <v>19</v>
      </c>
      <c r="B81" t="n">
        <v>28</v>
      </c>
      <c r="C81" t="inlineStr">
        <is>
          <t>Fabaceae</t>
        </is>
      </c>
      <c r="D81" t="inlineStr">
        <is>
          <t>Diplotropis</t>
        </is>
      </c>
      <c r="E81" t="inlineStr">
        <is>
          <t>aff purpurea</t>
        </is>
      </c>
      <c r="F81" t="inlineStr">
        <is>
          <t>GAL_28</t>
        </is>
      </c>
      <c r="G81" t="n">
        <v>748</v>
      </c>
      <c r="H81" t="n">
        <v>8711</v>
      </c>
      <c r="I81" t="n">
        <v>43.6843747584017</v>
      </c>
      <c r="J81" t="n">
        <v>-29.8149753765473</v>
      </c>
      <c r="K81" t="inlineStr">
        <is>
          <t>p28-8711</t>
        </is>
      </c>
      <c r="L81" t="n">
        <v>2025</v>
      </c>
      <c r="M81" t="n">
        <v>0.025007091</v>
      </c>
      <c r="N81" t="n">
        <v>0.469511845</v>
      </c>
      <c r="O81" t="n">
        <v>-0.7292474747474775</v>
      </c>
      <c r="P81" t="n">
        <v>-31.36495737009544</v>
      </c>
      <c r="Q81">
        <f>3579</f>
        <v/>
      </c>
      <c r="R81" t="inlineStr">
        <is>
          <t>leaf pulverized</t>
        </is>
      </c>
      <c r="S81" t="inlineStr">
        <is>
          <t>Galeras</t>
        </is>
      </c>
      <c r="T81" t="n">
        <v>2000</v>
      </c>
    </row>
    <row r="82">
      <c r="A82" s="1" t="n">
        <v>18</v>
      </c>
      <c r="B82" t="n">
        <v>28</v>
      </c>
      <c r="C82" t="inlineStr">
        <is>
          <t>Urticaceae</t>
        </is>
      </c>
      <c r="D82" t="inlineStr">
        <is>
          <t>Pourouma</t>
        </is>
      </c>
      <c r="E82" t="inlineStr">
        <is>
          <t>minor</t>
        </is>
      </c>
      <c r="F82" t="inlineStr">
        <is>
          <t>GAL_28</t>
        </is>
      </c>
      <c r="G82" t="inlineStr"/>
      <c r="H82" t="n">
        <v>8713</v>
      </c>
      <c r="I82" t="n">
        <v>41.4838720382917</v>
      </c>
      <c r="J82" t="n">
        <v>-30.3984872633766</v>
      </c>
      <c r="K82" t="inlineStr">
        <is>
          <t>p28-8713</t>
        </is>
      </c>
      <c r="L82" t="n">
        <v>2025</v>
      </c>
      <c r="M82" t="n">
        <v>0.018573859</v>
      </c>
      <c r="N82" t="n">
        <v>0.446465811</v>
      </c>
      <c r="O82" t="n">
        <v>0.4480075757575734</v>
      </c>
      <c r="P82" t="n">
        <v>-32.6437221633086</v>
      </c>
      <c r="Q82" t="inlineStr"/>
      <c r="R82" t="inlineStr">
        <is>
          <t>leaf pulverized</t>
        </is>
      </c>
      <c r="S82" t="inlineStr">
        <is>
          <t>Galeras</t>
        </is>
      </c>
      <c r="T82" t="n">
        <v>2000</v>
      </c>
    </row>
    <row r="83">
      <c r="A83" s="1" t="n">
        <v>0</v>
      </c>
      <c r="B83" t="n">
        <v>28</v>
      </c>
      <c r="C83" t="inlineStr">
        <is>
          <t>Rubiaceae</t>
        </is>
      </c>
      <c r="D83" t="inlineStr">
        <is>
          <t>Rubi28</t>
        </is>
      </c>
      <c r="E83" t="inlineStr"/>
      <c r="F83" t="inlineStr">
        <is>
          <t>GAL_28</t>
        </is>
      </c>
      <c r="G83" t="inlineStr"/>
      <c r="H83" t="n">
        <v>8715</v>
      </c>
      <c r="I83" t="n">
        <v>41.1444369347698</v>
      </c>
      <c r="J83" t="n">
        <v>-30.2891308227147</v>
      </c>
      <c r="K83" t="inlineStr">
        <is>
          <t>p28-8715</t>
        </is>
      </c>
      <c r="L83" t="n">
        <v>2025</v>
      </c>
      <c r="M83" t="n">
        <v>0.015008298</v>
      </c>
      <c r="N83" t="n">
        <v>0.478611059</v>
      </c>
      <c r="O83" t="n">
        <v>-1.398878787878791</v>
      </c>
      <c r="P83" t="n">
        <v>-32.71591049840934</v>
      </c>
      <c r="Q83" t="inlineStr"/>
      <c r="R83" t="inlineStr">
        <is>
          <t>leaf pulverized</t>
        </is>
      </c>
      <c r="S83" t="inlineStr">
        <is>
          <t>Galeras</t>
        </is>
      </c>
      <c r="T83" t="n">
        <v>2000</v>
      </c>
    </row>
    <row r="84">
      <c r="A84" s="1" t="n">
        <v>9</v>
      </c>
      <c r="B84" t="n">
        <v>28</v>
      </c>
      <c r="C84" t="inlineStr">
        <is>
          <t>Theaceae</t>
        </is>
      </c>
      <c r="D84" t="inlineStr">
        <is>
          <t>Gordonia</t>
        </is>
      </c>
      <c r="E84" t="inlineStr">
        <is>
          <t>fruticosa</t>
        </is>
      </c>
      <c r="F84" t="inlineStr">
        <is>
          <t>GAL_28</t>
        </is>
      </c>
      <c r="G84" t="n">
        <v>740</v>
      </c>
      <c r="H84" t="n">
        <v>8716</v>
      </c>
      <c r="I84" t="n">
        <v>44.4568875907566</v>
      </c>
      <c r="J84" t="n">
        <v>-28.6232503275406</v>
      </c>
      <c r="K84" t="inlineStr">
        <is>
          <t>p28-8716</t>
        </is>
      </c>
      <c r="L84" t="n">
        <v>2025</v>
      </c>
      <c r="M84" t="n">
        <v>0.011539571</v>
      </c>
      <c r="N84" t="n">
        <v>0.454169737</v>
      </c>
      <c r="O84" t="n">
        <v>-4.04500252525253</v>
      </c>
      <c r="P84" t="n">
        <v>-30.37494591728526</v>
      </c>
      <c r="Q84" t="inlineStr">
        <is>
          <t>2296</t>
        </is>
      </c>
      <c r="R84" t="inlineStr">
        <is>
          <t>leaf pulverized</t>
        </is>
      </c>
      <c r="S84" t="inlineStr">
        <is>
          <t>Galeras</t>
        </is>
      </c>
      <c r="T84" t="n">
        <v>2000</v>
      </c>
    </row>
    <row r="85">
      <c r="A85" s="1" t="n">
        <v>3</v>
      </c>
      <c r="B85" t="n">
        <v>28</v>
      </c>
      <c r="C85" t="inlineStr">
        <is>
          <t>Myristicaceae</t>
        </is>
      </c>
      <c r="D85" t="inlineStr">
        <is>
          <t>Virola</t>
        </is>
      </c>
      <c r="E85" t="inlineStr">
        <is>
          <t>obovata</t>
        </is>
      </c>
      <c r="F85" t="inlineStr">
        <is>
          <t>GAL_28</t>
        </is>
      </c>
      <c r="G85" t="n">
        <v>746</v>
      </c>
      <c r="H85" t="n">
        <v>8718</v>
      </c>
      <c r="I85" t="n">
        <v>48.1950414439901</v>
      </c>
      <c r="J85" t="n">
        <v>-30.343796248292</v>
      </c>
      <c r="K85" t="inlineStr">
        <is>
          <t>p28-8718</t>
        </is>
      </c>
      <c r="L85" t="n">
        <v>2025</v>
      </c>
      <c r="M85" t="n">
        <v>0.02316809</v>
      </c>
      <c r="N85" t="n">
        <v>0.498854583</v>
      </c>
      <c r="O85" t="n">
        <v>-0.437633838383841</v>
      </c>
      <c r="P85" t="n">
        <v>-31.94246405090138</v>
      </c>
      <c r="Q85">
        <f>3578</f>
        <v/>
      </c>
      <c r="R85" t="inlineStr">
        <is>
          <t>leaf pulverized</t>
        </is>
      </c>
      <c r="S85" t="inlineStr">
        <is>
          <t>Galeras</t>
        </is>
      </c>
      <c r="T85" t="n">
        <v>2000</v>
      </c>
    </row>
    <row r="86">
      <c r="A86" s="1" t="n">
        <v>92</v>
      </c>
      <c r="B86" t="n">
        <v>28</v>
      </c>
      <c r="C86" t="inlineStr">
        <is>
          <t>Moraceae</t>
        </is>
      </c>
      <c r="D86" t="inlineStr">
        <is>
          <t>Helicostylis</t>
        </is>
      </c>
      <c r="E86" t="inlineStr">
        <is>
          <t>tovariensis</t>
        </is>
      </c>
      <c r="F86" t="inlineStr">
        <is>
          <t>GAL_28</t>
        </is>
      </c>
      <c r="G86" t="n">
        <v>737</v>
      </c>
      <c r="H86" t="n">
        <v>8721</v>
      </c>
      <c r="I86" t="n">
        <v>0.4315</v>
      </c>
      <c r="J86" t="n">
        <v>-29.76</v>
      </c>
      <c r="K86" t="inlineStr">
        <is>
          <t>jh-p28-2311</t>
        </is>
      </c>
      <c r="L86" t="n">
        <v>2006</v>
      </c>
      <c r="M86" t="inlineStr"/>
      <c r="N86" t="inlineStr"/>
      <c r="O86" t="inlineStr"/>
      <c r="P86" t="inlineStr"/>
      <c r="Q86" t="inlineStr">
        <is>
          <t>2311</t>
        </is>
      </c>
      <c r="R86" t="inlineStr">
        <is>
          <t>leaf herbarium</t>
        </is>
      </c>
      <c r="S86" t="inlineStr">
        <is>
          <t>Galeras</t>
        </is>
      </c>
      <c r="T86" t="n">
        <v>2000</v>
      </c>
    </row>
    <row r="87">
      <c r="A87" s="1" t="n">
        <v>7</v>
      </c>
      <c r="B87" t="n">
        <v>28</v>
      </c>
      <c r="C87" t="inlineStr">
        <is>
          <t>Moraceae</t>
        </is>
      </c>
      <c r="D87" t="inlineStr">
        <is>
          <t>Helicostylis</t>
        </is>
      </c>
      <c r="E87" t="inlineStr">
        <is>
          <t>tovariensis</t>
        </is>
      </c>
      <c r="F87" t="inlineStr">
        <is>
          <t>GAL_28</t>
        </is>
      </c>
      <c r="G87" t="n">
        <v>737</v>
      </c>
      <c r="H87" t="n">
        <v>8721</v>
      </c>
      <c r="I87" t="n">
        <v>43.5912375771325</v>
      </c>
      <c r="J87" t="n">
        <v>-30.9151158293839</v>
      </c>
      <c r="K87" t="inlineStr">
        <is>
          <t>p28-8721</t>
        </is>
      </c>
      <c r="L87" t="n">
        <v>2025</v>
      </c>
      <c r="M87" t="n">
        <v>0.027895579</v>
      </c>
      <c r="N87" t="n">
        <v>0.414849194</v>
      </c>
      <c r="O87" t="n">
        <v>1.225643939393937</v>
      </c>
      <c r="P87" t="n">
        <v>-32.16934167550372</v>
      </c>
      <c r="Q87" t="inlineStr">
        <is>
          <t>2311</t>
        </is>
      </c>
      <c r="R87" t="inlineStr">
        <is>
          <t>leaf pulverized</t>
        </is>
      </c>
      <c r="S87" t="inlineStr">
        <is>
          <t>Galeras</t>
        </is>
      </c>
      <c r="T87" t="n">
        <v>2000</v>
      </c>
    </row>
    <row r="88">
      <c r="A88" s="1" t="n">
        <v>8</v>
      </c>
      <c r="B88" t="n">
        <v>28</v>
      </c>
      <c r="C88" t="inlineStr">
        <is>
          <t>Chrysobalanaceae</t>
        </is>
      </c>
      <c r="D88" t="inlineStr"/>
      <c r="E88" t="inlineStr"/>
      <c r="F88" t="inlineStr">
        <is>
          <t>GAL_28</t>
        </is>
      </c>
      <c r="G88" t="inlineStr"/>
      <c r="H88" t="n">
        <v>8721</v>
      </c>
      <c r="I88" t="n">
        <v>43.5912375771325</v>
      </c>
      <c r="J88" t="n">
        <v>-30.9151158293839</v>
      </c>
      <c r="K88" t="inlineStr">
        <is>
          <t>p28-8721</t>
        </is>
      </c>
      <c r="L88" t="n">
        <v>2025</v>
      </c>
      <c r="M88" t="n">
        <v>0.027895579</v>
      </c>
      <c r="N88" t="n">
        <v>0.414849194</v>
      </c>
      <c r="O88" t="n">
        <v>1.225643939393937</v>
      </c>
      <c r="P88" t="n">
        <v>-32.16934167550372</v>
      </c>
      <c r="Q88" t="inlineStr"/>
      <c r="R88" t="inlineStr">
        <is>
          <t>leaf pulverized</t>
        </is>
      </c>
      <c r="S88" t="inlineStr">
        <is>
          <t>Galeras</t>
        </is>
      </c>
      <c r="T88" t="n">
        <v>2000</v>
      </c>
    </row>
    <row r="89">
      <c r="A89" s="1" t="n">
        <v>90</v>
      </c>
      <c r="B89" t="n">
        <v>28</v>
      </c>
      <c r="C89" t="inlineStr">
        <is>
          <t>Rubiaceae</t>
        </is>
      </c>
      <c r="D89" t="inlineStr">
        <is>
          <t>Rubi28</t>
        </is>
      </c>
      <c r="E89" t="inlineStr"/>
      <c r="F89" t="inlineStr">
        <is>
          <t>GAL_28</t>
        </is>
      </c>
      <c r="G89" t="n">
        <v>738</v>
      </c>
      <c r="H89" t="n">
        <v>8723</v>
      </c>
      <c r="I89" t="n">
        <v>0.4551</v>
      </c>
      <c r="J89" t="n">
        <v>-31.8</v>
      </c>
      <c r="K89" t="inlineStr">
        <is>
          <t>jh-p28-2312</t>
        </is>
      </c>
      <c r="L89" t="n">
        <v>2006</v>
      </c>
      <c r="M89" t="inlineStr"/>
      <c r="N89" t="inlineStr"/>
      <c r="O89" t="inlineStr"/>
      <c r="P89" t="inlineStr"/>
      <c r="Q89" t="inlineStr">
        <is>
          <t>2312</t>
        </is>
      </c>
      <c r="R89" t="inlineStr">
        <is>
          <t>leaf herbarium</t>
        </is>
      </c>
      <c r="S89" t="inlineStr">
        <is>
          <t>Galeras</t>
        </is>
      </c>
      <c r="T89" t="n">
        <v>2000</v>
      </c>
    </row>
    <row r="90">
      <c r="A90" s="1" t="n">
        <v>71</v>
      </c>
      <c r="B90" t="n">
        <v>28</v>
      </c>
      <c r="C90" t="inlineStr">
        <is>
          <t>Rubiaceae</t>
        </is>
      </c>
      <c r="D90" t="inlineStr">
        <is>
          <t>Elaeagia</t>
        </is>
      </c>
      <c r="E90" t="inlineStr">
        <is>
          <t>mariae</t>
        </is>
      </c>
      <c r="F90" t="inlineStr">
        <is>
          <t>GAL_28</t>
        </is>
      </c>
      <c r="G90" t="n">
        <v>739</v>
      </c>
      <c r="H90" t="n">
        <v>8726</v>
      </c>
      <c r="I90" t="n">
        <v>47.09</v>
      </c>
      <c r="J90" t="n">
        <v>-27.91</v>
      </c>
      <c r="K90" t="inlineStr">
        <is>
          <t>jh-3581</t>
        </is>
      </c>
      <c r="L90" t="n">
        <v>2006</v>
      </c>
      <c r="M90" t="inlineStr"/>
      <c r="N90" t="inlineStr"/>
      <c r="O90" t="inlineStr"/>
      <c r="P90" t="inlineStr"/>
      <c r="Q90" t="inlineStr">
        <is>
          <t>3581</t>
        </is>
      </c>
      <c r="R90" t="inlineStr">
        <is>
          <t>leaf herbarium</t>
        </is>
      </c>
      <c r="S90" t="inlineStr">
        <is>
          <t>Galeras</t>
        </is>
      </c>
      <c r="T90" t="n">
        <v>2000</v>
      </c>
    </row>
    <row r="91">
      <c r="A91" s="1" t="n">
        <v>80</v>
      </c>
      <c r="B91" t="n">
        <v>28</v>
      </c>
      <c r="C91" t="inlineStr">
        <is>
          <t>Rubiaceae</t>
        </is>
      </c>
      <c r="D91" t="inlineStr">
        <is>
          <t>Elaeagia</t>
        </is>
      </c>
      <c r="E91" t="inlineStr">
        <is>
          <t>mariae</t>
        </is>
      </c>
      <c r="F91" t="inlineStr">
        <is>
          <t>GAL_28</t>
        </is>
      </c>
      <c r="G91" t="n">
        <v>739</v>
      </c>
      <c r="H91" t="n">
        <v>8726</v>
      </c>
      <c r="I91" t="n">
        <v>0.4369</v>
      </c>
      <c r="J91" t="n">
        <v>-26.37</v>
      </c>
      <c r="K91" t="inlineStr">
        <is>
          <t>jh-p28-3581</t>
        </is>
      </c>
      <c r="L91" t="n">
        <v>2006</v>
      </c>
      <c r="M91" t="inlineStr"/>
      <c r="N91" t="inlineStr"/>
      <c r="O91" t="inlineStr"/>
      <c r="P91" t="inlineStr"/>
      <c r="Q91" t="inlineStr">
        <is>
          <t>3581</t>
        </is>
      </c>
      <c r="R91" t="inlineStr">
        <is>
          <t>leaf herbarium</t>
        </is>
      </c>
      <c r="S91" t="inlineStr">
        <is>
          <t>Galeras</t>
        </is>
      </c>
      <c r="T91" t="n">
        <v>2000</v>
      </c>
    </row>
    <row r="92">
      <c r="A92" s="1" t="n">
        <v>1</v>
      </c>
      <c r="B92" t="n">
        <v>28</v>
      </c>
      <c r="C92" t="inlineStr">
        <is>
          <t>Rubiaceae</t>
        </is>
      </c>
      <c r="D92" t="inlineStr">
        <is>
          <t>Elaeagia</t>
        </is>
      </c>
      <c r="E92" t="inlineStr">
        <is>
          <t>mariae</t>
        </is>
      </c>
      <c r="F92" t="inlineStr">
        <is>
          <t>GAL_28</t>
        </is>
      </c>
      <c r="G92" t="n">
        <v>739</v>
      </c>
      <c r="H92" t="n">
        <v>8726</v>
      </c>
      <c r="I92" t="n">
        <v>43.9438583086035</v>
      </c>
      <c r="J92" t="n">
        <v>-29.1445559259646</v>
      </c>
      <c r="K92" t="inlineStr">
        <is>
          <t>p28-8726</t>
        </is>
      </c>
      <c r="L92" t="n">
        <v>2025</v>
      </c>
      <c r="M92" t="n">
        <v>0.012930682</v>
      </c>
      <c r="N92" t="n">
        <v>0.45821732</v>
      </c>
      <c r="O92" t="n">
        <v>-0.8156515151515178</v>
      </c>
      <c r="P92" t="n">
        <v>-31.40620784729586</v>
      </c>
      <c r="Q92" t="inlineStr">
        <is>
          <t>3581</t>
        </is>
      </c>
      <c r="R92" t="inlineStr">
        <is>
          <t>leaf pulverized</t>
        </is>
      </c>
      <c r="S92" t="inlineStr">
        <is>
          <t>Galeras</t>
        </is>
      </c>
      <c r="T92" t="n">
        <v>2000</v>
      </c>
    </row>
    <row r="93">
      <c r="A93" s="1" t="n">
        <v>65</v>
      </c>
      <c r="B93" t="n">
        <v>28</v>
      </c>
      <c r="C93" t="inlineStr">
        <is>
          <t>Sapotaceae</t>
        </is>
      </c>
      <c r="D93" t="inlineStr">
        <is>
          <t>Sapo28</t>
        </is>
      </c>
      <c r="E93" t="inlineStr"/>
      <c r="F93" t="inlineStr">
        <is>
          <t>GAL_28</t>
        </is>
      </c>
      <c r="G93" t="n">
        <v>726</v>
      </c>
      <c r="H93" t="n">
        <v>8733</v>
      </c>
      <c r="I93" t="n">
        <v>45.63</v>
      </c>
      <c r="J93" t="n">
        <v>-29.26</v>
      </c>
      <c r="K93" t="inlineStr">
        <is>
          <t>jh-3601</t>
        </is>
      </c>
      <c r="L93" t="n">
        <v>2006</v>
      </c>
      <c r="M93" t="inlineStr"/>
      <c r="N93" t="inlineStr"/>
      <c r="O93" t="inlineStr"/>
      <c r="P93" t="inlineStr"/>
      <c r="Q93" t="inlineStr">
        <is>
          <t>3601</t>
        </is>
      </c>
      <c r="R93" t="inlineStr">
        <is>
          <t>leaf herbarium</t>
        </is>
      </c>
      <c r="S93" t="inlineStr">
        <is>
          <t>Galeras</t>
        </is>
      </c>
      <c r="T93" t="n">
        <v>2000</v>
      </c>
    </row>
    <row r="94">
      <c r="A94" s="1" t="n">
        <v>4</v>
      </c>
      <c r="B94" t="n">
        <v>28</v>
      </c>
      <c r="C94" t="inlineStr">
        <is>
          <t>Sapotaceae</t>
        </is>
      </c>
      <c r="D94" t="inlineStr">
        <is>
          <t>Sapo28</t>
        </is>
      </c>
      <c r="E94" t="inlineStr"/>
      <c r="F94" t="inlineStr">
        <is>
          <t>GAL_28</t>
        </is>
      </c>
      <c r="G94" t="n">
        <v>726</v>
      </c>
      <c r="H94" t="n">
        <v>8733</v>
      </c>
      <c r="I94" t="n">
        <v>46.3938398732814</v>
      </c>
      <c r="J94" t="n">
        <v>-29.1034967823109</v>
      </c>
      <c r="K94" t="inlineStr">
        <is>
          <t>p28-8733</t>
        </is>
      </c>
      <c r="L94" t="n">
        <v>2025</v>
      </c>
      <c r="M94" t="n">
        <v>0.016560271</v>
      </c>
      <c r="N94" t="n">
        <v>0.503014387</v>
      </c>
      <c r="O94" t="n">
        <v>-0.6212424242424268</v>
      </c>
      <c r="P94" t="n">
        <v>-31.08651664899258</v>
      </c>
      <c r="Q94" t="inlineStr">
        <is>
          <t>3601</t>
        </is>
      </c>
      <c r="R94" t="inlineStr">
        <is>
          <t>leaf pulverized</t>
        </is>
      </c>
      <c r="S94" t="inlineStr">
        <is>
          <t>Galeras</t>
        </is>
      </c>
      <c r="T94" t="n">
        <v>2000</v>
      </c>
    </row>
    <row r="95">
      <c r="A95" s="1" t="n">
        <v>66</v>
      </c>
      <c r="B95" t="n">
        <v>28</v>
      </c>
      <c r="C95" t="inlineStr">
        <is>
          <t>Fabaceae</t>
        </is>
      </c>
      <c r="D95" t="inlineStr">
        <is>
          <t>Diplotropis</t>
        </is>
      </c>
      <c r="E95" t="inlineStr">
        <is>
          <t>aff purpurea</t>
        </is>
      </c>
      <c r="F95" t="inlineStr">
        <is>
          <t>GAL_28</t>
        </is>
      </c>
      <c r="G95" t="n">
        <v>719</v>
      </c>
      <c r="H95" t="n">
        <v>8735</v>
      </c>
      <c r="I95" t="n">
        <v>44.99</v>
      </c>
      <c r="J95" t="n">
        <v>-30.63</v>
      </c>
      <c r="K95" t="inlineStr">
        <is>
          <t>jh-3579</t>
        </is>
      </c>
      <c r="L95" t="n">
        <v>2006</v>
      </c>
      <c r="M95" t="inlineStr"/>
      <c r="N95" t="inlineStr"/>
      <c r="O95" t="inlineStr"/>
      <c r="P95" t="inlineStr"/>
      <c r="Q95" t="inlineStr">
        <is>
          <t>3579,2295</t>
        </is>
      </c>
      <c r="R95" t="inlineStr">
        <is>
          <t>leaf herbarium</t>
        </is>
      </c>
      <c r="S95" t="inlineStr">
        <is>
          <t>Galeras</t>
        </is>
      </c>
      <c r="T95" t="n">
        <v>2000</v>
      </c>
    </row>
    <row r="96">
      <c r="A96" s="1" t="n">
        <v>2</v>
      </c>
      <c r="B96" t="n">
        <v>28</v>
      </c>
      <c r="C96" t="inlineStr">
        <is>
          <t>Fabaceae</t>
        </is>
      </c>
      <c r="D96" t="inlineStr">
        <is>
          <t>Diplotropis</t>
        </is>
      </c>
      <c r="E96" t="inlineStr">
        <is>
          <t>aff purpurea</t>
        </is>
      </c>
      <c r="F96" t="inlineStr">
        <is>
          <t>GAL_28</t>
        </is>
      </c>
      <c r="G96" t="n">
        <v>719</v>
      </c>
      <c r="H96" t="n">
        <v>8735</v>
      </c>
      <c r="I96" t="n">
        <v>43.0530253219559</v>
      </c>
      <c r="J96" t="n">
        <v>-30.4450094992612</v>
      </c>
      <c r="K96" t="inlineStr">
        <is>
          <t>p28-8735</t>
        </is>
      </c>
      <c r="L96" t="n">
        <v>2025</v>
      </c>
      <c r="M96" t="n">
        <v>0.022495804</v>
      </c>
      <c r="N96" t="n">
        <v>0.444235226</v>
      </c>
      <c r="O96" t="n">
        <v>-0.6968459595959623</v>
      </c>
      <c r="P96" t="n">
        <v>-32.54059597030753</v>
      </c>
      <c r="Q96" t="inlineStr">
        <is>
          <t>3579,2295</t>
        </is>
      </c>
      <c r="R96" t="inlineStr">
        <is>
          <t>leaf pulverized</t>
        </is>
      </c>
      <c r="S96" t="inlineStr">
        <is>
          <t>Galeras</t>
        </is>
      </c>
      <c r="T96" t="n">
        <v>2000</v>
      </c>
    </row>
    <row r="97">
      <c r="A97" s="1" t="n">
        <v>67</v>
      </c>
      <c r="B97" t="n">
        <v>28</v>
      </c>
      <c r="C97" t="inlineStr">
        <is>
          <t>Chrysobalanaceae</t>
        </is>
      </c>
      <c r="D97" t="inlineStr">
        <is>
          <t>Moquilea</t>
        </is>
      </c>
      <c r="E97" t="inlineStr">
        <is>
          <t>magnifructa</t>
        </is>
      </c>
      <c r="F97" t="inlineStr">
        <is>
          <t>GAL_28</t>
        </is>
      </c>
      <c r="G97" t="n">
        <v>716</v>
      </c>
      <c r="H97" t="n">
        <v>8736</v>
      </c>
      <c r="I97" t="n">
        <v>43.11</v>
      </c>
      <c r="J97" t="n">
        <v>-28.93</v>
      </c>
      <c r="K97" t="inlineStr">
        <is>
          <t>jh-3589</t>
        </is>
      </c>
      <c r="L97" t="n">
        <v>2006</v>
      </c>
      <c r="M97" t="inlineStr"/>
      <c r="N97" t="inlineStr"/>
      <c r="O97" t="inlineStr"/>
      <c r="P97" t="inlineStr"/>
      <c r="Q97" t="inlineStr">
        <is>
          <t>3589</t>
        </is>
      </c>
      <c r="R97" t="inlineStr">
        <is>
          <t>leaf herbarium</t>
        </is>
      </c>
      <c r="S97" t="inlineStr">
        <is>
          <t>Galeras</t>
        </is>
      </c>
      <c r="T97" t="n">
        <v>2000</v>
      </c>
    </row>
    <row r="98">
      <c r="A98" s="1" t="n">
        <v>110</v>
      </c>
      <c r="B98" t="n">
        <v>28</v>
      </c>
      <c r="C98" t="inlineStr">
        <is>
          <t>Rosaceae</t>
        </is>
      </c>
      <c r="D98" t="inlineStr">
        <is>
          <t>Prunus</t>
        </is>
      </c>
      <c r="E98" t="inlineStr">
        <is>
          <t>opaca</t>
        </is>
      </c>
      <c r="F98" t="inlineStr">
        <is>
          <t>GAL_28</t>
        </is>
      </c>
      <c r="G98" t="n">
        <v>715</v>
      </c>
      <c r="H98" t="n">
        <v>8738</v>
      </c>
      <c r="I98" t="n">
        <v>0.4646</v>
      </c>
      <c r="J98" t="n">
        <v>-27.28</v>
      </c>
      <c r="K98" t="inlineStr">
        <is>
          <t>jh-p28-3587</t>
        </is>
      </c>
      <c r="L98" t="n">
        <v>2006</v>
      </c>
      <c r="M98" t="inlineStr"/>
      <c r="N98" t="inlineStr"/>
      <c r="O98" t="inlineStr"/>
      <c r="P98" t="inlineStr"/>
      <c r="Q98" t="inlineStr">
        <is>
          <t>3587</t>
        </is>
      </c>
      <c r="R98" t="inlineStr">
        <is>
          <t>leaf herbarium</t>
        </is>
      </c>
      <c r="S98" t="inlineStr">
        <is>
          <t>Galeras</t>
        </is>
      </c>
      <c r="T98" t="n">
        <v>2000</v>
      </c>
    </row>
    <row r="99">
      <c r="A99" s="1" t="n">
        <v>40</v>
      </c>
      <c r="B99" t="n">
        <v>28</v>
      </c>
      <c r="C99" t="inlineStr">
        <is>
          <t>Rosaceae</t>
        </is>
      </c>
      <c r="D99" t="inlineStr">
        <is>
          <t>Prunus</t>
        </is>
      </c>
      <c r="E99" t="inlineStr">
        <is>
          <t>opaca</t>
        </is>
      </c>
      <c r="F99" t="inlineStr">
        <is>
          <t>GAL_28</t>
        </is>
      </c>
      <c r="G99" t="n">
        <v>715</v>
      </c>
      <c r="H99" t="n">
        <v>8738</v>
      </c>
      <c r="I99" t="n">
        <v>43.8414388746346</v>
      </c>
      <c r="J99" t="n">
        <v>-32.2611441649535</v>
      </c>
      <c r="K99" t="inlineStr">
        <is>
          <t>p28-8738</t>
        </is>
      </c>
      <c r="L99" t="n">
        <v>2025</v>
      </c>
      <c r="M99" t="n">
        <v>0.016373887</v>
      </c>
      <c r="N99" t="n">
        <v>0.458460268</v>
      </c>
      <c r="O99" t="n">
        <v>-0.9776590909090938</v>
      </c>
      <c r="P99" t="n">
        <v>-33.37591813361612</v>
      </c>
      <c r="Q99" t="inlineStr">
        <is>
          <t>3587</t>
        </is>
      </c>
      <c r="R99" t="inlineStr">
        <is>
          <t>leaf pulverized</t>
        </is>
      </c>
      <c r="S99" t="inlineStr">
        <is>
          <t>Galeras</t>
        </is>
      </c>
      <c r="T99" t="n">
        <v>2000</v>
      </c>
    </row>
    <row r="100">
      <c r="A100" s="1" t="n">
        <v>81</v>
      </c>
      <c r="B100" t="n">
        <v>28</v>
      </c>
      <c r="C100" t="inlineStr">
        <is>
          <t>Sapotaceae</t>
        </is>
      </c>
      <c r="D100" t="inlineStr">
        <is>
          <t>Cornuella</t>
        </is>
      </c>
      <c r="E100" t="inlineStr">
        <is>
          <t>venezuelanense</t>
        </is>
      </c>
      <c r="F100" t="inlineStr">
        <is>
          <t>GAL_23</t>
        </is>
      </c>
      <c r="G100" t="n">
        <v>564</v>
      </c>
      <c r="H100" t="n">
        <v>8974</v>
      </c>
      <c r="I100" t="n">
        <v>0.4054</v>
      </c>
      <c r="J100" t="n">
        <v>-29.37</v>
      </c>
      <c r="K100" t="inlineStr">
        <is>
          <t>p28-8974</t>
        </is>
      </c>
      <c r="L100" t="n">
        <v>2025</v>
      </c>
      <c r="M100" t="inlineStr"/>
      <c r="N100" t="inlineStr"/>
      <c r="O100" t="inlineStr"/>
      <c r="P100" t="inlineStr"/>
      <c r="Q100" t="inlineStr">
        <is>
          <t>3745</t>
        </is>
      </c>
      <c r="R100" t="inlineStr">
        <is>
          <t>leaf pulverized</t>
        </is>
      </c>
      <c r="S100" t="inlineStr">
        <is>
          <t>Galeras</t>
        </is>
      </c>
      <c r="T100" t="n">
        <v>2000</v>
      </c>
    </row>
    <row r="101">
      <c r="A101" s="1" t="n">
        <v>45</v>
      </c>
      <c r="B101" t="n">
        <v>28</v>
      </c>
      <c r="C101" t="inlineStr">
        <is>
          <t>Olacaceae</t>
        </is>
      </c>
      <c r="D101" t="inlineStr"/>
      <c r="E101" t="inlineStr"/>
      <c r="F101" t="inlineStr">
        <is>
          <t>GAL_28</t>
        </is>
      </c>
      <c r="G101" t="n">
        <v>724</v>
      </c>
      <c r="H101" t="inlineStr"/>
      <c r="I101" t="n">
        <v>53.8557358764967</v>
      </c>
      <c r="J101" t="n">
        <v>-29.2935503374764</v>
      </c>
      <c r="K101" t="inlineStr">
        <is>
          <t>jh-3600</t>
        </is>
      </c>
      <c r="L101" t="n">
        <v>2006</v>
      </c>
      <c r="M101" t="inlineStr"/>
      <c r="N101" t="inlineStr"/>
      <c r="O101" t="inlineStr"/>
      <c r="P101" t="inlineStr"/>
      <c r="Q101" t="inlineStr">
        <is>
          <t>3600</t>
        </is>
      </c>
      <c r="R101" t="inlineStr">
        <is>
          <t>leaf herbarium</t>
        </is>
      </c>
      <c r="S101" t="inlineStr">
        <is>
          <t>Galeras</t>
        </is>
      </c>
      <c r="T101" t="n">
        <v>2000</v>
      </c>
    </row>
    <row r="102">
      <c r="A102" s="1" t="n">
        <v>81</v>
      </c>
      <c r="B102" t="n">
        <v>28</v>
      </c>
      <c r="C102" t="inlineStr">
        <is>
          <t>Rubiaceae</t>
        </is>
      </c>
      <c r="D102" t="inlineStr">
        <is>
          <t>Ladenbergia</t>
        </is>
      </c>
      <c r="E102" t="inlineStr"/>
      <c r="F102" t="inlineStr">
        <is>
          <t>GAL_28</t>
        </is>
      </c>
      <c r="G102" t="n">
        <v>717</v>
      </c>
      <c r="H102" t="inlineStr"/>
      <c r="I102" t="n">
        <v>0.4521</v>
      </c>
      <c r="J102" t="n">
        <v>-32.32</v>
      </c>
      <c r="K102" t="inlineStr">
        <is>
          <t>jh-p28-2293</t>
        </is>
      </c>
      <c r="L102" t="n">
        <v>2006</v>
      </c>
      <c r="M102" t="inlineStr"/>
      <c r="N102" t="inlineStr"/>
      <c r="O102" t="inlineStr"/>
      <c r="P102" t="inlineStr"/>
      <c r="Q102" t="inlineStr">
        <is>
          <t>2293</t>
        </is>
      </c>
      <c r="R102" t="inlineStr">
        <is>
          <t>leaf herbarium</t>
        </is>
      </c>
      <c r="S102" t="inlineStr">
        <is>
          <t>Galeras</t>
        </is>
      </c>
      <c r="T102" t="n">
        <v>2000</v>
      </c>
    </row>
    <row r="103">
      <c r="A103" s="1" t="n">
        <v>89</v>
      </c>
      <c r="B103" t="n">
        <v>28</v>
      </c>
      <c r="C103" t="inlineStr">
        <is>
          <t>Sapindaceae</t>
        </is>
      </c>
      <c r="D103" t="inlineStr">
        <is>
          <t>Matayba</t>
        </is>
      </c>
      <c r="E103" t="inlineStr"/>
      <c r="F103" t="inlineStr">
        <is>
          <t>GAL_28</t>
        </is>
      </c>
      <c r="G103" t="n">
        <v>732</v>
      </c>
      <c r="H103" t="inlineStr"/>
      <c r="I103" t="n">
        <v>0.4788</v>
      </c>
      <c r="J103" t="n">
        <v>-30.17</v>
      </c>
      <c r="K103" t="inlineStr">
        <is>
          <t>jh-p28-3588</t>
        </is>
      </c>
      <c r="L103" t="n">
        <v>2006</v>
      </c>
      <c r="M103" t="inlineStr"/>
      <c r="N103" t="inlineStr"/>
      <c r="O103" t="inlineStr"/>
      <c r="P103" t="inlineStr"/>
      <c r="Q103" t="inlineStr">
        <is>
          <t>3588</t>
        </is>
      </c>
      <c r="R103" t="inlineStr">
        <is>
          <t>leaf herbarium</t>
        </is>
      </c>
      <c r="S103" t="inlineStr">
        <is>
          <t>Galeras</t>
        </is>
      </c>
      <c r="T103" t="n">
        <v>2000</v>
      </c>
    </row>
    <row r="104">
      <c r="A104" s="1" t="n">
        <v>105</v>
      </c>
      <c r="B104" t="n">
        <v>28</v>
      </c>
      <c r="C104" t="inlineStr">
        <is>
          <t>Myristicaceae</t>
        </is>
      </c>
      <c r="D104" t="inlineStr">
        <is>
          <t>Virola</t>
        </is>
      </c>
      <c r="E104" t="inlineStr">
        <is>
          <t>obovata</t>
        </is>
      </c>
      <c r="F104" t="inlineStr">
        <is>
          <t>GAL_28</t>
        </is>
      </c>
      <c r="G104" t="n">
        <v>731</v>
      </c>
      <c r="H104" t="inlineStr"/>
      <c r="I104" t="n">
        <v>0.5884</v>
      </c>
      <c r="J104" t="n">
        <v>-30.95</v>
      </c>
      <c r="K104" t="inlineStr">
        <is>
          <t>jh-p28-3578</t>
        </is>
      </c>
      <c r="L104" t="n">
        <v>2006</v>
      </c>
      <c r="M104" t="inlineStr"/>
      <c r="N104" t="inlineStr"/>
      <c r="O104" t="inlineStr"/>
      <c r="P104" t="inlineStr"/>
      <c r="Q104" t="inlineStr">
        <is>
          <t>3578</t>
        </is>
      </c>
      <c r="R104" t="inlineStr">
        <is>
          <t>leaf herbarium</t>
        </is>
      </c>
      <c r="S104" t="inlineStr">
        <is>
          <t>Galeras</t>
        </is>
      </c>
      <c r="T104" t="n">
        <v>2000</v>
      </c>
    </row>
    <row r="105">
      <c r="A105" s="1" t="n">
        <v>4</v>
      </c>
      <c r="B105" t="n">
        <v>29</v>
      </c>
      <c r="C105" t="inlineStr">
        <is>
          <t>Myrtaceae</t>
        </is>
      </c>
      <c r="D105" t="inlineStr">
        <is>
          <t>Eugenia</t>
        </is>
      </c>
      <c r="E105" t="inlineStr"/>
      <c r="F105" t="inlineStr">
        <is>
          <t>GAL_29</t>
        </is>
      </c>
      <c r="G105" t="n">
        <v>763</v>
      </c>
      <c r="H105" t="inlineStr"/>
      <c r="I105" t="n">
        <v>48.0030201741165</v>
      </c>
      <c r="J105" t="n">
        <v>-32.7973936923775</v>
      </c>
      <c r="K105" t="inlineStr">
        <is>
          <t>p29-763</t>
        </is>
      </c>
      <c r="L105" t="n">
        <v>2006</v>
      </c>
      <c r="M105" t="n">
        <v>0.02579598920779343</v>
      </c>
      <c r="N105" t="n">
        <v>0.4582337848686749</v>
      </c>
      <c r="O105" t="n">
        <v>5.863820335636722</v>
      </c>
      <c r="P105" t="n">
        <v>-33.21614289346554</v>
      </c>
      <c r="Q105" t="inlineStr">
        <is>
          <t>3785</t>
        </is>
      </c>
      <c r="R105" t="inlineStr">
        <is>
          <t>leaf pulverized</t>
        </is>
      </c>
      <c r="S105" t="inlineStr">
        <is>
          <t>Galeras</t>
        </is>
      </c>
      <c r="T105" t="n">
        <v>1000</v>
      </c>
    </row>
    <row r="106">
      <c r="A106" s="1" t="n">
        <v>5</v>
      </c>
      <c r="B106" t="n">
        <v>29</v>
      </c>
      <c r="C106" t="inlineStr">
        <is>
          <t>Violaceae</t>
        </is>
      </c>
      <c r="D106" t="inlineStr">
        <is>
          <t>Leonia</t>
        </is>
      </c>
      <c r="E106" t="inlineStr">
        <is>
          <t>glycycarpa</t>
        </is>
      </c>
      <c r="F106" t="inlineStr">
        <is>
          <t>GAL_29</t>
        </is>
      </c>
      <c r="G106" t="n">
        <v>768</v>
      </c>
      <c r="H106" t="inlineStr"/>
      <c r="I106" t="n">
        <v>43.3065397064424</v>
      </c>
      <c r="J106" t="n">
        <v>-29.5119266331101</v>
      </c>
      <c r="K106" t="inlineStr">
        <is>
          <t>p29-768</t>
        </is>
      </c>
      <c r="L106" t="n">
        <v>2006</v>
      </c>
      <c r="M106" t="n">
        <v>0.02231557524679357</v>
      </c>
      <c r="N106" t="n">
        <v>0.4483197037309758</v>
      </c>
      <c r="O106" t="n">
        <v>2.002339585389931</v>
      </c>
      <c r="P106" t="n">
        <v>-32.20649122807017</v>
      </c>
      <c r="Q106">
        <f>3762</f>
        <v/>
      </c>
      <c r="R106" t="inlineStr">
        <is>
          <t>leaf pulverized</t>
        </is>
      </c>
      <c r="S106" t="inlineStr">
        <is>
          <t>Galeras</t>
        </is>
      </c>
      <c r="T106" t="n">
        <v>1000</v>
      </c>
    </row>
    <row r="107">
      <c r="A107" s="1" t="n">
        <v>6</v>
      </c>
      <c r="B107" t="n">
        <v>29</v>
      </c>
      <c r="C107" t="inlineStr">
        <is>
          <t>Anacardiaceae</t>
        </is>
      </c>
      <c r="D107" t="inlineStr">
        <is>
          <t>Tapirira</t>
        </is>
      </c>
      <c r="E107" t="inlineStr">
        <is>
          <t>guianensis</t>
        </is>
      </c>
      <c r="F107" t="inlineStr">
        <is>
          <t>GAL_29</t>
        </is>
      </c>
      <c r="G107" t="n">
        <v>777</v>
      </c>
      <c r="H107" t="inlineStr"/>
      <c r="I107" t="n">
        <v>44.474674657016</v>
      </c>
      <c r="J107" t="n">
        <v>-29.3530869451066</v>
      </c>
      <c r="K107" t="inlineStr">
        <is>
          <t>p29-777</t>
        </is>
      </c>
      <c r="L107" t="n">
        <v>2006</v>
      </c>
      <c r="M107" t="n">
        <v>0.02035340091603006</v>
      </c>
      <c r="N107" t="n">
        <v>0.4650258464179985</v>
      </c>
      <c r="O107" t="n">
        <v>0.9106120434353404</v>
      </c>
      <c r="P107" t="n">
        <v>-30.9289727943046</v>
      </c>
      <c r="Q107" t="inlineStr">
        <is>
          <t>3790</t>
        </is>
      </c>
      <c r="R107" t="inlineStr">
        <is>
          <t>leaf pulverized</t>
        </is>
      </c>
      <c r="S107" t="inlineStr">
        <is>
          <t>Galeras</t>
        </is>
      </c>
      <c r="T107" t="n">
        <v>1000</v>
      </c>
    </row>
    <row r="108">
      <c r="A108" s="1" t="n">
        <v>7</v>
      </c>
      <c r="B108" t="n">
        <v>29</v>
      </c>
      <c r="C108" t="inlineStr">
        <is>
          <t>Phyllanthaceae</t>
        </is>
      </c>
      <c r="D108" t="inlineStr">
        <is>
          <t>Margaritaria</t>
        </is>
      </c>
      <c r="E108" t="inlineStr">
        <is>
          <t>nobilis</t>
        </is>
      </c>
      <c r="F108" t="inlineStr">
        <is>
          <t>GAL_29</t>
        </is>
      </c>
      <c r="G108" t="n">
        <v>781</v>
      </c>
      <c r="H108" t="inlineStr"/>
      <c r="I108" t="n">
        <v>43.9302353069817</v>
      </c>
      <c r="J108" t="n">
        <v>-32.7362039798789</v>
      </c>
      <c r="K108" t="inlineStr">
        <is>
          <t>p29-781</t>
        </is>
      </c>
      <c r="L108" t="n">
        <v>2006</v>
      </c>
      <c r="M108" t="n">
        <v>0.03035487404832049</v>
      </c>
      <c r="N108" t="n">
        <v>0.4438047110709548</v>
      </c>
      <c r="O108" t="n">
        <v>1.769842053307009</v>
      </c>
      <c r="P108" t="n">
        <v>-33.76217899822018</v>
      </c>
      <c r="Q108" t="inlineStr">
        <is>
          <t>3792</t>
        </is>
      </c>
      <c r="R108" t="inlineStr">
        <is>
          <t>leaf pulverized</t>
        </is>
      </c>
      <c r="S108" t="inlineStr">
        <is>
          <t>Galeras</t>
        </is>
      </c>
      <c r="T108" t="n">
        <v>1000</v>
      </c>
    </row>
    <row r="109">
      <c r="A109" s="1" t="n">
        <v>14</v>
      </c>
      <c r="B109" t="n">
        <v>29</v>
      </c>
      <c r="C109" t="inlineStr">
        <is>
          <t>Annonaceae</t>
        </is>
      </c>
      <c r="D109" t="inlineStr">
        <is>
          <t>Guatteria</t>
        </is>
      </c>
      <c r="E109" t="inlineStr">
        <is>
          <t>cf multivenia</t>
        </is>
      </c>
      <c r="F109" t="inlineStr">
        <is>
          <t>GAL_29</t>
        </is>
      </c>
      <c r="G109" t="n">
        <v>795</v>
      </c>
      <c r="H109" t="inlineStr"/>
      <c r="I109" t="n">
        <v>44.1960844937982</v>
      </c>
      <c r="J109" t="n">
        <v>-31.3592608763461</v>
      </c>
      <c r="K109" t="inlineStr">
        <is>
          <t>p29-795</t>
        </is>
      </c>
      <c r="L109" t="n">
        <v>2006</v>
      </c>
      <c r="M109" t="n">
        <v>0.01533899739410874</v>
      </c>
      <c r="N109" t="n">
        <v>0.4353491938687814</v>
      </c>
      <c r="O109" t="n">
        <v>0.4046065479609418</v>
      </c>
      <c r="P109" t="n">
        <v>-32.85468908480924</v>
      </c>
      <c r="Q109" t="inlineStr">
        <is>
          <t>3797</t>
        </is>
      </c>
      <c r="R109" t="inlineStr">
        <is>
          <t>leaf pulverized</t>
        </is>
      </c>
      <c r="S109" t="inlineStr">
        <is>
          <t>Galeras</t>
        </is>
      </c>
      <c r="T109" t="n">
        <v>1000</v>
      </c>
    </row>
    <row r="110">
      <c r="A110" s="1" t="n">
        <v>21</v>
      </c>
      <c r="B110" t="n">
        <v>29</v>
      </c>
      <c r="C110" t="inlineStr">
        <is>
          <t>Lacistemataceae</t>
        </is>
      </c>
      <c r="D110" t="inlineStr">
        <is>
          <t>Lozania</t>
        </is>
      </c>
      <c r="E110" t="inlineStr">
        <is>
          <t>mutisiana</t>
        </is>
      </c>
      <c r="F110" t="inlineStr">
        <is>
          <t>GAL_29</t>
        </is>
      </c>
      <c r="G110" t="n">
        <v>762</v>
      </c>
      <c r="H110" t="inlineStr"/>
      <c r="I110" t="n">
        <v>42.9007810460878</v>
      </c>
      <c r="J110" t="n">
        <v>-31.0084336493908</v>
      </c>
      <c r="K110" t="inlineStr">
        <is>
          <t>p29-762</t>
        </is>
      </c>
      <c r="L110" t="n">
        <v>2006</v>
      </c>
      <c r="M110" t="n">
        <v>0.01938491045921905</v>
      </c>
      <c r="N110" t="n">
        <v>0.4480625894250169</v>
      </c>
      <c r="O110" t="n">
        <v>0.2131194471865744</v>
      </c>
      <c r="P110" t="n">
        <v>-32.38163488431223</v>
      </c>
      <c r="Q110" t="inlineStr">
        <is>
          <t>3784</t>
        </is>
      </c>
      <c r="R110" t="inlineStr">
        <is>
          <t>leaf pulverized</t>
        </is>
      </c>
      <c r="S110" t="inlineStr">
        <is>
          <t>Galeras</t>
        </is>
      </c>
      <c r="T110" t="n">
        <v>1000</v>
      </c>
    </row>
    <row r="111">
      <c r="A111" s="1" t="n">
        <v>22</v>
      </c>
      <c r="B111" t="n">
        <v>29</v>
      </c>
      <c r="C111" t="inlineStr">
        <is>
          <t>Fabaceae</t>
        </is>
      </c>
      <c r="D111" t="inlineStr">
        <is>
          <t>Inga</t>
        </is>
      </c>
      <c r="E111" t="inlineStr">
        <is>
          <t>capitata</t>
        </is>
      </c>
      <c r="F111" t="inlineStr">
        <is>
          <t>GAL_29</t>
        </is>
      </c>
      <c r="G111" t="n">
        <v>793</v>
      </c>
      <c r="H111" t="inlineStr"/>
      <c r="I111" t="n">
        <v>44.284787471556</v>
      </c>
      <c r="J111" t="n">
        <v>-30.8766537667956</v>
      </c>
      <c r="K111" t="inlineStr">
        <is>
          <t>p29-793</t>
        </is>
      </c>
      <c r="L111" t="n">
        <v>2006</v>
      </c>
      <c r="M111" t="n">
        <v>0.02519147473075972</v>
      </c>
      <c r="N111" t="n">
        <v>0.4389243632531962</v>
      </c>
      <c r="O111" t="n">
        <v>3.417541954590325</v>
      </c>
      <c r="P111" t="n">
        <v>-32.61859394863971</v>
      </c>
      <c r="Q111">
        <f>3789</f>
        <v/>
      </c>
      <c r="R111" t="inlineStr">
        <is>
          <t>leaf pulverized</t>
        </is>
      </c>
      <c r="S111" t="inlineStr">
        <is>
          <t>Galeras</t>
        </is>
      </c>
      <c r="T111" t="n">
        <v>1000</v>
      </c>
    </row>
    <row r="112">
      <c r="A112" s="1" t="n">
        <v>29</v>
      </c>
      <c r="B112" t="n">
        <v>29</v>
      </c>
      <c r="C112" t="inlineStr">
        <is>
          <t>Moraceae</t>
        </is>
      </c>
      <c r="D112" t="inlineStr">
        <is>
          <t>Sorocea</t>
        </is>
      </c>
      <c r="E112" t="inlineStr">
        <is>
          <t>trophoides</t>
        </is>
      </c>
      <c r="F112" t="inlineStr">
        <is>
          <t>GAL_29</t>
        </is>
      </c>
      <c r="G112" t="n">
        <v>794</v>
      </c>
      <c r="H112" t="inlineStr"/>
      <c r="I112" t="n">
        <v>43.5287581436233</v>
      </c>
      <c r="J112" t="n">
        <v>-31.4707104604046</v>
      </c>
      <c r="K112" t="inlineStr">
        <is>
          <t>p29-794</t>
        </is>
      </c>
      <c r="L112" t="n">
        <v>2006</v>
      </c>
      <c r="M112" t="n">
        <v>0.01833311934127991</v>
      </c>
      <c r="N112" t="n">
        <v>0.348947582234213</v>
      </c>
      <c r="O112" t="n">
        <v>1.171200459506031</v>
      </c>
      <c r="P112" t="n">
        <v>-31.807720215339</v>
      </c>
      <c r="Q112" t="inlineStr">
        <is>
          <t>2502</t>
        </is>
      </c>
      <c r="R112" t="inlineStr">
        <is>
          <t>leaf pulverized</t>
        </is>
      </c>
      <c r="S112" t="inlineStr">
        <is>
          <t>Galeras</t>
        </is>
      </c>
      <c r="T112" t="n">
        <v>1000</v>
      </c>
    </row>
    <row r="113">
      <c r="A113" s="1" t="n">
        <v>30</v>
      </c>
      <c r="B113" t="n">
        <v>29</v>
      </c>
      <c r="C113" t="inlineStr">
        <is>
          <t>Fabaceae</t>
        </is>
      </c>
      <c r="D113" t="inlineStr">
        <is>
          <t>Inga</t>
        </is>
      </c>
      <c r="E113" t="inlineStr"/>
      <c r="F113" t="inlineStr">
        <is>
          <t>GAL_29</t>
        </is>
      </c>
      <c r="G113" t="n">
        <v>779</v>
      </c>
      <c r="H113" t="inlineStr"/>
      <c r="I113" t="n">
        <v>43.9631431367933</v>
      </c>
      <c r="J113" t="n">
        <v>-30.1573199362308</v>
      </c>
      <c r="K113" t="inlineStr">
        <is>
          <t>p29-779</t>
        </is>
      </c>
      <c r="L113" t="n">
        <v>2006</v>
      </c>
      <c r="M113" t="n">
        <v>0.02702442573378589</v>
      </c>
      <c r="N113" t="n">
        <v>0.4560308940757555</v>
      </c>
      <c r="O113" t="n">
        <v>4.883287265547877</v>
      </c>
      <c r="P113" t="n">
        <v>-32.2683066361556</v>
      </c>
      <c r="Q113" t="inlineStr">
        <is>
          <t>3791</t>
        </is>
      </c>
      <c r="R113" t="inlineStr">
        <is>
          <t>leaf pulverized</t>
        </is>
      </c>
      <c r="S113" t="inlineStr">
        <is>
          <t>Galeras</t>
        </is>
      </c>
      <c r="T113" t="n">
        <v>1000</v>
      </c>
    </row>
    <row r="114">
      <c r="A114" s="1" t="n">
        <v>40</v>
      </c>
      <c r="B114" t="n">
        <v>29</v>
      </c>
      <c r="C114" t="inlineStr">
        <is>
          <t>Chrysobalanaceae</t>
        </is>
      </c>
      <c r="D114" t="inlineStr">
        <is>
          <t>Hirtella</t>
        </is>
      </c>
      <c r="E114" t="inlineStr">
        <is>
          <t>cf. schultesii</t>
        </is>
      </c>
      <c r="F114" t="inlineStr">
        <is>
          <t>GAL_29</t>
        </is>
      </c>
      <c r="G114" t="n">
        <v>792</v>
      </c>
      <c r="H114" t="inlineStr"/>
      <c r="I114" t="inlineStr"/>
      <c r="J114" t="inlineStr"/>
      <c r="K114" t="inlineStr"/>
      <c r="L114" t="n">
        <v>2006</v>
      </c>
      <c r="M114" t="n">
        <v>0.01799237158760353</v>
      </c>
      <c r="N114" t="n">
        <v>0.3854376664498773</v>
      </c>
      <c r="O114" t="n">
        <v>1.274521224086871</v>
      </c>
      <c r="P114" t="n">
        <v>-33.11311721332316</v>
      </c>
      <c r="Q114" t="inlineStr">
        <is>
          <t>3796,2501</t>
        </is>
      </c>
      <c r="R114" t="inlineStr"/>
      <c r="S114" t="inlineStr">
        <is>
          <t>Galeras</t>
        </is>
      </c>
      <c r="T114" t="n">
        <v>1000</v>
      </c>
    </row>
    <row r="115">
      <c r="A115" s="1" t="n">
        <v>116</v>
      </c>
      <c r="B115" t="n">
        <v>29</v>
      </c>
      <c r="C115" t="inlineStr">
        <is>
          <t>Chrysobalanaceae</t>
        </is>
      </c>
      <c r="D115" t="inlineStr">
        <is>
          <t>Hirtella</t>
        </is>
      </c>
      <c r="E115" t="inlineStr">
        <is>
          <t>cf. schultesii</t>
        </is>
      </c>
      <c r="F115" t="inlineStr">
        <is>
          <t>GAL_29</t>
        </is>
      </c>
      <c r="G115" t="n">
        <v>792</v>
      </c>
      <c r="H115" t="inlineStr"/>
      <c r="I115" t="n">
        <v>0.3766</v>
      </c>
      <c r="J115" t="n">
        <v>-32.34</v>
      </c>
      <c r="K115" t="inlineStr">
        <is>
          <t>p29-792</t>
        </is>
      </c>
      <c r="L115" t="n">
        <v>2006</v>
      </c>
      <c r="M115" t="inlineStr"/>
      <c r="N115" t="inlineStr"/>
      <c r="O115" t="inlineStr"/>
      <c r="P115" t="inlineStr"/>
      <c r="Q115" t="inlineStr">
        <is>
          <t>3796,2501</t>
        </is>
      </c>
      <c r="R115" t="inlineStr">
        <is>
          <t>leaf pulverized</t>
        </is>
      </c>
      <c r="S115" t="inlineStr">
        <is>
          <t>Galeras</t>
        </is>
      </c>
      <c r="T115" t="n">
        <v>1000</v>
      </c>
    </row>
    <row r="116">
      <c r="A116" s="1" t="n">
        <v>59</v>
      </c>
      <c r="B116" t="n">
        <v>48</v>
      </c>
      <c r="C116" t="inlineStr">
        <is>
          <t>Moraceae</t>
        </is>
      </c>
      <c r="D116" t="inlineStr">
        <is>
          <t>Sorocea</t>
        </is>
      </c>
      <c r="E116" t="inlineStr">
        <is>
          <t>sp.</t>
        </is>
      </c>
      <c r="F116" t="inlineStr">
        <is>
          <t>GAL_48</t>
        </is>
      </c>
      <c r="G116" t="n">
        <v>1417</v>
      </c>
      <c r="H116" t="n">
        <v>8658</v>
      </c>
      <c r="I116" t="n">
        <v>44.99</v>
      </c>
      <c r="J116" t="n">
        <v>-30.11</v>
      </c>
      <c r="K116" t="inlineStr">
        <is>
          <t>jh-3706</t>
        </is>
      </c>
      <c r="L116" t="n">
        <v>2006</v>
      </c>
      <c r="M116" t="inlineStr"/>
      <c r="N116" t="inlineStr"/>
      <c r="O116" t="inlineStr"/>
      <c r="P116" t="inlineStr"/>
      <c r="Q116" t="inlineStr">
        <is>
          <t>3706</t>
        </is>
      </c>
      <c r="R116" t="inlineStr">
        <is>
          <t>leaf herbarium</t>
        </is>
      </c>
      <c r="S116" t="inlineStr">
        <is>
          <t>Galeras</t>
        </is>
      </c>
      <c r="T116" t="n">
        <v>1000</v>
      </c>
    </row>
    <row r="117">
      <c r="A117" s="1" t="n">
        <v>55</v>
      </c>
      <c r="B117" t="n">
        <v>48</v>
      </c>
      <c r="C117" t="inlineStr">
        <is>
          <t>Moraceae</t>
        </is>
      </c>
      <c r="D117" t="inlineStr">
        <is>
          <t>Sorocea</t>
        </is>
      </c>
      <c r="E117" t="inlineStr">
        <is>
          <t>sp.</t>
        </is>
      </c>
      <c r="F117" t="inlineStr">
        <is>
          <t>GAL_48</t>
        </is>
      </c>
      <c r="G117" t="n">
        <v>1417</v>
      </c>
      <c r="H117" t="n">
        <v>8658</v>
      </c>
      <c r="I117" t="n">
        <v>43.8677361203235</v>
      </c>
      <c r="J117" t="n">
        <v>-30.0566551236913</v>
      </c>
      <c r="K117" t="inlineStr">
        <is>
          <t>p48-8658</t>
        </is>
      </c>
      <c r="L117" t="n">
        <v>2025</v>
      </c>
      <c r="M117" t="inlineStr"/>
      <c r="N117" t="inlineStr"/>
      <c r="O117" t="inlineStr"/>
      <c r="P117" t="inlineStr"/>
      <c r="Q117" t="inlineStr">
        <is>
          <t>3706</t>
        </is>
      </c>
      <c r="R117" t="inlineStr">
        <is>
          <t>leaf pulverized</t>
        </is>
      </c>
      <c r="S117" t="inlineStr">
        <is>
          <t>Galeras</t>
        </is>
      </c>
      <c r="T117" t="n">
        <v>1000</v>
      </c>
    </row>
    <row r="118">
      <c r="A118" s="1" t="n">
        <v>76</v>
      </c>
      <c r="B118" t="n">
        <v>48</v>
      </c>
      <c r="C118" t="inlineStr">
        <is>
          <t>Annonaceae</t>
        </is>
      </c>
      <c r="D118" t="inlineStr"/>
      <c r="E118" t="inlineStr"/>
      <c r="F118" t="inlineStr">
        <is>
          <t>GAL_48</t>
        </is>
      </c>
      <c r="G118" t="n">
        <v>1413</v>
      </c>
      <c r="H118" t="n">
        <v>8663</v>
      </c>
      <c r="I118" t="n">
        <v>44.2462096729894</v>
      </c>
      <c r="J118" t="n">
        <v>-32.7004934252271</v>
      </c>
      <c r="K118" t="inlineStr">
        <is>
          <t>p48-8663</t>
        </is>
      </c>
      <c r="L118" t="n">
        <v>2025</v>
      </c>
      <c r="M118" t="inlineStr"/>
      <c r="N118" t="inlineStr"/>
      <c r="O118" t="inlineStr"/>
      <c r="P118" t="inlineStr"/>
      <c r="Q118" t="inlineStr">
        <is>
          <t>3705</t>
        </is>
      </c>
      <c r="R118" t="inlineStr">
        <is>
          <t>leaf pulverized</t>
        </is>
      </c>
      <c r="S118" t="inlineStr">
        <is>
          <t>Galeras</t>
        </is>
      </c>
      <c r="T118" t="n">
        <v>1000</v>
      </c>
    </row>
    <row r="119">
      <c r="A119" s="1" t="n">
        <v>48</v>
      </c>
      <c r="B119" t="n">
        <v>48</v>
      </c>
      <c r="C119" t="inlineStr">
        <is>
          <t>Moraceae</t>
        </is>
      </c>
      <c r="D119" t="inlineStr">
        <is>
          <t>Pseudolmedia</t>
        </is>
      </c>
      <c r="E119" t="inlineStr">
        <is>
          <t>laevis</t>
        </is>
      </c>
      <c r="F119" t="inlineStr">
        <is>
          <t>GAL_48</t>
        </is>
      </c>
      <c r="G119" t="n">
        <v>1414</v>
      </c>
      <c r="H119" t="n">
        <v>8664</v>
      </c>
      <c r="I119" t="n">
        <v>45.3228924257647</v>
      </c>
      <c r="J119" t="n">
        <v>-31.3997276174484</v>
      </c>
      <c r="K119" t="inlineStr">
        <is>
          <t>jh-3710</t>
        </is>
      </c>
      <c r="L119" t="n">
        <v>2006</v>
      </c>
      <c r="M119" t="inlineStr"/>
      <c r="N119" t="inlineStr"/>
      <c r="O119" t="inlineStr"/>
      <c r="P119" t="inlineStr"/>
      <c r="Q119" t="inlineStr">
        <is>
          <t>3710</t>
        </is>
      </c>
      <c r="R119" t="inlineStr">
        <is>
          <t>leaf herbarium</t>
        </is>
      </c>
      <c r="S119" t="inlineStr">
        <is>
          <t>Galeras</t>
        </is>
      </c>
      <c r="T119" t="n">
        <v>1000</v>
      </c>
    </row>
    <row r="120">
      <c r="A120" s="1" t="n">
        <v>100</v>
      </c>
      <c r="B120" t="n">
        <v>48</v>
      </c>
      <c r="C120" t="inlineStr">
        <is>
          <t>Moraceae</t>
        </is>
      </c>
      <c r="D120" t="inlineStr">
        <is>
          <t>Pseudolmedia</t>
        </is>
      </c>
      <c r="E120" t="inlineStr">
        <is>
          <t>laevis</t>
        </is>
      </c>
      <c r="F120" t="inlineStr">
        <is>
          <t>GAL_48</t>
        </is>
      </c>
      <c r="G120" t="n">
        <v>1414</v>
      </c>
      <c r="H120" t="n">
        <v>8664</v>
      </c>
      <c r="I120" t="n">
        <v>0.4586</v>
      </c>
      <c r="J120" t="n">
        <v>-31.48</v>
      </c>
      <c r="K120" t="inlineStr">
        <is>
          <t>jh-p48-3710</t>
        </is>
      </c>
      <c r="L120" t="n">
        <v>2006</v>
      </c>
      <c r="M120" t="inlineStr"/>
      <c r="N120" t="inlineStr"/>
      <c r="O120" t="inlineStr"/>
      <c r="P120" t="inlineStr"/>
      <c r="Q120" t="inlineStr">
        <is>
          <t>3710</t>
        </is>
      </c>
      <c r="R120" t="inlineStr">
        <is>
          <t>leaf herbarium</t>
        </is>
      </c>
      <c r="S120" t="inlineStr">
        <is>
          <t>Galeras</t>
        </is>
      </c>
      <c r="T120" t="n">
        <v>1000</v>
      </c>
    </row>
    <row r="121">
      <c r="A121" s="1" t="n">
        <v>48</v>
      </c>
      <c r="B121" t="n">
        <v>48</v>
      </c>
      <c r="C121" t="inlineStr">
        <is>
          <t>Moraceae</t>
        </is>
      </c>
      <c r="D121" t="inlineStr">
        <is>
          <t>Pseudolmedia</t>
        </is>
      </c>
      <c r="E121" t="inlineStr">
        <is>
          <t>laevis</t>
        </is>
      </c>
      <c r="F121" t="inlineStr">
        <is>
          <t>GAL_48</t>
        </is>
      </c>
      <c r="G121" t="n">
        <v>1414</v>
      </c>
      <c r="H121" t="n">
        <v>8664</v>
      </c>
      <c r="I121" t="n">
        <v>45.0237138290824</v>
      </c>
      <c r="J121" t="n">
        <v>-29.289136429301</v>
      </c>
      <c r="K121" t="inlineStr">
        <is>
          <t>p48-8664</t>
        </is>
      </c>
      <c r="L121" t="n">
        <v>2025</v>
      </c>
      <c r="M121" t="inlineStr"/>
      <c r="N121" t="inlineStr"/>
      <c r="O121" t="inlineStr"/>
      <c r="P121" t="inlineStr"/>
      <c r="Q121" t="inlineStr">
        <is>
          <t>3710</t>
        </is>
      </c>
      <c r="R121" t="inlineStr">
        <is>
          <t>leaf pulverized</t>
        </is>
      </c>
      <c r="S121" t="inlineStr">
        <is>
          <t>Galeras</t>
        </is>
      </c>
      <c r="T121" t="n">
        <v>1000</v>
      </c>
    </row>
    <row r="122">
      <c r="A122" s="1" t="n">
        <v>62</v>
      </c>
      <c r="B122" t="n">
        <v>48</v>
      </c>
      <c r="C122" t="inlineStr">
        <is>
          <t>Moraceae</t>
        </is>
      </c>
      <c r="D122" t="inlineStr">
        <is>
          <t>Helicostylis</t>
        </is>
      </c>
      <c r="E122" t="inlineStr">
        <is>
          <t>tomentosa</t>
        </is>
      </c>
      <c r="F122" t="inlineStr">
        <is>
          <t>GAL_48</t>
        </is>
      </c>
      <c r="G122" t="n">
        <v>1411</v>
      </c>
      <c r="H122" t="n">
        <v>8665</v>
      </c>
      <c r="I122" t="n">
        <v>46.66</v>
      </c>
      <c r="J122" t="n">
        <v>-25.47</v>
      </c>
      <c r="K122" t="inlineStr">
        <is>
          <t>jh-3696</t>
        </is>
      </c>
      <c r="L122" t="n">
        <v>2006</v>
      </c>
      <c r="M122" t="inlineStr"/>
      <c r="N122" t="inlineStr"/>
      <c r="O122" t="inlineStr"/>
      <c r="P122" t="inlineStr"/>
      <c r="Q122" t="inlineStr">
        <is>
          <t>3696</t>
        </is>
      </c>
      <c r="R122" t="inlineStr">
        <is>
          <t>leaf herbarium</t>
        </is>
      </c>
      <c r="S122" t="inlineStr">
        <is>
          <t>Galeras</t>
        </is>
      </c>
      <c r="T122" t="n">
        <v>1000</v>
      </c>
    </row>
    <row r="123">
      <c r="A123" s="1" t="n">
        <v>41</v>
      </c>
      <c r="B123" t="n">
        <v>48</v>
      </c>
      <c r="C123" t="inlineStr">
        <is>
          <t>Moraceae</t>
        </is>
      </c>
      <c r="D123" t="inlineStr">
        <is>
          <t>Helicostylis</t>
        </is>
      </c>
      <c r="E123" t="inlineStr">
        <is>
          <t>tomentosa</t>
        </is>
      </c>
      <c r="F123" t="inlineStr">
        <is>
          <t>GAL_48</t>
        </is>
      </c>
      <c r="G123" t="n">
        <v>1411</v>
      </c>
      <c r="H123" t="n">
        <v>8665</v>
      </c>
      <c r="I123" t="n">
        <v>43.5494988819161</v>
      </c>
      <c r="J123" t="n">
        <v>-26.7460878984196</v>
      </c>
      <c r="K123" t="inlineStr">
        <is>
          <t>p48-8665</t>
        </is>
      </c>
      <c r="L123" t="n">
        <v>2025</v>
      </c>
      <c r="M123" t="inlineStr"/>
      <c r="N123" t="inlineStr"/>
      <c r="O123" t="inlineStr"/>
      <c r="P123" t="inlineStr"/>
      <c r="Q123" t="inlineStr">
        <is>
          <t>3696</t>
        </is>
      </c>
      <c r="R123" t="inlineStr">
        <is>
          <t>leaf pulverized</t>
        </is>
      </c>
      <c r="S123" t="inlineStr">
        <is>
          <t>Galeras</t>
        </is>
      </c>
      <c r="T123" t="n">
        <v>1000</v>
      </c>
    </row>
    <row r="124">
      <c r="A124" s="1" t="n">
        <v>63</v>
      </c>
      <c r="B124" t="n">
        <v>48</v>
      </c>
      <c r="C124" t="inlineStr">
        <is>
          <t>Malpighiaceae</t>
        </is>
      </c>
      <c r="D124" t="inlineStr">
        <is>
          <t>Byrsonima</t>
        </is>
      </c>
      <c r="E124" t="inlineStr"/>
      <c r="F124" t="inlineStr">
        <is>
          <t>GAL_48</t>
        </is>
      </c>
      <c r="G124" t="n">
        <v>1406</v>
      </c>
      <c r="H124" t="n">
        <v>8666</v>
      </c>
      <c r="I124" t="n">
        <v>45.47</v>
      </c>
      <c r="J124" t="n">
        <v>-33.67</v>
      </c>
      <c r="K124" t="inlineStr">
        <is>
          <t>jh-3703</t>
        </is>
      </c>
      <c r="L124" t="n">
        <v>2006</v>
      </c>
      <c r="M124" t="inlineStr"/>
      <c r="N124" t="inlineStr"/>
      <c r="O124" t="inlineStr"/>
      <c r="P124" t="inlineStr"/>
      <c r="Q124" t="inlineStr">
        <is>
          <t>3703, 2461</t>
        </is>
      </c>
      <c r="R124" t="inlineStr">
        <is>
          <t>leaf herbarium</t>
        </is>
      </c>
      <c r="S124" t="inlineStr">
        <is>
          <t>Galeras</t>
        </is>
      </c>
      <c r="T124" t="n">
        <v>1000</v>
      </c>
    </row>
    <row r="125">
      <c r="A125" s="1" t="n">
        <v>78</v>
      </c>
      <c r="B125" t="n">
        <v>48</v>
      </c>
      <c r="C125" t="inlineStr">
        <is>
          <t>Malpighiaceae</t>
        </is>
      </c>
      <c r="D125" t="inlineStr">
        <is>
          <t>Byrsonima</t>
        </is>
      </c>
      <c r="E125" t="inlineStr"/>
      <c r="F125" t="inlineStr">
        <is>
          <t>GAL_48</t>
        </is>
      </c>
      <c r="G125" t="n">
        <v>1406</v>
      </c>
      <c r="H125" t="n">
        <v>8666</v>
      </c>
      <c r="I125" t="n">
        <v>0.4249</v>
      </c>
      <c r="J125" t="n">
        <v>-31.49</v>
      </c>
      <c r="K125" t="inlineStr">
        <is>
          <t>p48-8666</t>
        </is>
      </c>
      <c r="L125" t="n">
        <v>2025</v>
      </c>
      <c r="M125" t="inlineStr"/>
      <c r="N125" t="inlineStr"/>
      <c r="O125" t="inlineStr"/>
      <c r="P125" t="inlineStr"/>
      <c r="Q125" t="inlineStr">
        <is>
          <t>3703, 2461</t>
        </is>
      </c>
      <c r="R125" t="inlineStr">
        <is>
          <t>leaf pulverized</t>
        </is>
      </c>
      <c r="S125" t="inlineStr">
        <is>
          <t>Galeras</t>
        </is>
      </c>
      <c r="T125" t="n">
        <v>1000</v>
      </c>
    </row>
    <row r="126">
      <c r="A126" s="1" t="n">
        <v>101</v>
      </c>
      <c r="B126" t="n">
        <v>48</v>
      </c>
      <c r="C126" t="inlineStr">
        <is>
          <t>Myrtaceae</t>
        </is>
      </c>
      <c r="D126" t="inlineStr">
        <is>
          <t>Calyptranthes</t>
        </is>
      </c>
      <c r="E126" t="inlineStr"/>
      <c r="F126" t="inlineStr">
        <is>
          <t>GAL_48</t>
        </is>
      </c>
      <c r="G126" t="n">
        <v>1407</v>
      </c>
      <c r="H126" t="n">
        <v>8667</v>
      </c>
      <c r="I126" t="n">
        <v>0.4695</v>
      </c>
      <c r="J126" t="n">
        <v>-32.3</v>
      </c>
      <c r="K126" t="inlineStr">
        <is>
          <t>jh-p48-3700</t>
        </is>
      </c>
      <c r="L126" t="n">
        <v>2006</v>
      </c>
      <c r="M126" t="inlineStr"/>
      <c r="N126" t="inlineStr"/>
      <c r="O126" t="inlineStr"/>
      <c r="P126" t="inlineStr"/>
      <c r="Q126" t="inlineStr">
        <is>
          <t>3700</t>
        </is>
      </c>
      <c r="R126" t="inlineStr">
        <is>
          <t>leaf herbarium</t>
        </is>
      </c>
      <c r="S126" t="inlineStr">
        <is>
          <t>Galeras</t>
        </is>
      </c>
      <c r="T126" t="n">
        <v>1000</v>
      </c>
    </row>
    <row r="127">
      <c r="A127" s="1" t="n">
        <v>66</v>
      </c>
      <c r="B127" t="n">
        <v>48</v>
      </c>
      <c r="C127" t="inlineStr">
        <is>
          <t>Myrtaceae</t>
        </is>
      </c>
      <c r="D127" t="inlineStr">
        <is>
          <t>Calyptranthes</t>
        </is>
      </c>
      <c r="E127" t="inlineStr"/>
      <c r="F127" t="inlineStr">
        <is>
          <t>GAL_48</t>
        </is>
      </c>
      <c r="G127" t="n">
        <v>1407</v>
      </c>
      <c r="H127" t="n">
        <v>8667</v>
      </c>
      <c r="I127" t="n">
        <v>43.6800233807908</v>
      </c>
      <c r="J127" t="n">
        <v>-31.2367170271732</v>
      </c>
      <c r="K127" t="inlineStr">
        <is>
          <t>p48-8667</t>
        </is>
      </c>
      <c r="L127" t="n">
        <v>2025</v>
      </c>
      <c r="M127" t="inlineStr"/>
      <c r="N127" t="inlineStr"/>
      <c r="O127" t="inlineStr"/>
      <c r="P127" t="inlineStr"/>
      <c r="Q127" t="inlineStr">
        <is>
          <t>3700</t>
        </is>
      </c>
      <c r="R127" t="inlineStr">
        <is>
          <t>leaf pulverized</t>
        </is>
      </c>
      <c r="S127" t="inlineStr">
        <is>
          <t>Galeras</t>
        </is>
      </c>
      <c r="T127" t="n">
        <v>1000</v>
      </c>
    </row>
    <row r="128">
      <c r="A128" s="1" t="n">
        <v>74</v>
      </c>
      <c r="B128" t="n">
        <v>48</v>
      </c>
      <c r="C128" t="inlineStr">
        <is>
          <t>Apocynaceae</t>
        </is>
      </c>
      <c r="D128" t="inlineStr">
        <is>
          <t>Lacmellea</t>
        </is>
      </c>
      <c r="E128" t="inlineStr">
        <is>
          <t>speciosa</t>
        </is>
      </c>
      <c r="F128" t="inlineStr">
        <is>
          <t>GAL_48</t>
        </is>
      </c>
      <c r="G128" t="n">
        <v>1404</v>
      </c>
      <c r="H128" t="n">
        <v>8669</v>
      </c>
      <c r="I128" t="n">
        <v>50.79</v>
      </c>
      <c r="J128" t="n">
        <v>-30</v>
      </c>
      <c r="K128" t="inlineStr">
        <is>
          <t>jh-3697</t>
        </is>
      </c>
      <c r="L128" t="n">
        <v>2006</v>
      </c>
      <c r="M128" t="inlineStr"/>
      <c r="N128" t="inlineStr"/>
      <c r="O128" t="inlineStr"/>
      <c r="P128" t="inlineStr"/>
      <c r="Q128" t="inlineStr">
        <is>
          <t>3697</t>
        </is>
      </c>
      <c r="R128" t="inlineStr">
        <is>
          <t>leaf herbarium</t>
        </is>
      </c>
      <c r="S128" t="inlineStr">
        <is>
          <t>Galeras</t>
        </is>
      </c>
      <c r="T128" t="n">
        <v>1000</v>
      </c>
    </row>
    <row r="129">
      <c r="A129" s="1" t="n">
        <v>93</v>
      </c>
      <c r="B129" t="n">
        <v>48</v>
      </c>
      <c r="C129" t="inlineStr">
        <is>
          <t>Apocynaceae</t>
        </is>
      </c>
      <c r="D129" t="inlineStr">
        <is>
          <t>Lacmellea</t>
        </is>
      </c>
      <c r="E129" t="inlineStr">
        <is>
          <t>speciosa</t>
        </is>
      </c>
      <c r="F129" t="inlineStr">
        <is>
          <t>GAL_48</t>
        </is>
      </c>
      <c r="G129" t="n">
        <v>1404</v>
      </c>
      <c r="H129" t="n">
        <v>8669</v>
      </c>
      <c r="I129" t="n">
        <v>0.4745</v>
      </c>
      <c r="J129" t="n">
        <v>-28.66</v>
      </c>
      <c r="K129" t="inlineStr">
        <is>
          <t>jh-p48-3697</t>
        </is>
      </c>
      <c r="L129" t="n">
        <v>2006</v>
      </c>
      <c r="M129" t="inlineStr"/>
      <c r="N129" t="inlineStr"/>
      <c r="O129" t="inlineStr"/>
      <c r="P129" t="inlineStr"/>
      <c r="Q129" t="inlineStr">
        <is>
          <t>3697</t>
        </is>
      </c>
      <c r="R129" t="inlineStr">
        <is>
          <t>leaf herbarium</t>
        </is>
      </c>
      <c r="S129" t="inlineStr">
        <is>
          <t>Galeras</t>
        </is>
      </c>
      <c r="T129" t="n">
        <v>1000</v>
      </c>
    </row>
    <row r="130">
      <c r="A130" s="1" t="n">
        <v>53</v>
      </c>
      <c r="B130" t="n">
        <v>48</v>
      </c>
      <c r="C130" t="inlineStr">
        <is>
          <t>Moraceae</t>
        </is>
      </c>
      <c r="D130" t="inlineStr">
        <is>
          <t>Naucleopsis</t>
        </is>
      </c>
      <c r="E130" t="inlineStr">
        <is>
          <t>ulei</t>
        </is>
      </c>
      <c r="F130" t="inlineStr">
        <is>
          <t>GAL_48</t>
        </is>
      </c>
      <c r="G130" t="n">
        <v>1400</v>
      </c>
      <c r="H130" t="n">
        <v>8672</v>
      </c>
      <c r="I130" t="n">
        <v>44.35597340306</v>
      </c>
      <c r="J130" t="n">
        <v>-27.1346821803577</v>
      </c>
      <c r="K130" t="inlineStr">
        <is>
          <t>jh-3698</t>
        </is>
      </c>
      <c r="L130" t="n">
        <v>2006</v>
      </c>
      <c r="M130" t="inlineStr"/>
      <c r="N130" t="inlineStr"/>
      <c r="O130" t="inlineStr"/>
      <c r="P130" t="inlineStr"/>
      <c r="Q130" t="inlineStr">
        <is>
          <t>3698</t>
        </is>
      </c>
      <c r="R130" t="inlineStr">
        <is>
          <t>leaf herbarium</t>
        </is>
      </c>
      <c r="S130" t="inlineStr">
        <is>
          <t>Galeras</t>
        </is>
      </c>
      <c r="T130" t="n">
        <v>1000</v>
      </c>
    </row>
    <row r="131">
      <c r="A131" s="1" t="n">
        <v>77</v>
      </c>
      <c r="B131" t="n">
        <v>48</v>
      </c>
      <c r="C131" t="inlineStr">
        <is>
          <t>Moraceae</t>
        </is>
      </c>
      <c r="D131" t="inlineStr">
        <is>
          <t>Naucleopsis</t>
        </is>
      </c>
      <c r="E131" t="inlineStr">
        <is>
          <t>ulei</t>
        </is>
      </c>
      <c r="F131" t="inlineStr">
        <is>
          <t>GAL_48</t>
        </is>
      </c>
      <c r="G131" t="n">
        <v>1400</v>
      </c>
      <c r="H131" t="n">
        <v>8672</v>
      </c>
      <c r="I131" t="n">
        <v>45.141287351169</v>
      </c>
      <c r="J131" t="n">
        <v>-27.0372808201266</v>
      </c>
      <c r="K131" t="inlineStr">
        <is>
          <t>p48-8672</t>
        </is>
      </c>
      <c r="L131" t="n">
        <v>2025</v>
      </c>
      <c r="M131" t="inlineStr"/>
      <c r="N131" t="inlineStr"/>
      <c r="O131" t="inlineStr"/>
      <c r="P131" t="inlineStr"/>
      <c r="Q131" t="inlineStr">
        <is>
          <t>3698</t>
        </is>
      </c>
      <c r="R131" t="inlineStr">
        <is>
          <t>leaf pulverized</t>
        </is>
      </c>
      <c r="S131" t="inlineStr">
        <is>
          <t>Galeras</t>
        </is>
      </c>
      <c r="T131" t="n">
        <v>1000</v>
      </c>
    </row>
    <row r="132">
      <c r="A132" s="1" t="n">
        <v>104</v>
      </c>
      <c r="B132" t="n">
        <v>48</v>
      </c>
      <c r="C132" t="inlineStr">
        <is>
          <t>Sapotaceae</t>
        </is>
      </c>
      <c r="D132" t="inlineStr">
        <is>
          <t>Ragala</t>
        </is>
      </c>
      <c r="E132" t="inlineStr">
        <is>
          <t>sanguinolenta</t>
        </is>
      </c>
      <c r="F132" t="inlineStr">
        <is>
          <t>GAL_48</t>
        </is>
      </c>
      <c r="G132" t="n">
        <v>1398</v>
      </c>
      <c r="H132" t="n">
        <v>8678</v>
      </c>
      <c r="I132" t="n">
        <v>0.4884</v>
      </c>
      <c r="J132" t="n">
        <v>-30.45</v>
      </c>
      <c r="K132" t="inlineStr">
        <is>
          <t>jh-p48-3699</t>
        </is>
      </c>
      <c r="L132" t="n">
        <v>2006</v>
      </c>
      <c r="M132" t="inlineStr"/>
      <c r="N132" t="inlineStr"/>
      <c r="O132" t="inlineStr"/>
      <c r="P132" t="inlineStr"/>
      <c r="Q132" t="inlineStr">
        <is>
          <t>3699,2460</t>
        </is>
      </c>
      <c r="R132" t="inlineStr">
        <is>
          <t>leaf herbarium</t>
        </is>
      </c>
      <c r="S132" t="inlineStr">
        <is>
          <t>Galeras</t>
        </is>
      </c>
      <c r="T132" t="n">
        <v>1000</v>
      </c>
    </row>
    <row r="133">
      <c r="A133" s="1" t="n">
        <v>45</v>
      </c>
      <c r="B133" t="n">
        <v>48</v>
      </c>
      <c r="C133" t="inlineStr">
        <is>
          <t>Sapotaceae</t>
        </is>
      </c>
      <c r="D133" t="inlineStr">
        <is>
          <t>Ragala</t>
        </is>
      </c>
      <c r="E133" t="inlineStr">
        <is>
          <t>sanguinolenta</t>
        </is>
      </c>
      <c r="F133" t="inlineStr">
        <is>
          <t>GAL_48</t>
        </is>
      </c>
      <c r="G133" t="n">
        <v>1398</v>
      </c>
      <c r="H133" t="n">
        <v>8678</v>
      </c>
      <c r="I133" t="n">
        <v>44.9377877375942</v>
      </c>
      <c r="J133" t="n">
        <v>-30.2763099384598</v>
      </c>
      <c r="K133" t="inlineStr">
        <is>
          <t>p48-8678</t>
        </is>
      </c>
      <c r="L133" t="n">
        <v>2025</v>
      </c>
      <c r="M133" t="inlineStr"/>
      <c r="N133" t="inlineStr"/>
      <c r="O133" t="inlineStr"/>
      <c r="P133" t="inlineStr"/>
      <c r="Q133" t="inlineStr">
        <is>
          <t>3699,2460</t>
        </is>
      </c>
      <c r="R133" t="inlineStr">
        <is>
          <t>leaf pulverized</t>
        </is>
      </c>
      <c r="S133" t="inlineStr">
        <is>
          <t>Galeras</t>
        </is>
      </c>
      <c r="T133" t="n">
        <v>1000</v>
      </c>
    </row>
    <row r="134">
      <c r="A134" s="1" t="n">
        <v>79</v>
      </c>
      <c r="B134" t="n">
        <v>48</v>
      </c>
      <c r="C134" t="inlineStr">
        <is>
          <t>Urticaceae</t>
        </is>
      </c>
      <c r="D134" t="inlineStr">
        <is>
          <t>Pourouma</t>
        </is>
      </c>
      <c r="E134" t="inlineStr">
        <is>
          <t>cf bicolor</t>
        </is>
      </c>
      <c r="F134" t="inlineStr">
        <is>
          <t>GAL_48</t>
        </is>
      </c>
      <c r="G134" t="n">
        <v>1393</v>
      </c>
      <c r="H134" t="n">
        <v>8683</v>
      </c>
      <c r="I134" t="n">
        <v>0.4121</v>
      </c>
      <c r="J134" t="n">
        <v>-29.93</v>
      </c>
      <c r="K134" t="inlineStr">
        <is>
          <t>jh-p48-3712</t>
        </is>
      </c>
      <c r="L134" t="n">
        <v>2006</v>
      </c>
      <c r="M134" t="inlineStr"/>
      <c r="N134" t="inlineStr"/>
      <c r="O134" t="inlineStr"/>
      <c r="P134" t="inlineStr"/>
      <c r="Q134" t="inlineStr">
        <is>
          <t>3712</t>
        </is>
      </c>
      <c r="R134" t="inlineStr">
        <is>
          <t>leaf herbarium</t>
        </is>
      </c>
      <c r="S134" t="inlineStr">
        <is>
          <t>Galeras</t>
        </is>
      </c>
      <c r="T134" t="n">
        <v>1000</v>
      </c>
    </row>
    <row r="135">
      <c r="A135" s="1" t="n">
        <v>94</v>
      </c>
      <c r="B135" t="n">
        <v>48</v>
      </c>
      <c r="C135" t="inlineStr">
        <is>
          <t>Chrysobalanaceae</t>
        </is>
      </c>
      <c r="D135" t="inlineStr">
        <is>
          <t>Parinari</t>
        </is>
      </c>
      <c r="E135" t="inlineStr">
        <is>
          <t>klugii</t>
        </is>
      </c>
      <c r="F135" t="inlineStr">
        <is>
          <t>GAL_48</t>
        </is>
      </c>
      <c r="G135" t="n">
        <v>1389</v>
      </c>
      <c r="H135" t="n">
        <v>8685</v>
      </c>
      <c r="I135" t="n">
        <v>0.3913</v>
      </c>
      <c r="J135" t="n">
        <v>-30.4</v>
      </c>
      <c r="K135" t="inlineStr">
        <is>
          <t>jh-p48-3709</t>
        </is>
      </c>
      <c r="L135" t="n">
        <v>2006</v>
      </c>
      <c r="M135" t="inlineStr"/>
      <c r="N135" t="inlineStr"/>
      <c r="O135" t="inlineStr"/>
      <c r="P135" t="inlineStr"/>
      <c r="Q135" t="inlineStr">
        <is>
          <t>3709,2455</t>
        </is>
      </c>
      <c r="R135" t="inlineStr">
        <is>
          <t>leaf herbarium</t>
        </is>
      </c>
      <c r="S135" t="inlineStr">
        <is>
          <t>Galeras</t>
        </is>
      </c>
      <c r="T135" t="n">
        <v>1000</v>
      </c>
    </row>
    <row r="136">
      <c r="A136" s="1" t="n">
        <v>44</v>
      </c>
      <c r="B136" t="n">
        <v>48</v>
      </c>
      <c r="C136" t="inlineStr">
        <is>
          <t>Chrysobalanaceae</t>
        </is>
      </c>
      <c r="D136" t="inlineStr">
        <is>
          <t>Parinari</t>
        </is>
      </c>
      <c r="E136" t="inlineStr">
        <is>
          <t>klugii</t>
        </is>
      </c>
      <c r="F136" t="inlineStr">
        <is>
          <t>GAL_48</t>
        </is>
      </c>
      <c r="G136" t="n">
        <v>1389</v>
      </c>
      <c r="H136" t="n">
        <v>8685</v>
      </c>
      <c r="I136" t="n">
        <v>43.9914834104145</v>
      </c>
      <c r="J136" t="n">
        <v>-30.8479008876318</v>
      </c>
      <c r="K136" t="inlineStr">
        <is>
          <t>p48-8685</t>
        </is>
      </c>
      <c r="L136" t="n">
        <v>2025</v>
      </c>
      <c r="M136" t="inlineStr"/>
      <c r="N136" t="inlineStr"/>
      <c r="O136" t="inlineStr"/>
      <c r="P136" t="inlineStr"/>
      <c r="Q136" t="inlineStr">
        <is>
          <t>3709,2455</t>
        </is>
      </c>
      <c r="R136" t="inlineStr">
        <is>
          <t>leaf pulverized</t>
        </is>
      </c>
      <c r="S136" t="inlineStr">
        <is>
          <t>Galeras</t>
        </is>
      </c>
      <c r="T136" t="n">
        <v>1000</v>
      </c>
    </row>
    <row r="137">
      <c r="A137" s="1" t="n">
        <v>51</v>
      </c>
      <c r="B137" t="n">
        <v>48</v>
      </c>
      <c r="C137" t="inlineStr">
        <is>
          <t>Annonaceae</t>
        </is>
      </c>
      <c r="D137" t="inlineStr">
        <is>
          <t>Guatteria</t>
        </is>
      </c>
      <c r="E137" t="inlineStr">
        <is>
          <t>gentryi</t>
        </is>
      </c>
      <c r="F137" t="inlineStr">
        <is>
          <t>GAL_48</t>
        </is>
      </c>
      <c r="G137" t="n">
        <v>1390</v>
      </c>
      <c r="H137" t="n">
        <v>8686</v>
      </c>
      <c r="I137" t="n">
        <v>43.9496696730377</v>
      </c>
      <c r="J137" t="n">
        <v>-29.1318120030462</v>
      </c>
      <c r="K137" t="inlineStr">
        <is>
          <t>jh-2456</t>
        </is>
      </c>
      <c r="L137" t="n">
        <v>2006</v>
      </c>
      <c r="M137" t="inlineStr"/>
      <c r="N137" t="inlineStr"/>
      <c r="O137" t="inlineStr"/>
      <c r="P137" t="inlineStr"/>
      <c r="Q137" t="inlineStr">
        <is>
          <t>3707,2456</t>
        </is>
      </c>
      <c r="R137" t="inlineStr">
        <is>
          <t>leaf herbarium</t>
        </is>
      </c>
      <c r="S137" t="inlineStr">
        <is>
          <t>Galeras</t>
        </is>
      </c>
      <c r="T137" t="n">
        <v>1000</v>
      </c>
    </row>
    <row r="138">
      <c r="A138" s="1" t="n">
        <v>68</v>
      </c>
      <c r="B138" t="n">
        <v>48</v>
      </c>
      <c r="C138" t="inlineStr">
        <is>
          <t>Annonaceae</t>
        </is>
      </c>
      <c r="D138" t="inlineStr">
        <is>
          <t>Guatteria</t>
        </is>
      </c>
      <c r="E138" t="inlineStr">
        <is>
          <t>gentryi</t>
        </is>
      </c>
      <c r="F138" t="inlineStr">
        <is>
          <t>GAL_48</t>
        </is>
      </c>
      <c r="G138" t="n">
        <v>1390</v>
      </c>
      <c r="H138" t="n">
        <v>8686</v>
      </c>
      <c r="I138" t="n">
        <v>59.24</v>
      </c>
      <c r="J138" t="n">
        <v>-29.78</v>
      </c>
      <c r="K138" t="inlineStr">
        <is>
          <t>jh-3707</t>
        </is>
      </c>
      <c r="L138" t="n">
        <v>2006</v>
      </c>
      <c r="M138" t="inlineStr"/>
      <c r="N138" t="inlineStr"/>
      <c r="O138" t="inlineStr"/>
      <c r="P138" t="inlineStr"/>
      <c r="Q138" t="inlineStr">
        <is>
          <t>3707,2456</t>
        </is>
      </c>
      <c r="R138" t="inlineStr">
        <is>
          <t>leaf herbarium</t>
        </is>
      </c>
      <c r="S138" t="inlineStr">
        <is>
          <t>Galeras</t>
        </is>
      </c>
      <c r="T138" t="n">
        <v>1000</v>
      </c>
    </row>
    <row r="139">
      <c r="A139" s="1" t="n">
        <v>75</v>
      </c>
      <c r="B139" t="n">
        <v>48</v>
      </c>
      <c r="C139" t="inlineStr">
        <is>
          <t>Annonaceae</t>
        </is>
      </c>
      <c r="D139" t="inlineStr">
        <is>
          <t>Guatteria</t>
        </is>
      </c>
      <c r="E139" t="inlineStr">
        <is>
          <t>gentryi</t>
        </is>
      </c>
      <c r="F139" t="inlineStr">
        <is>
          <t>GAL_48</t>
        </is>
      </c>
      <c r="G139" t="n">
        <v>1390</v>
      </c>
      <c r="H139" t="n">
        <v>8686</v>
      </c>
      <c r="I139" t="n">
        <v>44.844345018092</v>
      </c>
      <c r="J139" t="n">
        <v>-31.552590652176</v>
      </c>
      <c r="K139" t="inlineStr">
        <is>
          <t>p48-8686</t>
        </is>
      </c>
      <c r="L139" t="n">
        <v>2025</v>
      </c>
      <c r="M139" t="inlineStr"/>
      <c r="N139" t="inlineStr"/>
      <c r="O139" t="inlineStr"/>
      <c r="P139" t="inlineStr"/>
      <c r="Q139" t="inlineStr">
        <is>
          <t>3707,2456</t>
        </is>
      </c>
      <c r="R139" t="inlineStr">
        <is>
          <t>leaf pulverized</t>
        </is>
      </c>
      <c r="S139" t="inlineStr">
        <is>
          <t>Galeras</t>
        </is>
      </c>
      <c r="T139" t="n">
        <v>1000</v>
      </c>
    </row>
    <row r="140">
      <c r="A140" s="1" t="n">
        <v>102</v>
      </c>
      <c r="B140" t="n">
        <v>48</v>
      </c>
      <c r="C140" t="inlineStr">
        <is>
          <t>Fabaceae</t>
        </is>
      </c>
      <c r="D140" t="inlineStr">
        <is>
          <t>Tachigali</t>
        </is>
      </c>
      <c r="E140" t="inlineStr"/>
      <c r="F140" t="inlineStr">
        <is>
          <t>GAL_48</t>
        </is>
      </c>
      <c r="G140" t="n">
        <v>1408</v>
      </c>
      <c r="H140" t="inlineStr"/>
      <c r="I140" t="n">
        <v>0.503</v>
      </c>
      <c r="J140" t="n">
        <v>-26.31</v>
      </c>
      <c r="K140" t="inlineStr">
        <is>
          <t>jh-p48-3702</t>
        </is>
      </c>
      <c r="L140" t="n">
        <v>2006</v>
      </c>
      <c r="M140" t="inlineStr"/>
      <c r="N140" t="inlineStr"/>
      <c r="O140" t="inlineStr"/>
      <c r="P140" t="inlineStr"/>
      <c r="Q140" t="inlineStr">
        <is>
          <t>3702</t>
        </is>
      </c>
      <c r="R140" t="inlineStr">
        <is>
          <t>leaf herbarium</t>
        </is>
      </c>
      <c r="S140" t="inlineStr">
        <is>
          <t>Galeras</t>
        </is>
      </c>
      <c r="T140" t="n">
        <v>1000</v>
      </c>
    </row>
    <row r="141">
      <c r="A141" s="1" t="n">
        <v>79</v>
      </c>
      <c r="B141" t="n">
        <v>48</v>
      </c>
      <c r="C141" t="inlineStr"/>
      <c r="D141" t="inlineStr"/>
      <c r="E141" t="inlineStr"/>
      <c r="F141" t="inlineStr"/>
      <c r="G141" t="inlineStr"/>
      <c r="H141" t="inlineStr"/>
      <c r="I141" t="n">
        <v>0.4193</v>
      </c>
      <c r="J141" t="n">
        <v>-27.79</v>
      </c>
      <c r="K141" t="inlineStr">
        <is>
          <t>p48-3698</t>
        </is>
      </c>
      <c r="L141" t="n">
        <v>2025</v>
      </c>
      <c r="M141" t="inlineStr"/>
      <c r="N141" t="inlineStr"/>
      <c r="O141" t="inlineStr"/>
      <c r="P141" t="inlineStr"/>
      <c r="Q141" t="inlineStr"/>
      <c r="R141" t="inlineStr">
        <is>
          <t>leaf pulverized</t>
        </is>
      </c>
      <c r="S141" t="inlineStr">
        <is>
          <t>Galeras</t>
        </is>
      </c>
      <c r="T141" t="n">
        <v>1000</v>
      </c>
    </row>
    <row r="142">
      <c r="A142" s="1" t="n">
        <v>54</v>
      </c>
      <c r="B142" t="n">
        <v>50</v>
      </c>
      <c r="C142" t="inlineStr">
        <is>
          <t>Simaroubaceae</t>
        </is>
      </c>
      <c r="D142" t="inlineStr">
        <is>
          <t>Simarouba</t>
        </is>
      </c>
      <c r="E142" t="inlineStr">
        <is>
          <t>amara</t>
        </is>
      </c>
      <c r="F142" t="inlineStr">
        <is>
          <t>GAL_50</t>
        </is>
      </c>
      <c r="G142" t="n">
        <v>1495</v>
      </c>
      <c r="H142" t="n">
        <v>8609</v>
      </c>
      <c r="I142" t="n">
        <v>45.4280590398283</v>
      </c>
      <c r="J142" t="n">
        <v>-29.8839085881914</v>
      </c>
      <c r="K142" t="inlineStr">
        <is>
          <t>jh-3623</t>
        </is>
      </c>
      <c r="L142" t="n">
        <v>2006</v>
      </c>
      <c r="M142" t="inlineStr"/>
      <c r="N142" t="inlineStr"/>
      <c r="O142" t="inlineStr"/>
      <c r="P142" t="inlineStr"/>
      <c r="Q142" t="inlineStr">
        <is>
          <t>3623</t>
        </is>
      </c>
      <c r="R142" t="inlineStr">
        <is>
          <t>leaf herbarium</t>
        </is>
      </c>
      <c r="S142" t="inlineStr">
        <is>
          <t>Galeras</t>
        </is>
      </c>
      <c r="T142" t="n">
        <v>1500</v>
      </c>
    </row>
    <row r="143">
      <c r="A143" s="1" t="n">
        <v>82</v>
      </c>
      <c r="B143" t="n">
        <v>50</v>
      </c>
      <c r="C143" t="inlineStr">
        <is>
          <t>Simaroubaceae</t>
        </is>
      </c>
      <c r="D143" t="inlineStr">
        <is>
          <t>Simarouba</t>
        </is>
      </c>
      <c r="E143" t="inlineStr">
        <is>
          <t>amara</t>
        </is>
      </c>
      <c r="F143" t="inlineStr">
        <is>
          <t>GAL_50</t>
        </is>
      </c>
      <c r="G143" t="n">
        <v>1495</v>
      </c>
      <c r="H143" t="n">
        <v>8609</v>
      </c>
      <c r="I143" t="n">
        <v>0.4351</v>
      </c>
      <c r="J143" t="n">
        <v>-30.54</v>
      </c>
      <c r="K143" t="inlineStr">
        <is>
          <t>jh-p50-3623</t>
        </is>
      </c>
      <c r="L143" t="n">
        <v>2006</v>
      </c>
      <c r="M143" t="inlineStr"/>
      <c r="N143" t="inlineStr"/>
      <c r="O143" t="inlineStr"/>
      <c r="P143" t="inlineStr"/>
      <c r="Q143" t="inlineStr">
        <is>
          <t>3623</t>
        </is>
      </c>
      <c r="R143" t="inlineStr">
        <is>
          <t>leaf herbarium</t>
        </is>
      </c>
      <c r="S143" t="inlineStr">
        <is>
          <t>Galeras</t>
        </is>
      </c>
      <c r="T143" t="n">
        <v>1500</v>
      </c>
    </row>
    <row r="144">
      <c r="A144" s="1" t="n">
        <v>51</v>
      </c>
      <c r="B144" t="n">
        <v>50</v>
      </c>
      <c r="C144" t="inlineStr">
        <is>
          <t>Simaroubaceae</t>
        </is>
      </c>
      <c r="D144" t="inlineStr">
        <is>
          <t>Simarouba</t>
        </is>
      </c>
      <c r="E144" t="inlineStr">
        <is>
          <t>amara</t>
        </is>
      </c>
      <c r="F144" t="inlineStr">
        <is>
          <t>GAL_50</t>
        </is>
      </c>
      <c r="G144" t="n">
        <v>1495</v>
      </c>
      <c r="H144" t="n">
        <v>8609</v>
      </c>
      <c r="I144" t="n">
        <v>44.4313352406064</v>
      </c>
      <c r="J144" t="n">
        <v>-28.7444017194557</v>
      </c>
      <c r="K144" t="inlineStr">
        <is>
          <t>p50-8609</t>
        </is>
      </c>
      <c r="L144" t="n">
        <v>2025</v>
      </c>
      <c r="M144" t="inlineStr"/>
      <c r="N144" t="inlineStr"/>
      <c r="O144" t="inlineStr"/>
      <c r="P144" t="inlineStr"/>
      <c r="Q144" t="inlineStr">
        <is>
          <t>3623</t>
        </is>
      </c>
      <c r="R144" t="inlineStr">
        <is>
          <t>leaf pulverized</t>
        </is>
      </c>
      <c r="S144" t="inlineStr">
        <is>
          <t>Galeras</t>
        </is>
      </c>
      <c r="T144" t="n">
        <v>1500</v>
      </c>
    </row>
    <row r="145">
      <c r="A145" s="1" t="n">
        <v>54</v>
      </c>
      <c r="B145" t="n">
        <v>50</v>
      </c>
      <c r="C145" t="inlineStr">
        <is>
          <t>Rutaceae</t>
        </is>
      </c>
      <c r="D145" t="inlineStr">
        <is>
          <t>Zanthoxylum</t>
        </is>
      </c>
      <c r="E145" t="inlineStr">
        <is>
          <t>melanostictum</t>
        </is>
      </c>
      <c r="F145" t="inlineStr">
        <is>
          <t>GAL_50</t>
        </is>
      </c>
      <c r="G145" t="n">
        <v>1490</v>
      </c>
      <c r="H145" t="n">
        <v>8612</v>
      </c>
      <c r="I145" t="n">
        <v>52.2157059447287</v>
      </c>
      <c r="J145" t="n">
        <v>-28.624586696603</v>
      </c>
      <c r="K145" t="inlineStr">
        <is>
          <t>p50-8612</t>
        </is>
      </c>
      <c r="L145" t="n">
        <v>2025</v>
      </c>
      <c r="M145" t="inlineStr"/>
      <c r="N145" t="inlineStr"/>
      <c r="O145" t="inlineStr"/>
      <c r="P145" t="inlineStr"/>
      <c r="Q145">
        <f>3602</f>
        <v/>
      </c>
      <c r="R145" t="inlineStr">
        <is>
          <t>leaf pulverized</t>
        </is>
      </c>
      <c r="S145" t="inlineStr">
        <is>
          <t>Galeras</t>
        </is>
      </c>
      <c r="T145" t="n">
        <v>1500</v>
      </c>
    </row>
    <row r="146">
      <c r="A146" s="1" t="n">
        <v>70</v>
      </c>
      <c r="B146" t="n">
        <v>50</v>
      </c>
      <c r="C146" t="inlineStr">
        <is>
          <t>Apocynaceae</t>
        </is>
      </c>
      <c r="D146" t="inlineStr">
        <is>
          <t>Apo28</t>
        </is>
      </c>
      <c r="E146" t="inlineStr"/>
      <c r="F146" t="inlineStr">
        <is>
          <t>GAL_50</t>
        </is>
      </c>
      <c r="G146" t="inlineStr"/>
      <c r="H146" t="n">
        <v>8613</v>
      </c>
      <c r="I146" t="n">
        <v>48.539882967714</v>
      </c>
      <c r="J146" t="n">
        <v>-32.0729824104926</v>
      </c>
      <c r="K146" t="inlineStr">
        <is>
          <t>p50-8613</t>
        </is>
      </c>
      <c r="L146" t="n">
        <v>2025</v>
      </c>
      <c r="M146" t="inlineStr"/>
      <c r="N146" t="inlineStr"/>
      <c r="O146" t="inlineStr"/>
      <c r="P146" t="inlineStr"/>
      <c r="Q146" t="inlineStr"/>
      <c r="R146" t="inlineStr">
        <is>
          <t>leaf pulverized</t>
        </is>
      </c>
      <c r="S146" t="inlineStr">
        <is>
          <t>Galeras</t>
        </is>
      </c>
      <c r="T146" t="n">
        <v>1500</v>
      </c>
    </row>
    <row r="147">
      <c r="A147" s="1" t="n">
        <v>47</v>
      </c>
      <c r="B147" t="n">
        <v>50</v>
      </c>
      <c r="C147" t="inlineStr">
        <is>
          <t>Lauraceae</t>
        </is>
      </c>
      <c r="D147" t="inlineStr">
        <is>
          <t>Ocotea</t>
        </is>
      </c>
      <c r="E147" t="inlineStr">
        <is>
          <t xml:space="preserve"> cf. longifolia</t>
        </is>
      </c>
      <c r="F147" t="inlineStr">
        <is>
          <t>GAL_50</t>
        </is>
      </c>
      <c r="G147" t="n">
        <v>1486</v>
      </c>
      <c r="H147" t="n">
        <v>8615</v>
      </c>
      <c r="I147" t="n">
        <v>46.8515023190462</v>
      </c>
      <c r="J147" t="n">
        <v>-27.7137667360763</v>
      </c>
      <c r="K147" t="inlineStr">
        <is>
          <t>jh-3620</t>
        </is>
      </c>
      <c r="L147" t="n">
        <v>2006</v>
      </c>
      <c r="M147" t="inlineStr"/>
      <c r="N147" t="inlineStr"/>
      <c r="O147" t="inlineStr"/>
      <c r="P147" t="inlineStr"/>
      <c r="Q147" t="inlineStr">
        <is>
          <t>3620</t>
        </is>
      </c>
      <c r="R147" t="inlineStr">
        <is>
          <t>leaf herbarium</t>
        </is>
      </c>
      <c r="S147" t="inlineStr">
        <is>
          <t>Galeras</t>
        </is>
      </c>
      <c r="T147" t="n">
        <v>1500</v>
      </c>
    </row>
    <row r="148">
      <c r="A148" s="1" t="n">
        <v>76</v>
      </c>
      <c r="B148" t="n">
        <v>50</v>
      </c>
      <c r="C148" t="inlineStr">
        <is>
          <t>Lauraceae</t>
        </is>
      </c>
      <c r="D148" t="inlineStr">
        <is>
          <t>Ocotea</t>
        </is>
      </c>
      <c r="E148" t="inlineStr">
        <is>
          <t xml:space="preserve"> cf. longifolia</t>
        </is>
      </c>
      <c r="F148" t="inlineStr">
        <is>
          <t>GAL_50</t>
        </is>
      </c>
      <c r="G148" t="n">
        <v>1486</v>
      </c>
      <c r="H148" t="n">
        <v>8615</v>
      </c>
      <c r="I148" t="n">
        <v>0.4387</v>
      </c>
      <c r="J148" t="n">
        <v>-27.97</v>
      </c>
      <c r="K148" t="inlineStr">
        <is>
          <t>jh-p50-3620</t>
        </is>
      </c>
      <c r="L148" t="n">
        <v>2006</v>
      </c>
      <c r="M148" t="inlineStr"/>
      <c r="N148" t="inlineStr"/>
      <c r="O148" t="inlineStr"/>
      <c r="P148" t="inlineStr"/>
      <c r="Q148" t="inlineStr">
        <is>
          <t>3620</t>
        </is>
      </c>
      <c r="R148" t="inlineStr">
        <is>
          <t>leaf herbarium</t>
        </is>
      </c>
      <c r="S148" t="inlineStr">
        <is>
          <t>Galeras</t>
        </is>
      </c>
      <c r="T148" t="n">
        <v>1500</v>
      </c>
    </row>
    <row r="149">
      <c r="A149" s="1" t="n">
        <v>71</v>
      </c>
      <c r="B149" t="n">
        <v>50</v>
      </c>
      <c r="C149" t="inlineStr">
        <is>
          <t>Lauraceae</t>
        </is>
      </c>
      <c r="D149" t="inlineStr">
        <is>
          <t>Ocotea</t>
        </is>
      </c>
      <c r="E149" t="inlineStr">
        <is>
          <t xml:space="preserve"> cf. longifolia</t>
        </is>
      </c>
      <c r="F149" t="inlineStr">
        <is>
          <t>GAL_50</t>
        </is>
      </c>
      <c r="G149" t="n">
        <v>1486</v>
      </c>
      <c r="H149" t="n">
        <v>8615</v>
      </c>
      <c r="I149" t="n">
        <v>47.6661354350682</v>
      </c>
      <c r="J149" t="n">
        <v>-28.6791783933368</v>
      </c>
      <c r="K149" t="inlineStr">
        <is>
          <t>p50-8615</t>
        </is>
      </c>
      <c r="L149" t="n">
        <v>2025</v>
      </c>
      <c r="M149" t="inlineStr"/>
      <c r="N149" t="inlineStr"/>
      <c r="O149" t="inlineStr"/>
      <c r="P149" t="inlineStr"/>
      <c r="Q149" t="inlineStr">
        <is>
          <t>3620</t>
        </is>
      </c>
      <c r="R149" t="inlineStr">
        <is>
          <t>leaf pulverized</t>
        </is>
      </c>
      <c r="S149" t="inlineStr">
        <is>
          <t>Galeras</t>
        </is>
      </c>
      <c r="T149" t="n">
        <v>1500</v>
      </c>
    </row>
    <row r="150">
      <c r="A150" s="1" t="n">
        <v>95</v>
      </c>
      <c r="B150" t="n">
        <v>50</v>
      </c>
      <c r="C150" t="inlineStr">
        <is>
          <t>Myrtaceae</t>
        </is>
      </c>
      <c r="D150" t="inlineStr">
        <is>
          <t>Siphoneugena</t>
        </is>
      </c>
      <c r="E150" t="inlineStr">
        <is>
          <t>densiflora</t>
        </is>
      </c>
      <c r="F150" t="inlineStr">
        <is>
          <t>GAL_50</t>
        </is>
      </c>
      <c r="G150" t="n">
        <v>1483</v>
      </c>
      <c r="H150" t="n">
        <v>8617</v>
      </c>
      <c r="I150" t="n">
        <v>0.4693</v>
      </c>
      <c r="J150" t="n">
        <v>-29.22</v>
      </c>
      <c r="K150" t="inlineStr">
        <is>
          <t>jh-p50-3622</t>
        </is>
      </c>
      <c r="L150" t="n">
        <v>2006</v>
      </c>
      <c r="M150" t="inlineStr"/>
      <c r="N150" t="inlineStr"/>
      <c r="O150" t="inlineStr"/>
      <c r="P150" t="inlineStr"/>
      <c r="Q150" t="inlineStr">
        <is>
          <t>3622</t>
        </is>
      </c>
      <c r="R150" t="inlineStr">
        <is>
          <t>leaf herbarium</t>
        </is>
      </c>
      <c r="S150" t="inlineStr">
        <is>
          <t>Galeras</t>
        </is>
      </c>
      <c r="T150" t="n">
        <v>1500</v>
      </c>
    </row>
    <row r="151">
      <c r="A151" s="1" t="n">
        <v>86</v>
      </c>
      <c r="B151" t="n">
        <v>50</v>
      </c>
      <c r="C151" t="inlineStr">
        <is>
          <t>Lauraceae</t>
        </is>
      </c>
      <c r="D151" t="inlineStr">
        <is>
          <t>Ocotea</t>
        </is>
      </c>
      <c r="E151" t="inlineStr">
        <is>
          <t>aff. subrutilans</t>
        </is>
      </c>
      <c r="F151" t="inlineStr">
        <is>
          <t>GAL_50</t>
        </is>
      </c>
      <c r="G151" t="n">
        <v>1478</v>
      </c>
      <c r="H151" t="n">
        <v>8628</v>
      </c>
      <c r="I151" t="n">
        <v>0.498</v>
      </c>
      <c r="J151" t="n">
        <v>-31.05</v>
      </c>
      <c r="K151" t="inlineStr">
        <is>
          <t>jh-p50-3616</t>
        </is>
      </c>
      <c r="L151" t="n">
        <v>2006</v>
      </c>
      <c r="M151" t="inlineStr"/>
      <c r="N151" t="inlineStr"/>
      <c r="O151" t="inlineStr"/>
      <c r="P151" t="inlineStr"/>
      <c r="Q151" t="inlineStr">
        <is>
          <t>3616</t>
        </is>
      </c>
      <c r="R151" t="inlineStr">
        <is>
          <t>leaf herbarium</t>
        </is>
      </c>
      <c r="S151" t="inlineStr">
        <is>
          <t>Galeras</t>
        </is>
      </c>
      <c r="T151" t="n">
        <v>1500</v>
      </c>
    </row>
    <row r="152">
      <c r="A152" s="1" t="n">
        <v>41</v>
      </c>
      <c r="B152" t="n">
        <v>50</v>
      </c>
      <c r="C152" t="inlineStr">
        <is>
          <t>Lauraceae</t>
        </is>
      </c>
      <c r="D152" t="inlineStr">
        <is>
          <t>Persea</t>
        </is>
      </c>
      <c r="E152" t="inlineStr">
        <is>
          <t>aff. pseudofasciculata</t>
        </is>
      </c>
      <c r="F152" t="inlineStr">
        <is>
          <t>GAL_50</t>
        </is>
      </c>
      <c r="G152" t="n">
        <v>1465</v>
      </c>
      <c r="H152" t="n">
        <v>8778</v>
      </c>
      <c r="I152" t="n">
        <v>45.865248457426</v>
      </c>
      <c r="J152" t="n">
        <v>-31.0890832867233</v>
      </c>
      <c r="K152" t="inlineStr">
        <is>
          <t>jh-3621</t>
        </is>
      </c>
      <c r="L152" t="n">
        <v>2006</v>
      </c>
      <c r="M152" t="inlineStr"/>
      <c r="N152" t="inlineStr"/>
      <c r="O152" t="inlineStr"/>
      <c r="P152" t="inlineStr"/>
      <c r="Q152" t="inlineStr">
        <is>
          <t>3621</t>
        </is>
      </c>
      <c r="R152" t="inlineStr">
        <is>
          <t>leaf herbarium</t>
        </is>
      </c>
      <c r="S152" t="inlineStr">
        <is>
          <t>Galeras</t>
        </is>
      </c>
      <c r="T152" t="n">
        <v>1500</v>
      </c>
    </row>
    <row r="153">
      <c r="A153" s="1" t="n">
        <v>99</v>
      </c>
      <c r="B153" t="n">
        <v>50</v>
      </c>
      <c r="C153" t="inlineStr">
        <is>
          <t>Lauraceae</t>
        </is>
      </c>
      <c r="D153" t="inlineStr">
        <is>
          <t>Persea</t>
        </is>
      </c>
      <c r="E153" t="inlineStr">
        <is>
          <t>aff. pseudofasciculata</t>
        </is>
      </c>
      <c r="F153" t="inlineStr">
        <is>
          <t>GAL_50</t>
        </is>
      </c>
      <c r="G153" t="n">
        <v>1465</v>
      </c>
      <c r="H153" t="n">
        <v>8778</v>
      </c>
      <c r="I153" t="n">
        <v>0.4717</v>
      </c>
      <c r="J153" t="n">
        <v>-32.07</v>
      </c>
      <c r="K153" t="inlineStr">
        <is>
          <t>jh-p50-3621</t>
        </is>
      </c>
      <c r="L153" t="n">
        <v>2006</v>
      </c>
      <c r="M153" t="inlineStr"/>
      <c r="N153" t="inlineStr"/>
      <c r="O153" t="inlineStr"/>
      <c r="P153" t="inlineStr"/>
      <c r="Q153" t="inlineStr">
        <is>
          <t>3621</t>
        </is>
      </c>
      <c r="R153" t="inlineStr">
        <is>
          <t>leaf herbarium</t>
        </is>
      </c>
      <c r="S153" t="inlineStr">
        <is>
          <t>Galeras</t>
        </is>
      </c>
      <c r="T153" t="n">
        <v>1500</v>
      </c>
    </row>
    <row r="154">
      <c r="A154" s="1" t="n">
        <v>52</v>
      </c>
      <c r="B154" t="n">
        <v>50</v>
      </c>
      <c r="C154" t="inlineStr">
        <is>
          <t>Lauraceae</t>
        </is>
      </c>
      <c r="D154" t="inlineStr">
        <is>
          <t>Persea</t>
        </is>
      </c>
      <c r="E154" t="inlineStr">
        <is>
          <t>aff. pseudofasciculata</t>
        </is>
      </c>
      <c r="F154" t="inlineStr">
        <is>
          <t>GAL_50</t>
        </is>
      </c>
      <c r="G154" t="n">
        <v>1465</v>
      </c>
      <c r="H154" t="n">
        <v>8778</v>
      </c>
      <c r="I154" t="n">
        <v>46.6499858932052</v>
      </c>
      <c r="J154" t="n">
        <v>-30.8356062037384</v>
      </c>
      <c r="K154" t="inlineStr">
        <is>
          <t>p50-8778</t>
        </is>
      </c>
      <c r="L154" t="n">
        <v>2025</v>
      </c>
      <c r="M154" t="inlineStr"/>
      <c r="N154" t="inlineStr"/>
      <c r="O154" t="inlineStr"/>
      <c r="P154" t="inlineStr"/>
      <c r="Q154" t="inlineStr">
        <is>
          <t>3621</t>
        </is>
      </c>
      <c r="R154" t="inlineStr">
        <is>
          <t>leaf pulverized</t>
        </is>
      </c>
      <c r="S154" t="inlineStr">
        <is>
          <t>Galeras</t>
        </is>
      </c>
      <c r="T154" t="n">
        <v>1500</v>
      </c>
    </row>
    <row r="155">
      <c r="A155" s="1" t="n">
        <v>103</v>
      </c>
      <c r="B155" t="n">
        <v>50</v>
      </c>
      <c r="C155" t="inlineStr">
        <is>
          <t>Styracaceae</t>
        </is>
      </c>
      <c r="D155" t="inlineStr">
        <is>
          <t>Styrax</t>
        </is>
      </c>
      <c r="E155" t="inlineStr">
        <is>
          <t>cordatus</t>
        </is>
      </c>
      <c r="F155" t="inlineStr">
        <is>
          <t>GAL_50</t>
        </is>
      </c>
      <c r="G155" t="n">
        <v>1470</v>
      </c>
      <c r="H155" t="n">
        <v>8780</v>
      </c>
      <c r="I155" t="n">
        <v>0.4921</v>
      </c>
      <c r="J155" t="n">
        <v>-31.4</v>
      </c>
      <c r="K155" t="inlineStr">
        <is>
          <t>jh-p50-3617</t>
        </is>
      </c>
      <c r="L155" t="n">
        <v>2006</v>
      </c>
      <c r="M155" t="inlineStr"/>
      <c r="N155" t="inlineStr"/>
      <c r="O155" t="inlineStr"/>
      <c r="P155" t="inlineStr"/>
      <c r="Q155" t="inlineStr">
        <is>
          <t>3617</t>
        </is>
      </c>
      <c r="R155" t="inlineStr">
        <is>
          <t>leaf herbarium</t>
        </is>
      </c>
      <c r="S155" t="inlineStr">
        <is>
          <t>Galeras</t>
        </is>
      </c>
      <c r="T155" t="n">
        <v>1500</v>
      </c>
    </row>
    <row r="156">
      <c r="A156" s="1" t="n">
        <v>69</v>
      </c>
      <c r="B156" t="n">
        <v>50</v>
      </c>
      <c r="C156" t="inlineStr">
        <is>
          <t>Styracaceae</t>
        </is>
      </c>
      <c r="D156" t="inlineStr">
        <is>
          <t>Styrax</t>
        </is>
      </c>
      <c r="E156" t="inlineStr">
        <is>
          <t>cordatus</t>
        </is>
      </c>
      <c r="F156" t="inlineStr">
        <is>
          <t>GAL_50</t>
        </is>
      </c>
      <c r="G156" t="n">
        <v>1470</v>
      </c>
      <c r="H156" t="n">
        <v>8780</v>
      </c>
      <c r="I156" t="n">
        <v>46.6657515975042</v>
      </c>
      <c r="J156" t="n">
        <v>-32.2435355746779</v>
      </c>
      <c r="K156" t="inlineStr">
        <is>
          <t>p50-8780</t>
        </is>
      </c>
      <c r="L156" t="n">
        <v>2025</v>
      </c>
      <c r="M156" t="inlineStr"/>
      <c r="N156" t="inlineStr"/>
      <c r="O156" t="inlineStr"/>
      <c r="P156" t="inlineStr"/>
      <c r="Q156" t="inlineStr">
        <is>
          <t>3617</t>
        </is>
      </c>
      <c r="R156" t="inlineStr">
        <is>
          <t>leaf pulverized</t>
        </is>
      </c>
      <c r="S156" t="inlineStr">
        <is>
          <t>Galeras</t>
        </is>
      </c>
      <c r="T156" t="n">
        <v>1500</v>
      </c>
    </row>
    <row r="157">
      <c r="A157" s="1" t="n">
        <v>112</v>
      </c>
      <c r="B157" t="n">
        <v>50</v>
      </c>
      <c r="C157" t="inlineStr">
        <is>
          <t>Melastomataceae</t>
        </is>
      </c>
      <c r="D157" t="inlineStr">
        <is>
          <t>Ossaea</t>
        </is>
      </c>
      <c r="E157" t="inlineStr">
        <is>
          <t>laxivenula</t>
        </is>
      </c>
      <c r="F157" t="inlineStr">
        <is>
          <t>GAL_50</t>
        </is>
      </c>
      <c r="G157" t="n">
        <v>1459</v>
      </c>
      <c r="H157" t="n">
        <v>8786</v>
      </c>
      <c r="I157" t="n">
        <v>0.4831</v>
      </c>
      <c r="J157" t="n">
        <v>-27.5</v>
      </c>
      <c r="K157" t="inlineStr">
        <is>
          <t>jh-p50-3624</t>
        </is>
      </c>
      <c r="L157" t="n">
        <v>2006</v>
      </c>
      <c r="M157" t="inlineStr"/>
      <c r="N157" t="inlineStr"/>
      <c r="O157" t="inlineStr"/>
      <c r="P157" t="inlineStr"/>
      <c r="Q157" t="inlineStr">
        <is>
          <t>3624</t>
        </is>
      </c>
      <c r="R157" t="inlineStr">
        <is>
          <t>leaf herbarium</t>
        </is>
      </c>
      <c r="S157" t="inlineStr">
        <is>
          <t>Galeras</t>
        </is>
      </c>
      <c r="T157" t="n">
        <v>1500</v>
      </c>
    </row>
    <row r="158">
      <c r="A158" s="1" t="n">
        <v>73</v>
      </c>
      <c r="B158" t="n">
        <v>50</v>
      </c>
      <c r="C158" t="inlineStr">
        <is>
          <t>Melastomataceae</t>
        </is>
      </c>
      <c r="D158" t="inlineStr">
        <is>
          <t>Ossaea</t>
        </is>
      </c>
      <c r="E158" t="inlineStr">
        <is>
          <t>laxivenula</t>
        </is>
      </c>
      <c r="F158" t="inlineStr">
        <is>
          <t>GAL_50</t>
        </is>
      </c>
      <c r="G158" t="n">
        <v>1459</v>
      </c>
      <c r="H158" t="n">
        <v>8786</v>
      </c>
      <c r="I158" t="n">
        <v>44.107567233824</v>
      </c>
      <c r="J158" t="n">
        <v>-28.7987617301663</v>
      </c>
      <c r="K158" t="inlineStr">
        <is>
          <t>p50-8786</t>
        </is>
      </c>
      <c r="L158" t="n">
        <v>2025</v>
      </c>
      <c r="M158" t="inlineStr"/>
      <c r="N158" t="inlineStr"/>
      <c r="O158" t="inlineStr"/>
      <c r="P158" t="inlineStr"/>
      <c r="Q158" t="inlineStr">
        <is>
          <t>3624</t>
        </is>
      </c>
      <c r="R158" t="inlineStr">
        <is>
          <t>leaf pulverized</t>
        </is>
      </c>
      <c r="S158" t="inlineStr">
        <is>
          <t>Galeras</t>
        </is>
      </c>
      <c r="T158" t="n">
        <v>1500</v>
      </c>
    </row>
    <row r="159">
      <c r="A159" s="1" t="n">
        <v>50</v>
      </c>
      <c r="B159" t="n">
        <v>50</v>
      </c>
      <c r="C159" t="inlineStr">
        <is>
          <t>Fabaceae</t>
        </is>
      </c>
      <c r="D159" t="inlineStr">
        <is>
          <t>Inga</t>
        </is>
      </c>
      <c r="E159" t="inlineStr"/>
      <c r="F159" t="inlineStr">
        <is>
          <t>GAL_50</t>
        </is>
      </c>
      <c r="G159" t="inlineStr"/>
      <c r="H159" t="n">
        <v>8789</v>
      </c>
      <c r="I159" t="n">
        <v>44.4600944308076</v>
      </c>
      <c r="J159" t="n">
        <v>-27.6119893186605</v>
      </c>
      <c r="K159" t="inlineStr">
        <is>
          <t>p50-8789</t>
        </is>
      </c>
      <c r="L159" t="n">
        <v>2025</v>
      </c>
      <c r="M159" t="inlineStr"/>
      <c r="N159" t="inlineStr"/>
      <c r="O159" t="inlineStr"/>
      <c r="P159" t="inlineStr"/>
      <c r="Q159" t="inlineStr"/>
      <c r="R159" t="inlineStr">
        <is>
          <t>leaf pulverized</t>
        </is>
      </c>
      <c r="S159" t="inlineStr">
        <is>
          <t>Galeras</t>
        </is>
      </c>
      <c r="T159" t="n">
        <v>1500</v>
      </c>
    </row>
    <row r="160">
      <c r="A160" s="1" t="n">
        <v>77</v>
      </c>
      <c r="B160" t="n">
        <v>50</v>
      </c>
      <c r="C160" t="inlineStr">
        <is>
          <t>Chrysobalanaceae</t>
        </is>
      </c>
      <c r="D160" t="inlineStr">
        <is>
          <t>Licania</t>
        </is>
      </c>
      <c r="E160" t="inlineStr">
        <is>
          <t>micrantha</t>
        </is>
      </c>
      <c r="F160" t="inlineStr">
        <is>
          <t>GAL_50</t>
        </is>
      </c>
      <c r="G160" t="n">
        <v>1461</v>
      </c>
      <c r="H160" t="n">
        <v>8796</v>
      </c>
      <c r="I160" t="n">
        <v>0.4391</v>
      </c>
      <c r="J160" t="n">
        <v>-31.58</v>
      </c>
      <c r="K160" t="inlineStr">
        <is>
          <t>jh-p50-3627</t>
        </is>
      </c>
      <c r="L160" t="n">
        <v>2006</v>
      </c>
      <c r="M160" t="inlineStr"/>
      <c r="N160" t="inlineStr"/>
      <c r="O160" t="inlineStr"/>
      <c r="P160" t="inlineStr"/>
      <c r="Q160" t="inlineStr">
        <is>
          <t>3627</t>
        </is>
      </c>
      <c r="R160" t="inlineStr">
        <is>
          <t>leaf herbarium</t>
        </is>
      </c>
      <c r="S160" t="inlineStr">
        <is>
          <t>Galeras</t>
        </is>
      </c>
      <c r="T160" t="n">
        <v>1500</v>
      </c>
    </row>
    <row r="161">
      <c r="A161" s="1" t="n">
        <v>49</v>
      </c>
      <c r="B161" t="n">
        <v>50</v>
      </c>
      <c r="C161" t="inlineStr">
        <is>
          <t>Chrysobalanaceae</t>
        </is>
      </c>
      <c r="D161" t="inlineStr">
        <is>
          <t>Licania</t>
        </is>
      </c>
      <c r="E161" t="inlineStr">
        <is>
          <t>micrantha</t>
        </is>
      </c>
      <c r="F161" t="inlineStr">
        <is>
          <t>GAL_50</t>
        </is>
      </c>
      <c r="G161" t="n">
        <v>1461</v>
      </c>
      <c r="H161" t="n">
        <v>8796</v>
      </c>
      <c r="I161" t="n">
        <v>44.3525207133124</v>
      </c>
      <c r="J161" t="n">
        <v>-31.7096539307129</v>
      </c>
      <c r="K161" t="inlineStr">
        <is>
          <t>p50-8796</t>
        </is>
      </c>
      <c r="L161" t="n">
        <v>2025</v>
      </c>
      <c r="M161" t="inlineStr"/>
      <c r="N161" t="inlineStr"/>
      <c r="O161" t="inlineStr"/>
      <c r="P161" t="inlineStr"/>
      <c r="Q161" t="inlineStr">
        <is>
          <t>3627</t>
        </is>
      </c>
      <c r="R161" t="inlineStr">
        <is>
          <t>leaf pulverized</t>
        </is>
      </c>
      <c r="S161" t="inlineStr">
        <is>
          <t>Galeras</t>
        </is>
      </c>
      <c r="T161" t="n">
        <v>1500</v>
      </c>
    </row>
    <row r="162">
      <c r="A162" s="1" t="n">
        <v>52</v>
      </c>
      <c r="B162" t="n">
        <v>50</v>
      </c>
      <c r="C162" t="inlineStr">
        <is>
          <t>Euphorbiaceae</t>
        </is>
      </c>
      <c r="D162" t="inlineStr">
        <is>
          <t>Alchornea</t>
        </is>
      </c>
      <c r="E162" t="inlineStr">
        <is>
          <t>triplinervia</t>
        </is>
      </c>
      <c r="F162" t="inlineStr">
        <is>
          <t>GAL_50</t>
        </is>
      </c>
      <c r="G162" t="n">
        <v>1464</v>
      </c>
      <c r="H162" t="n">
        <v>8800</v>
      </c>
      <c r="I162" t="n">
        <v>45.4401972883233</v>
      </c>
      <c r="J162" t="n">
        <v>-27.1383504370339</v>
      </c>
      <c r="K162" t="inlineStr">
        <is>
          <t>jh-3625</t>
        </is>
      </c>
      <c r="L162" t="n">
        <v>2006</v>
      </c>
      <c r="M162" t="inlineStr"/>
      <c r="N162" t="inlineStr"/>
      <c r="O162" t="inlineStr"/>
      <c r="P162" t="inlineStr"/>
      <c r="Q162" t="inlineStr">
        <is>
          <t>3625</t>
        </is>
      </c>
      <c r="R162" t="inlineStr">
        <is>
          <t>leaf herbarium</t>
        </is>
      </c>
      <c r="S162" t="inlineStr">
        <is>
          <t>Galeras</t>
        </is>
      </c>
      <c r="T162" t="n">
        <v>1500</v>
      </c>
    </row>
    <row r="163">
      <c r="A163" s="1" t="n">
        <v>107</v>
      </c>
      <c r="B163" t="n">
        <v>50</v>
      </c>
      <c r="C163" t="inlineStr">
        <is>
          <t>Euphorbiaceae</t>
        </is>
      </c>
      <c r="D163" t="inlineStr">
        <is>
          <t>Alchornea</t>
        </is>
      </c>
      <c r="E163" t="inlineStr">
        <is>
          <t>triplinervia</t>
        </is>
      </c>
      <c r="F163" t="inlineStr">
        <is>
          <t>GAL_50</t>
        </is>
      </c>
      <c r="G163" t="n">
        <v>1464</v>
      </c>
      <c r="H163" t="n">
        <v>8800</v>
      </c>
      <c r="I163" t="n">
        <v>0.4766</v>
      </c>
      <c r="J163" t="n">
        <v>-28.8</v>
      </c>
      <c r="K163" t="inlineStr">
        <is>
          <t>jh-p50-3625</t>
        </is>
      </c>
      <c r="L163" t="n">
        <v>2006</v>
      </c>
      <c r="M163" t="inlineStr"/>
      <c r="N163" t="inlineStr"/>
      <c r="O163" t="inlineStr"/>
      <c r="P163" t="inlineStr"/>
      <c r="Q163" t="inlineStr">
        <is>
          <t>3625</t>
        </is>
      </c>
      <c r="R163" t="inlineStr">
        <is>
          <t>leaf herbarium</t>
        </is>
      </c>
      <c r="S163" t="inlineStr">
        <is>
          <t>Galeras</t>
        </is>
      </c>
      <c r="T163" t="n">
        <v>1500</v>
      </c>
    </row>
    <row r="164">
      <c r="A164" s="1" t="n">
        <v>53</v>
      </c>
      <c r="B164" t="n">
        <v>50</v>
      </c>
      <c r="C164" t="inlineStr">
        <is>
          <t>Euphorbiaceae</t>
        </is>
      </c>
      <c r="D164" t="inlineStr">
        <is>
          <t>Alchornea</t>
        </is>
      </c>
      <c r="E164" t="inlineStr">
        <is>
          <t>triplinervia</t>
        </is>
      </c>
      <c r="F164" t="inlineStr">
        <is>
          <t>GAL_50</t>
        </is>
      </c>
      <c r="G164" t="n">
        <v>1464</v>
      </c>
      <c r="H164" t="n">
        <v>8800</v>
      </c>
      <c r="I164" t="n">
        <v>44.9796090135757</v>
      </c>
      <c r="J164" t="n">
        <v>-28.1255697789897</v>
      </c>
      <c r="K164" t="inlineStr">
        <is>
          <t>p50-8800</t>
        </is>
      </c>
      <c r="L164" t="n">
        <v>2025</v>
      </c>
      <c r="M164" t="inlineStr"/>
      <c r="N164" t="inlineStr"/>
      <c r="O164" t="inlineStr"/>
      <c r="P164" t="inlineStr"/>
      <c r="Q164" t="inlineStr">
        <is>
          <t>3625</t>
        </is>
      </c>
      <c r="R164" t="inlineStr">
        <is>
          <t>leaf pulverized</t>
        </is>
      </c>
      <c r="S164" t="inlineStr">
        <is>
          <t>Galeras</t>
        </is>
      </c>
      <c r="T164" t="n">
        <v>1500</v>
      </c>
    </row>
    <row r="165">
      <c r="A165" s="1" t="n">
        <v>91</v>
      </c>
      <c r="B165" t="n">
        <v>50</v>
      </c>
      <c r="C165" t="inlineStr">
        <is>
          <t>Sapotaceae</t>
        </is>
      </c>
      <c r="D165" t="inlineStr">
        <is>
          <t>Pouteria</t>
        </is>
      </c>
      <c r="E165" t="inlineStr">
        <is>
          <t>cuspidata</t>
        </is>
      </c>
      <c r="F165" t="inlineStr">
        <is>
          <t>GAL_50</t>
        </is>
      </c>
      <c r="G165" t="n">
        <v>1489</v>
      </c>
      <c r="H165" t="inlineStr"/>
      <c r="I165" t="n">
        <v>0.4883</v>
      </c>
      <c r="J165" t="n">
        <v>-31.33</v>
      </c>
      <c r="K165" t="inlineStr">
        <is>
          <t>jh-p50-3618</t>
        </is>
      </c>
      <c r="L165" t="n">
        <v>2006</v>
      </c>
      <c r="M165" t="inlineStr"/>
      <c r="N165" t="inlineStr"/>
      <c r="O165" t="inlineStr"/>
      <c r="P165" t="inlineStr"/>
      <c r="Q165" t="inlineStr">
        <is>
          <t>3618</t>
        </is>
      </c>
      <c r="R165" t="inlineStr">
        <is>
          <t>leaf herbarium</t>
        </is>
      </c>
      <c r="S165" t="inlineStr">
        <is>
          <t>Galeras</t>
        </is>
      </c>
      <c r="T165" t="n">
        <v>1500</v>
      </c>
    </row>
    <row r="166">
      <c r="A166" s="1" t="n">
        <v>64</v>
      </c>
      <c r="B166" t="n">
        <v>60</v>
      </c>
      <c r="C166" t="inlineStr">
        <is>
          <t>Calophyllaceae</t>
        </is>
      </c>
      <c r="D166" t="inlineStr">
        <is>
          <t>Marila</t>
        </is>
      </c>
      <c r="E166" t="inlineStr"/>
      <c r="F166" t="inlineStr">
        <is>
          <t>GAL_60</t>
        </is>
      </c>
      <c r="G166" t="n">
        <v>1806</v>
      </c>
      <c r="H166" t="n">
        <v>8743</v>
      </c>
      <c r="I166" t="n">
        <v>47.76</v>
      </c>
      <c r="J166" t="n">
        <v>-29.3</v>
      </c>
      <c r="K166" t="inlineStr">
        <is>
          <t>jh-3662</t>
        </is>
      </c>
      <c r="L166" t="n">
        <v>2006</v>
      </c>
      <c r="M166" t="inlineStr"/>
      <c r="N166" t="inlineStr"/>
      <c r="O166" t="inlineStr"/>
      <c r="P166" t="inlineStr"/>
      <c r="Q166" t="inlineStr">
        <is>
          <t>3662, =2512</t>
        </is>
      </c>
      <c r="R166" t="inlineStr">
        <is>
          <t>leaf herbarium</t>
        </is>
      </c>
      <c r="S166" t="inlineStr">
        <is>
          <t>Galeras</t>
        </is>
      </c>
      <c r="T166" t="n">
        <v>1500</v>
      </c>
    </row>
    <row r="167">
      <c r="A167" s="1" t="n">
        <v>32</v>
      </c>
      <c r="B167" t="n">
        <v>60</v>
      </c>
      <c r="C167" t="inlineStr">
        <is>
          <t>Calophyllaceae</t>
        </is>
      </c>
      <c r="D167" t="inlineStr">
        <is>
          <t>Marila</t>
        </is>
      </c>
      <c r="E167" t="inlineStr"/>
      <c r="F167" t="inlineStr">
        <is>
          <t>GAL_60</t>
        </is>
      </c>
      <c r="G167" t="n">
        <v>1806</v>
      </c>
      <c r="H167" t="n">
        <v>8743</v>
      </c>
      <c r="I167" t="n">
        <v>43.9215008824832</v>
      </c>
      <c r="J167" t="n">
        <v>-30.4205716335254</v>
      </c>
      <c r="K167" t="inlineStr">
        <is>
          <t>p60-8743</t>
        </is>
      </c>
      <c r="L167" t="n">
        <v>2025</v>
      </c>
      <c r="M167" t="n">
        <v>0.015013997</v>
      </c>
      <c r="N167" t="n">
        <v>0.48018793</v>
      </c>
      <c r="O167" t="n">
        <v>-0.07041666666666911</v>
      </c>
      <c r="P167" t="n">
        <v>-32.04559024390244</v>
      </c>
      <c r="Q167" t="inlineStr">
        <is>
          <t>3662, =2512</t>
        </is>
      </c>
      <c r="R167" t="inlineStr">
        <is>
          <t>leaf pulverized</t>
        </is>
      </c>
      <c r="S167" t="inlineStr">
        <is>
          <t>Galeras</t>
        </is>
      </c>
      <c r="T167" t="n">
        <v>1500</v>
      </c>
    </row>
    <row r="168">
      <c r="A168" s="1" t="n">
        <v>84</v>
      </c>
      <c r="B168" t="n">
        <v>60</v>
      </c>
      <c r="C168" t="inlineStr"/>
      <c r="D168" t="inlineStr"/>
      <c r="E168" t="inlineStr"/>
      <c r="F168" t="inlineStr">
        <is>
          <t>GAL_60</t>
        </is>
      </c>
      <c r="G168" t="n">
        <v>1833</v>
      </c>
      <c r="H168" t="n">
        <v>8744</v>
      </c>
      <c r="I168" t="n">
        <v>0.4404</v>
      </c>
      <c r="J168" t="n">
        <v>-30.74</v>
      </c>
      <c r="K168" t="inlineStr">
        <is>
          <t>jh-p60-3658</t>
        </is>
      </c>
      <c r="L168" t="n">
        <v>2006</v>
      </c>
      <c r="M168" t="inlineStr"/>
      <c r="N168" t="inlineStr"/>
      <c r="O168" t="inlineStr"/>
      <c r="P168" t="inlineStr"/>
      <c r="Q168" t="n">
        <v>3658</v>
      </c>
      <c r="R168" t="inlineStr">
        <is>
          <t>leaf herbarium</t>
        </is>
      </c>
      <c r="S168" t="inlineStr">
        <is>
          <t>Galeras</t>
        </is>
      </c>
      <c r="T168" t="n">
        <v>1500</v>
      </c>
    </row>
    <row r="169">
      <c r="A169" s="1" t="n">
        <v>33</v>
      </c>
      <c r="B169" t="n">
        <v>60</v>
      </c>
      <c r="C169" t="inlineStr"/>
      <c r="D169" t="inlineStr"/>
      <c r="E169" t="inlineStr"/>
      <c r="F169" t="inlineStr">
        <is>
          <t>GAL_60</t>
        </is>
      </c>
      <c r="G169" t="n">
        <v>1833</v>
      </c>
      <c r="H169" t="n">
        <v>8744</v>
      </c>
      <c r="I169" t="n">
        <v>44.8352868834149</v>
      </c>
      <c r="J169" t="n">
        <v>-29.1690486954253</v>
      </c>
      <c r="K169" t="inlineStr">
        <is>
          <t>p60-8744</t>
        </is>
      </c>
      <c r="L169" t="n">
        <v>2025</v>
      </c>
      <c r="M169" t="n">
        <v>0.044596189</v>
      </c>
      <c r="N169" t="n">
        <v>0.481715401</v>
      </c>
      <c r="O169" t="n">
        <v>0.7288207070707049</v>
      </c>
      <c r="P169" t="n">
        <v>-31.62277285259809</v>
      </c>
      <c r="Q169" t="n">
        <v>3658</v>
      </c>
      <c r="R169" t="inlineStr">
        <is>
          <t>leaf pulverized</t>
        </is>
      </c>
      <c r="S169" t="inlineStr">
        <is>
          <t>Galeras</t>
        </is>
      </c>
      <c r="T169" t="n">
        <v>1500</v>
      </c>
    </row>
    <row r="170">
      <c r="A170" s="1" t="n">
        <v>39</v>
      </c>
      <c r="B170" t="n">
        <v>60</v>
      </c>
      <c r="C170" t="inlineStr">
        <is>
          <t>Lecythidaceae</t>
        </is>
      </c>
      <c r="D170" t="inlineStr">
        <is>
          <t>Eschweilera</t>
        </is>
      </c>
      <c r="E170" t="inlineStr"/>
      <c r="F170" t="inlineStr">
        <is>
          <t>GAL_60</t>
        </is>
      </c>
      <c r="G170" t="n">
        <v>1831</v>
      </c>
      <c r="H170" t="n">
        <v>8751</v>
      </c>
      <c r="I170" t="n">
        <v>43.9985520392265</v>
      </c>
      <c r="J170" t="n">
        <v>-27.7592202890675</v>
      </c>
      <c r="K170" t="inlineStr">
        <is>
          <t>p60-8751</t>
        </is>
      </c>
      <c r="L170" t="n">
        <v>2025</v>
      </c>
      <c r="M170" t="n">
        <v>0.028111833</v>
      </c>
      <c r="N170" t="n">
        <v>0.477432064</v>
      </c>
      <c r="O170" t="n">
        <v>1.268845959595958</v>
      </c>
      <c r="P170" t="n">
        <v>-30.73588759278897</v>
      </c>
      <c r="Q170" t="n">
        <v>3670</v>
      </c>
      <c r="R170" t="inlineStr">
        <is>
          <t>leaf pulverized</t>
        </is>
      </c>
      <c r="S170" t="inlineStr">
        <is>
          <t>Galeras</t>
        </is>
      </c>
      <c r="T170" t="n">
        <v>1500</v>
      </c>
    </row>
    <row r="171">
      <c r="A171" s="1" t="n">
        <v>87</v>
      </c>
      <c r="B171" t="n">
        <v>60</v>
      </c>
      <c r="C171" t="inlineStr">
        <is>
          <t>Lauraceae</t>
        </is>
      </c>
      <c r="D171" t="inlineStr">
        <is>
          <t>Ocotea</t>
        </is>
      </c>
      <c r="E171" t="inlineStr">
        <is>
          <t>subrutilans</t>
        </is>
      </c>
      <c r="F171" t="inlineStr">
        <is>
          <t>GAL_60</t>
        </is>
      </c>
      <c r="G171" t="n">
        <v>1830</v>
      </c>
      <c r="H171" t="n">
        <v>8752</v>
      </c>
      <c r="I171" t="n">
        <v>0.5248</v>
      </c>
      <c r="J171" t="n">
        <v>-30.97</v>
      </c>
      <c r="K171" t="inlineStr">
        <is>
          <t>jh-p60-3660</t>
        </is>
      </c>
      <c r="L171" t="n">
        <v>2006</v>
      </c>
      <c r="M171" t="inlineStr"/>
      <c r="N171" t="inlineStr"/>
      <c r="O171" t="inlineStr"/>
      <c r="P171" t="inlineStr"/>
      <c r="Q171" t="n">
        <v>3660</v>
      </c>
      <c r="R171" t="inlineStr">
        <is>
          <t>leaf herbarium</t>
        </is>
      </c>
      <c r="S171" t="inlineStr">
        <is>
          <t>Galeras</t>
        </is>
      </c>
      <c r="T171" t="n">
        <v>1500</v>
      </c>
    </row>
    <row r="172">
      <c r="A172" s="1" t="n">
        <v>30</v>
      </c>
      <c r="B172" t="n">
        <v>60</v>
      </c>
      <c r="C172" t="inlineStr">
        <is>
          <t>Lauraceae</t>
        </is>
      </c>
      <c r="D172" t="inlineStr">
        <is>
          <t>Ocotea</t>
        </is>
      </c>
      <c r="E172" t="inlineStr">
        <is>
          <t>subrutilans</t>
        </is>
      </c>
      <c r="F172" t="inlineStr">
        <is>
          <t>GAL_60</t>
        </is>
      </c>
      <c r="G172" t="n">
        <v>1830</v>
      </c>
      <c r="H172" t="n">
        <v>8752</v>
      </c>
      <c r="I172" t="n">
        <v>42.4102060321098</v>
      </c>
      <c r="J172" t="n">
        <v>-29.1399936400367</v>
      </c>
      <c r="K172" t="inlineStr">
        <is>
          <t>p60-8752</t>
        </is>
      </c>
      <c r="L172" t="n">
        <v>2025</v>
      </c>
      <c r="M172" t="n">
        <v>0.013743392</v>
      </c>
      <c r="N172" t="n">
        <v>0.501774224</v>
      </c>
      <c r="O172" t="n">
        <v>-6.647924242424247</v>
      </c>
      <c r="P172" t="n">
        <v>-31.91152619300106</v>
      </c>
      <c r="Q172" t="n">
        <v>3660</v>
      </c>
      <c r="R172" t="inlineStr">
        <is>
          <t>leaf pulverized</t>
        </is>
      </c>
      <c r="S172" t="inlineStr">
        <is>
          <t>Galeras</t>
        </is>
      </c>
      <c r="T172" t="n">
        <v>1500</v>
      </c>
    </row>
    <row r="173">
      <c r="A173" s="1" t="n">
        <v>36</v>
      </c>
      <c r="B173" t="n">
        <v>60</v>
      </c>
      <c r="C173" t="inlineStr">
        <is>
          <t>Myrtaceae</t>
        </is>
      </c>
      <c r="D173" t="inlineStr"/>
      <c r="E173" t="inlineStr"/>
      <c r="F173" t="inlineStr">
        <is>
          <t>GAL_60</t>
        </is>
      </c>
      <c r="G173" t="n">
        <v>1815</v>
      </c>
      <c r="H173" t="n">
        <v>8760</v>
      </c>
      <c r="I173" t="n">
        <v>42.4809951955718</v>
      </c>
      <c r="J173" t="n">
        <v>-30.8542060443791</v>
      </c>
      <c r="K173" t="inlineStr">
        <is>
          <t>p60-8760</t>
        </is>
      </c>
      <c r="L173" t="n">
        <v>2025</v>
      </c>
      <c r="M173" t="n">
        <v>0.013759967</v>
      </c>
      <c r="N173" t="n">
        <v>0.471447479</v>
      </c>
      <c r="O173" t="n">
        <v>-3.591381313131317</v>
      </c>
      <c r="P173" t="n">
        <v>-33.0046638388123</v>
      </c>
      <c r="Q173" t="inlineStr"/>
      <c r="R173" t="inlineStr">
        <is>
          <t>leaf pulverized</t>
        </is>
      </c>
      <c r="S173" t="inlineStr">
        <is>
          <t>Galeras</t>
        </is>
      </c>
      <c r="T173" t="n">
        <v>1500</v>
      </c>
    </row>
    <row r="174">
      <c r="A174" s="1" t="n">
        <v>42</v>
      </c>
      <c r="B174" t="n">
        <v>60</v>
      </c>
      <c r="C174" t="inlineStr">
        <is>
          <t>Lauraceae</t>
        </is>
      </c>
      <c r="D174" t="inlineStr">
        <is>
          <t>Ocotea</t>
        </is>
      </c>
      <c r="E174" t="inlineStr"/>
      <c r="F174" t="inlineStr">
        <is>
          <t>GAL_60</t>
        </is>
      </c>
      <c r="G174" t="n">
        <v>1813</v>
      </c>
      <c r="H174" t="n">
        <v>8763</v>
      </c>
      <c r="I174" t="n">
        <v>47.2527444857905</v>
      </c>
      <c r="J174" t="n">
        <v>-30.3548040503321</v>
      </c>
      <c r="K174" t="inlineStr">
        <is>
          <t>jh-3657</t>
        </is>
      </c>
      <c r="L174" t="n">
        <v>2006</v>
      </c>
      <c r="M174" t="inlineStr"/>
      <c r="N174" t="inlineStr"/>
      <c r="O174" t="inlineStr"/>
      <c r="P174" t="inlineStr"/>
      <c r="Q174" t="n">
        <v>3657</v>
      </c>
      <c r="R174" t="inlineStr">
        <is>
          <t>leaf herbarium</t>
        </is>
      </c>
      <c r="S174" t="inlineStr">
        <is>
          <t>Galeras</t>
        </is>
      </c>
      <c r="T174" t="n">
        <v>1500</v>
      </c>
    </row>
    <row r="175">
      <c r="A175" s="1" t="n">
        <v>38</v>
      </c>
      <c r="B175" t="n">
        <v>60</v>
      </c>
      <c r="C175" t="inlineStr">
        <is>
          <t>Lauraceae</t>
        </is>
      </c>
      <c r="D175" t="inlineStr">
        <is>
          <t>Ocotea</t>
        </is>
      </c>
      <c r="E175" t="inlineStr"/>
      <c r="F175" t="inlineStr">
        <is>
          <t>GAL_60</t>
        </is>
      </c>
      <c r="G175" t="n">
        <v>1813</v>
      </c>
      <c r="H175" t="n">
        <v>8763</v>
      </c>
      <c r="I175" t="n">
        <v>43.4781494563771</v>
      </c>
      <c r="J175" t="n">
        <v>-28.9019351063201</v>
      </c>
      <c r="K175" t="inlineStr">
        <is>
          <t>p60-8763</t>
        </is>
      </c>
      <c r="L175" t="n">
        <v>2025</v>
      </c>
      <c r="M175" t="n">
        <v>0.019263705</v>
      </c>
      <c r="N175" t="n">
        <v>0.48746175</v>
      </c>
      <c r="O175" t="n">
        <v>-1.960505050505054</v>
      </c>
      <c r="P175" t="n">
        <v>-31.76714952279958</v>
      </c>
      <c r="Q175" t="n">
        <v>3657</v>
      </c>
      <c r="R175" t="inlineStr">
        <is>
          <t>leaf pulverized</t>
        </is>
      </c>
      <c r="S175" t="inlineStr">
        <is>
          <t>Galeras</t>
        </is>
      </c>
      <c r="T175" t="n">
        <v>1500</v>
      </c>
    </row>
    <row r="176">
      <c r="A176" s="1" t="n">
        <v>29</v>
      </c>
      <c r="B176" t="n">
        <v>60</v>
      </c>
      <c r="C176" t="inlineStr">
        <is>
          <t>Myrtaceae</t>
        </is>
      </c>
      <c r="D176" t="inlineStr"/>
      <c r="E176" t="inlineStr"/>
      <c r="F176" t="inlineStr">
        <is>
          <t>GAL_60</t>
        </is>
      </c>
      <c r="G176" t="n">
        <v>1812</v>
      </c>
      <c r="H176" t="n">
        <v>8766</v>
      </c>
      <c r="I176" t="n">
        <v>44.8741459752896</v>
      </c>
      <c r="J176" t="n">
        <v>-32.4656005500957</v>
      </c>
      <c r="K176" t="inlineStr">
        <is>
          <t>p60-8766</t>
        </is>
      </c>
      <c r="L176" t="n">
        <v>2025</v>
      </c>
      <c r="M176" t="n">
        <v>0.012963235</v>
      </c>
      <c r="N176" t="n">
        <v>0.433789416</v>
      </c>
      <c r="O176" t="n">
        <v>-3.980199494949499</v>
      </c>
      <c r="P176" t="n">
        <v>-34.38655482502651</v>
      </c>
      <c r="Q176" t="inlineStr"/>
      <c r="R176" t="inlineStr">
        <is>
          <t>leaf pulverized</t>
        </is>
      </c>
      <c r="S176" t="inlineStr">
        <is>
          <t>Galeras</t>
        </is>
      </c>
      <c r="T176" t="n">
        <v>1500</v>
      </c>
    </row>
    <row r="177">
      <c r="A177" s="1" t="n">
        <v>113</v>
      </c>
      <c r="B177" t="n">
        <v>60</v>
      </c>
      <c r="C177" t="inlineStr">
        <is>
          <t>Lecythidaceae</t>
        </is>
      </c>
      <c r="D177" t="inlineStr">
        <is>
          <t>Eschweilera</t>
        </is>
      </c>
      <c r="E177" t="inlineStr"/>
      <c r="F177" t="inlineStr">
        <is>
          <t>GAL_60</t>
        </is>
      </c>
      <c r="G177" t="n">
        <v>1823</v>
      </c>
      <c r="H177" t="n">
        <v>8767</v>
      </c>
      <c r="I177" t="n">
        <v>0.5252</v>
      </c>
      <c r="J177" t="n">
        <v>-30.96</v>
      </c>
      <c r="K177" t="inlineStr">
        <is>
          <t>jh-p60-5010</t>
        </is>
      </c>
      <c r="L177" t="n">
        <v>2006</v>
      </c>
      <c r="M177" t="inlineStr"/>
      <c r="N177" t="inlineStr"/>
      <c r="O177" t="inlineStr"/>
      <c r="P177" t="inlineStr"/>
      <c r="Q177" t="inlineStr">
        <is>
          <t>5010, same as 3670</t>
        </is>
      </c>
      <c r="R177" t="inlineStr">
        <is>
          <t>leaf herbarium</t>
        </is>
      </c>
      <c r="S177" t="inlineStr">
        <is>
          <t>Galeras</t>
        </is>
      </c>
      <c r="T177" t="n">
        <v>1500</v>
      </c>
    </row>
    <row r="178">
      <c r="A178" s="1" t="n">
        <v>50</v>
      </c>
      <c r="B178" t="n">
        <v>60</v>
      </c>
      <c r="C178" t="inlineStr">
        <is>
          <t>Peraceae</t>
        </is>
      </c>
      <c r="D178" t="inlineStr">
        <is>
          <t>Chaetocarpus</t>
        </is>
      </c>
      <c r="E178" t="inlineStr"/>
      <c r="F178" t="inlineStr">
        <is>
          <t>GAL_60</t>
        </is>
      </c>
      <c r="G178" t="n">
        <v>1807</v>
      </c>
      <c r="H178" t="n">
        <v>8769</v>
      </c>
      <c r="I178" t="n">
        <v>45.7823754579709</v>
      </c>
      <c r="J178" t="n">
        <v>-30.3566622790315</v>
      </c>
      <c r="K178" t="inlineStr">
        <is>
          <t>jh-2525</t>
        </is>
      </c>
      <c r="L178" t="n">
        <v>2006</v>
      </c>
      <c r="M178" t="inlineStr"/>
      <c r="N178" t="inlineStr"/>
      <c r="O178" t="inlineStr"/>
      <c r="P178" t="inlineStr"/>
      <c r="Q178" t="n">
        <v>2525</v>
      </c>
      <c r="R178" t="inlineStr">
        <is>
          <t>leaf herbarium</t>
        </is>
      </c>
      <c r="S178" t="inlineStr">
        <is>
          <t>Galeras</t>
        </is>
      </c>
      <c r="T178" t="n">
        <v>1500</v>
      </c>
    </row>
    <row r="179">
      <c r="A179" s="1" t="n">
        <v>34</v>
      </c>
      <c r="B179" t="n">
        <v>60</v>
      </c>
      <c r="C179" t="inlineStr">
        <is>
          <t>Peraceae</t>
        </is>
      </c>
      <c r="D179" t="inlineStr">
        <is>
          <t>Chaetocarpus</t>
        </is>
      </c>
      <c r="E179" t="inlineStr"/>
      <c r="F179" t="inlineStr">
        <is>
          <t>GAL_60</t>
        </is>
      </c>
      <c r="G179" t="n">
        <v>1807</v>
      </c>
      <c r="H179" t="n">
        <v>8769</v>
      </c>
      <c r="I179" t="n">
        <v>41.977821520632</v>
      </c>
      <c r="J179" t="n">
        <v>-27.7086792381737</v>
      </c>
      <c r="K179" t="inlineStr">
        <is>
          <t>p60-8769</t>
        </is>
      </c>
      <c r="L179" t="n">
        <v>2025</v>
      </c>
      <c r="M179" t="n">
        <v>0.014747839</v>
      </c>
      <c r="N179" t="n">
        <v>0.429043863</v>
      </c>
      <c r="O179" t="n">
        <v>-1.074863636363639</v>
      </c>
      <c r="P179" t="n">
        <v>-29.70462566277837</v>
      </c>
      <c r="Q179" t="n">
        <v>2525</v>
      </c>
      <c r="R179" t="inlineStr">
        <is>
          <t>leaf pulverized</t>
        </is>
      </c>
      <c r="S179" t="inlineStr">
        <is>
          <t>Galeras</t>
        </is>
      </c>
      <c r="T179" t="n">
        <v>1500</v>
      </c>
    </row>
    <row r="180">
      <c r="A180" s="1" t="n">
        <v>37</v>
      </c>
      <c r="B180" t="n">
        <v>60</v>
      </c>
      <c r="C180" t="inlineStr">
        <is>
          <t>Moraceae</t>
        </is>
      </c>
      <c r="D180" t="inlineStr">
        <is>
          <t>Helicostylis</t>
        </is>
      </c>
      <c r="E180" t="inlineStr">
        <is>
          <t>tovariensis</t>
        </is>
      </c>
      <c r="F180" t="inlineStr">
        <is>
          <t>GAL_60</t>
        </is>
      </c>
      <c r="G180" t="n">
        <v>1802</v>
      </c>
      <c r="H180" t="n">
        <v>8774</v>
      </c>
      <c r="I180" t="n">
        <v>43.3265177052123</v>
      </c>
      <c r="J180" t="n">
        <v>-29.3334332956575</v>
      </c>
      <c r="K180" t="inlineStr">
        <is>
          <t>p60-8774</t>
        </is>
      </c>
      <c r="L180" t="n">
        <v>2025</v>
      </c>
      <c r="M180" t="n">
        <v>0.025687413</v>
      </c>
      <c r="N180" t="n">
        <v>0.41838771</v>
      </c>
      <c r="O180" t="n">
        <v>-0.2756262626262652</v>
      </c>
      <c r="P180" t="n">
        <v>-30.73588759278897</v>
      </c>
      <c r="Q180" t="n">
        <v>2523</v>
      </c>
      <c r="R180" t="inlineStr">
        <is>
          <t>leaf pulverized</t>
        </is>
      </c>
      <c r="S180" t="inlineStr">
        <is>
          <t>Galeras</t>
        </is>
      </c>
      <c r="T180" t="n">
        <v>1500</v>
      </c>
    </row>
    <row r="181">
      <c r="A181" s="1" t="n">
        <v>31</v>
      </c>
      <c r="B181" t="n">
        <v>60</v>
      </c>
      <c r="C181" t="inlineStr">
        <is>
          <t>Rubiaceae</t>
        </is>
      </c>
      <c r="D181" t="inlineStr">
        <is>
          <t>Ladenbergia</t>
        </is>
      </c>
      <c r="E181" t="inlineStr">
        <is>
          <t>acutifolia</t>
        </is>
      </c>
      <c r="F181" t="inlineStr">
        <is>
          <t>GAL_60</t>
        </is>
      </c>
      <c r="G181" t="n">
        <v>1803</v>
      </c>
      <c r="H181" t="n">
        <v>8776</v>
      </c>
      <c r="I181" t="n">
        <v>44.2966355141506</v>
      </c>
      <c r="J181" t="n">
        <v>-30.2160572754191</v>
      </c>
      <c r="K181" t="inlineStr">
        <is>
          <t>p60-8776</t>
        </is>
      </c>
      <c r="L181" t="n">
        <v>2025</v>
      </c>
      <c r="M181" t="n">
        <v>0.014257494</v>
      </c>
      <c r="N181" t="n">
        <v>0.487097855</v>
      </c>
      <c r="O181" t="n">
        <v>-3.3429696969697</v>
      </c>
      <c r="P181" t="n">
        <v>-32.36528144220573</v>
      </c>
      <c r="Q181" t="n">
        <v>3611</v>
      </c>
      <c r="R181" t="inlineStr">
        <is>
          <t>leaf pulverized</t>
        </is>
      </c>
      <c r="S181" t="inlineStr">
        <is>
          <t>Galeras</t>
        </is>
      </c>
      <c r="T181" t="n">
        <v>1500</v>
      </c>
    </row>
    <row r="182">
      <c r="A182" s="1" t="n">
        <v>55</v>
      </c>
      <c r="B182" t="n">
        <v>60</v>
      </c>
      <c r="C182" t="inlineStr">
        <is>
          <t>Lauraceae</t>
        </is>
      </c>
      <c r="D182" t="inlineStr">
        <is>
          <t>Ocotea</t>
        </is>
      </c>
      <c r="E182" t="inlineStr"/>
      <c r="F182" t="inlineStr">
        <is>
          <t>GAL_60</t>
        </is>
      </c>
      <c r="G182" t="n">
        <v>1804</v>
      </c>
      <c r="H182" t="n">
        <v>8777</v>
      </c>
      <c r="I182" t="n">
        <v>44.7846716829324</v>
      </c>
      <c r="J182" t="n">
        <v>-32.3945640908721</v>
      </c>
      <c r="K182" t="inlineStr">
        <is>
          <t>jh-3659</t>
        </is>
      </c>
      <c r="L182" t="n">
        <v>2006</v>
      </c>
      <c r="M182" t="inlineStr"/>
      <c r="N182" t="inlineStr"/>
      <c r="O182" t="inlineStr"/>
      <c r="P182" t="inlineStr"/>
      <c r="Q182" t="inlineStr">
        <is>
          <t>3659 und 2524</t>
        </is>
      </c>
      <c r="R182" t="inlineStr">
        <is>
          <t>leaf herbarium</t>
        </is>
      </c>
      <c r="S182" t="inlineStr">
        <is>
          <t>Galeras</t>
        </is>
      </c>
      <c r="T182" t="n">
        <v>1500</v>
      </c>
    </row>
    <row r="183">
      <c r="A183" s="1" t="n">
        <v>73</v>
      </c>
      <c r="B183" t="n">
        <v>60</v>
      </c>
      <c r="C183" t="inlineStr">
        <is>
          <t>Lauraceae</t>
        </is>
      </c>
      <c r="D183" t="inlineStr">
        <is>
          <t>Ocotea</t>
        </is>
      </c>
      <c r="E183" t="inlineStr"/>
      <c r="F183" t="inlineStr">
        <is>
          <t>GAL_60</t>
        </is>
      </c>
      <c r="G183" t="n">
        <v>1804</v>
      </c>
      <c r="H183" t="n">
        <v>8777</v>
      </c>
      <c r="I183" t="n">
        <v>44.55</v>
      </c>
      <c r="J183" t="n">
        <v>-31.83</v>
      </c>
      <c r="K183" t="inlineStr">
        <is>
          <t>jh-3659</t>
        </is>
      </c>
      <c r="L183" t="n">
        <v>2006</v>
      </c>
      <c r="M183" t="inlineStr"/>
      <c r="N183" t="inlineStr"/>
      <c r="O183" t="inlineStr"/>
      <c r="P183" t="inlineStr"/>
      <c r="Q183" t="inlineStr">
        <is>
          <t>3659 und 2524</t>
        </is>
      </c>
      <c r="R183" t="inlineStr">
        <is>
          <t>leaf herbarium</t>
        </is>
      </c>
      <c r="S183" t="inlineStr">
        <is>
          <t>Galeras</t>
        </is>
      </c>
      <c r="T183" t="n">
        <v>1500</v>
      </c>
    </row>
    <row r="184">
      <c r="A184" s="1" t="n">
        <v>35</v>
      </c>
      <c r="B184" t="n">
        <v>60</v>
      </c>
      <c r="C184" t="inlineStr">
        <is>
          <t>Lauraceae</t>
        </is>
      </c>
      <c r="D184" t="inlineStr">
        <is>
          <t>Ocotea</t>
        </is>
      </c>
      <c r="E184" t="inlineStr"/>
      <c r="F184" t="inlineStr">
        <is>
          <t>GAL_60</t>
        </is>
      </c>
      <c r="G184" t="n">
        <v>1804</v>
      </c>
      <c r="H184" t="n">
        <v>8777</v>
      </c>
      <c r="I184" t="n">
        <v>42.9259704816289</v>
      </c>
      <c r="J184" t="n">
        <v>-32.2858487083775</v>
      </c>
      <c r="K184" t="inlineStr">
        <is>
          <t>p60-8777</t>
        </is>
      </c>
      <c r="L184" t="n">
        <v>2025</v>
      </c>
      <c r="M184" t="n">
        <v>0.019979472</v>
      </c>
      <c r="N184" t="n">
        <v>0.496829145</v>
      </c>
      <c r="O184" t="n">
        <v>-4.379818181818186</v>
      </c>
      <c r="P184" t="n">
        <v>-34.80937221633086</v>
      </c>
      <c r="Q184" t="inlineStr">
        <is>
          <t>3659 und 2524</t>
        </is>
      </c>
      <c r="R184" t="inlineStr">
        <is>
          <t>leaf pulverized</t>
        </is>
      </c>
      <c r="S184" t="inlineStr">
        <is>
          <t>Galeras</t>
        </is>
      </c>
      <c r="T184" t="n">
        <v>1500</v>
      </c>
    </row>
    <row r="185">
      <c r="A185" s="1" t="n">
        <v>43</v>
      </c>
      <c r="B185" t="n">
        <v>62</v>
      </c>
      <c r="C185" t="inlineStr">
        <is>
          <t>Apocynaceae</t>
        </is>
      </c>
      <c r="D185" t="inlineStr">
        <is>
          <t>Lacmellea</t>
        </is>
      </c>
      <c r="E185" t="inlineStr">
        <is>
          <t>speciosa</t>
        </is>
      </c>
      <c r="F185" t="inlineStr">
        <is>
          <t>GAL_48</t>
        </is>
      </c>
      <c r="G185" t="n">
        <v>1404</v>
      </c>
      <c r="H185" t="n">
        <v>8669</v>
      </c>
      <c r="I185" t="n">
        <v>51.5501825647706</v>
      </c>
      <c r="J185" t="n">
        <v>-31.9686377599029</v>
      </c>
      <c r="K185" t="inlineStr">
        <is>
          <t>p62-8669</t>
        </is>
      </c>
      <c r="L185" t="n">
        <v>2025</v>
      </c>
      <c r="M185" t="inlineStr"/>
      <c r="N185" t="inlineStr"/>
      <c r="O185" t="inlineStr"/>
      <c r="P185" t="inlineStr"/>
      <c r="Q185" t="inlineStr">
        <is>
          <t>3697</t>
        </is>
      </c>
      <c r="R185" t="inlineStr">
        <is>
          <t>leaf pulverized</t>
        </is>
      </c>
      <c r="S185" t="inlineStr">
        <is>
          <t>Galeras</t>
        </is>
      </c>
      <c r="T185" t="n">
        <v>1500</v>
      </c>
    </row>
    <row r="186">
      <c r="A186" s="1" t="n">
        <v>49</v>
      </c>
      <c r="B186" t="n">
        <v>62</v>
      </c>
      <c r="C186" t="inlineStr">
        <is>
          <t>Phyllanthaceae</t>
        </is>
      </c>
      <c r="D186" t="inlineStr">
        <is>
          <t>Hieronyma</t>
        </is>
      </c>
      <c r="E186" t="inlineStr">
        <is>
          <t>oblonga</t>
        </is>
      </c>
      <c r="F186" t="inlineStr">
        <is>
          <t>GAL_62</t>
        </is>
      </c>
      <c r="G186" t="n">
        <v>1896</v>
      </c>
      <c r="H186" t="n">
        <v>8904</v>
      </c>
      <c r="I186" t="n">
        <v>44.5570835754965</v>
      </c>
      <c r="J186" t="n">
        <v>-30.5469976395168</v>
      </c>
      <c r="K186" t="inlineStr">
        <is>
          <t>jh-2531</t>
        </is>
      </c>
      <c r="L186" t="n">
        <v>2006</v>
      </c>
      <c r="M186" t="inlineStr"/>
      <c r="N186" t="inlineStr"/>
      <c r="O186" t="inlineStr"/>
      <c r="P186" t="inlineStr"/>
      <c r="Q186" t="inlineStr">
        <is>
          <t>2531</t>
        </is>
      </c>
      <c r="R186" t="inlineStr">
        <is>
          <t>leaf herbarium</t>
        </is>
      </c>
      <c r="S186" t="inlineStr">
        <is>
          <t>Galeras</t>
        </is>
      </c>
      <c r="T186" t="n">
        <v>1500</v>
      </c>
    </row>
    <row r="187">
      <c r="A187" s="1" t="n">
        <v>63</v>
      </c>
      <c r="B187" t="n">
        <v>62</v>
      </c>
      <c r="C187" t="inlineStr">
        <is>
          <t>Phyllanthaceae</t>
        </is>
      </c>
      <c r="D187" t="inlineStr">
        <is>
          <t>Hieronyma</t>
        </is>
      </c>
      <c r="E187" t="inlineStr">
        <is>
          <t>oblonga</t>
        </is>
      </c>
      <c r="F187" t="inlineStr">
        <is>
          <t>GAL_62</t>
        </is>
      </c>
      <c r="G187" t="n">
        <v>1896</v>
      </c>
      <c r="H187" t="n">
        <v>8904</v>
      </c>
      <c r="I187" t="n">
        <v>42.8829933778642</v>
      </c>
      <c r="J187" t="n">
        <v>-30.6824111939395</v>
      </c>
      <c r="K187" t="inlineStr">
        <is>
          <t>p62-8904</t>
        </is>
      </c>
      <c r="L187" t="n">
        <v>2025</v>
      </c>
      <c r="M187" t="inlineStr"/>
      <c r="N187" t="inlineStr"/>
      <c r="O187" t="inlineStr"/>
      <c r="P187" t="inlineStr"/>
      <c r="Q187" t="inlineStr">
        <is>
          <t>2531</t>
        </is>
      </c>
      <c r="R187" t="inlineStr">
        <is>
          <t>leaf pulverized</t>
        </is>
      </c>
      <c r="S187" t="inlineStr">
        <is>
          <t>Galeras</t>
        </is>
      </c>
      <c r="T187" t="n">
        <v>1500</v>
      </c>
    </row>
    <row r="188">
      <c r="A188" s="1" t="n">
        <v>56</v>
      </c>
      <c r="B188" t="n">
        <v>62</v>
      </c>
      <c r="C188" t="inlineStr">
        <is>
          <t>Symplocaceae</t>
        </is>
      </c>
      <c r="D188" t="inlineStr">
        <is>
          <t>Symplocos</t>
        </is>
      </c>
      <c r="E188" t="inlineStr">
        <is>
          <t>cf guacamayensis</t>
        </is>
      </c>
      <c r="F188" t="inlineStr">
        <is>
          <t>GAL_62</t>
        </is>
      </c>
      <c r="G188" t="n">
        <v>1882</v>
      </c>
      <c r="H188" t="n">
        <v>8909</v>
      </c>
      <c r="I188" t="n">
        <v>43.84</v>
      </c>
      <c r="J188" t="n">
        <v>-32.97</v>
      </c>
      <c r="K188" t="inlineStr">
        <is>
          <t>jh-2529</t>
        </is>
      </c>
      <c r="L188" t="n">
        <v>2006</v>
      </c>
      <c r="M188" t="inlineStr"/>
      <c r="N188" t="inlineStr"/>
      <c r="O188" t="inlineStr"/>
      <c r="P188" t="inlineStr"/>
      <c r="Q188" t="inlineStr">
        <is>
          <t>3612,2529</t>
        </is>
      </c>
      <c r="R188" t="inlineStr">
        <is>
          <t>leaf herbarium</t>
        </is>
      </c>
      <c r="S188" t="inlineStr">
        <is>
          <t>Galeras</t>
        </is>
      </c>
      <c r="T188" t="n">
        <v>1500</v>
      </c>
    </row>
    <row r="189">
      <c r="A189" s="1" t="n">
        <v>97</v>
      </c>
      <c r="B189" t="n">
        <v>62</v>
      </c>
      <c r="C189" t="inlineStr">
        <is>
          <t>Symplocaceae</t>
        </is>
      </c>
      <c r="D189" t="inlineStr">
        <is>
          <t>Symplocos</t>
        </is>
      </c>
      <c r="E189" t="inlineStr">
        <is>
          <t>cf guacamayensis</t>
        </is>
      </c>
      <c r="F189" t="inlineStr">
        <is>
          <t>GAL_62</t>
        </is>
      </c>
      <c r="G189" t="n">
        <v>1882</v>
      </c>
      <c r="H189" t="n">
        <v>8909</v>
      </c>
      <c r="I189" t="n">
        <v>0.4979</v>
      </c>
      <c r="J189" t="n">
        <v>-31.97</v>
      </c>
      <c r="K189" t="inlineStr">
        <is>
          <t>jh-p62-3612</t>
        </is>
      </c>
      <c r="L189" t="n">
        <v>2006</v>
      </c>
      <c r="M189" t="inlineStr"/>
      <c r="N189" t="inlineStr"/>
      <c r="O189" t="inlineStr"/>
      <c r="P189" t="inlineStr"/>
      <c r="Q189" t="inlineStr">
        <is>
          <t>3612,2529</t>
        </is>
      </c>
      <c r="R189" t="inlineStr">
        <is>
          <t>leaf herbarium</t>
        </is>
      </c>
      <c r="S189" t="inlineStr">
        <is>
          <t>Galeras</t>
        </is>
      </c>
      <c r="T189" t="n">
        <v>1500</v>
      </c>
    </row>
    <row r="190">
      <c r="A190" s="1" t="n">
        <v>56</v>
      </c>
      <c r="B190" t="n">
        <v>62</v>
      </c>
      <c r="C190" t="inlineStr">
        <is>
          <t>Symplocaceae</t>
        </is>
      </c>
      <c r="D190" t="inlineStr">
        <is>
          <t>Symplocos</t>
        </is>
      </c>
      <c r="E190" t="inlineStr">
        <is>
          <t>cf guacamayensis</t>
        </is>
      </c>
      <c r="F190" t="inlineStr">
        <is>
          <t>GAL_62</t>
        </is>
      </c>
      <c r="G190" t="n">
        <v>1882</v>
      </c>
      <c r="H190" t="n">
        <v>8909</v>
      </c>
      <c r="I190" t="n">
        <v>45.7739986266509</v>
      </c>
      <c r="J190" t="n">
        <v>-31.0274126439091</v>
      </c>
      <c r="K190" t="inlineStr">
        <is>
          <t>p62-8909</t>
        </is>
      </c>
      <c r="L190" t="n">
        <v>2025</v>
      </c>
      <c r="M190" t="inlineStr"/>
      <c r="N190" t="inlineStr"/>
      <c r="O190" t="inlineStr"/>
      <c r="P190" t="inlineStr"/>
      <c r="Q190" t="inlineStr">
        <is>
          <t>3612,2529</t>
        </is>
      </c>
      <c r="R190" t="inlineStr">
        <is>
          <t>leaf pulverized</t>
        </is>
      </c>
      <c r="S190" t="inlineStr">
        <is>
          <t>Galeras</t>
        </is>
      </c>
      <c r="T190" t="n">
        <v>1500</v>
      </c>
    </row>
    <row r="191">
      <c r="A191" s="1" t="n">
        <v>60</v>
      </c>
      <c r="B191" t="n">
        <v>62</v>
      </c>
      <c r="C191" t="inlineStr">
        <is>
          <t>Cunnoniaceae</t>
        </is>
      </c>
      <c r="D191" t="inlineStr">
        <is>
          <t>Weinmannia</t>
        </is>
      </c>
      <c r="E191" t="inlineStr">
        <is>
          <t>pinnata</t>
        </is>
      </c>
      <c r="F191" t="inlineStr">
        <is>
          <t>GAL_62</t>
        </is>
      </c>
      <c r="G191" t="n">
        <v>1906</v>
      </c>
      <c r="H191" t="n">
        <v>8911</v>
      </c>
      <c r="I191" t="n">
        <v>46.08</v>
      </c>
      <c r="J191" t="n">
        <v>-26.49</v>
      </c>
      <c r="K191" t="inlineStr">
        <is>
          <t>jh-3607</t>
        </is>
      </c>
      <c r="L191" t="n">
        <v>2006</v>
      </c>
      <c r="M191" t="inlineStr"/>
      <c r="N191" t="inlineStr"/>
      <c r="O191" t="inlineStr"/>
      <c r="P191" t="inlineStr"/>
      <c r="Q191" t="inlineStr">
        <is>
          <t>3607</t>
        </is>
      </c>
      <c r="R191" t="inlineStr">
        <is>
          <t>leaf herbarium</t>
        </is>
      </c>
      <c r="S191" t="inlineStr">
        <is>
          <t>Galeras</t>
        </is>
      </c>
      <c r="T191" t="n">
        <v>1500</v>
      </c>
    </row>
    <row r="192">
      <c r="A192" s="1" t="n">
        <v>60</v>
      </c>
      <c r="B192" t="n">
        <v>62</v>
      </c>
      <c r="C192" t="inlineStr">
        <is>
          <t>Cunnoniaceae</t>
        </is>
      </c>
      <c r="D192" t="inlineStr">
        <is>
          <t>Weinmannia</t>
        </is>
      </c>
      <c r="E192" t="inlineStr">
        <is>
          <t>pinnata</t>
        </is>
      </c>
      <c r="F192" t="inlineStr">
        <is>
          <t>GAL_62</t>
        </is>
      </c>
      <c r="G192" t="n">
        <v>1906</v>
      </c>
      <c r="H192" t="n">
        <v>8911</v>
      </c>
      <c r="I192" t="n">
        <v>44.4068661322818</v>
      </c>
      <c r="J192" t="n">
        <v>-28.4056669789391</v>
      </c>
      <c r="K192" t="inlineStr">
        <is>
          <t>p62-8911</t>
        </is>
      </c>
      <c r="L192" t="n">
        <v>2025</v>
      </c>
      <c r="M192" t="inlineStr"/>
      <c r="N192" t="inlineStr"/>
      <c r="O192" t="inlineStr"/>
      <c r="P192" t="inlineStr"/>
      <c r="Q192" t="inlineStr">
        <is>
          <t>3607</t>
        </is>
      </c>
      <c r="R192" t="inlineStr">
        <is>
          <t>leaf pulverized</t>
        </is>
      </c>
      <c r="S192" t="inlineStr">
        <is>
          <t>Galeras</t>
        </is>
      </c>
      <c r="T192" t="n">
        <v>1500</v>
      </c>
    </row>
    <row r="193">
      <c r="A193" s="1" t="n">
        <v>61</v>
      </c>
      <c r="B193" t="n">
        <v>62</v>
      </c>
      <c r="C193" t="inlineStr">
        <is>
          <t>Fabaceae</t>
        </is>
      </c>
      <c r="D193" t="inlineStr">
        <is>
          <t>Inga</t>
        </is>
      </c>
      <c r="E193" t="inlineStr"/>
      <c r="F193" t="inlineStr">
        <is>
          <t>GAL_62</t>
        </is>
      </c>
      <c r="G193" t="n">
        <v>1905</v>
      </c>
      <c r="H193" t="n">
        <v>8913</v>
      </c>
      <c r="I193" t="n">
        <v>44.0519869123762</v>
      </c>
      <c r="J193" t="n">
        <v>-28.2607410254784</v>
      </c>
      <c r="K193" t="inlineStr">
        <is>
          <t>p62-8913</t>
        </is>
      </c>
      <c r="L193" t="n">
        <v>2025</v>
      </c>
      <c r="M193" t="inlineStr"/>
      <c r="N193" t="inlineStr"/>
      <c r="O193" t="inlineStr"/>
      <c r="P193" t="inlineStr"/>
      <c r="Q193">
        <f>3609</f>
        <v/>
      </c>
      <c r="R193" t="inlineStr">
        <is>
          <t>leaf pulverized</t>
        </is>
      </c>
      <c r="S193" t="inlineStr">
        <is>
          <t>Galeras</t>
        </is>
      </c>
      <c r="T193" t="n">
        <v>1500</v>
      </c>
    </row>
    <row r="194">
      <c r="A194" s="1" t="n">
        <v>72</v>
      </c>
      <c r="B194" t="n">
        <v>62</v>
      </c>
      <c r="C194" t="inlineStr">
        <is>
          <t>Lauraceae</t>
        </is>
      </c>
      <c r="D194" t="inlineStr">
        <is>
          <t>Aniba</t>
        </is>
      </c>
      <c r="E194" t="inlineStr"/>
      <c r="F194" t="inlineStr">
        <is>
          <t>GAL_62</t>
        </is>
      </c>
      <c r="G194" t="n">
        <v>1907</v>
      </c>
      <c r="H194" t="n">
        <v>8915</v>
      </c>
      <c r="I194" t="n">
        <v>44.13</v>
      </c>
      <c r="J194" t="n">
        <v>-30.28</v>
      </c>
      <c r="K194" t="inlineStr">
        <is>
          <t>jh-3609</t>
        </is>
      </c>
      <c r="L194" t="n">
        <v>2006</v>
      </c>
      <c r="M194" t="inlineStr"/>
      <c r="N194" t="inlineStr"/>
      <c r="O194" t="inlineStr"/>
      <c r="P194" t="inlineStr"/>
      <c r="Q194" t="inlineStr">
        <is>
          <t>3609</t>
        </is>
      </c>
      <c r="R194" t="inlineStr">
        <is>
          <t>leaf herbarium</t>
        </is>
      </c>
      <c r="S194" t="inlineStr">
        <is>
          <t>Galeras</t>
        </is>
      </c>
      <c r="T194" t="n">
        <v>1500</v>
      </c>
    </row>
    <row r="195">
      <c r="A195" s="1" t="n">
        <v>85</v>
      </c>
      <c r="B195" t="n">
        <v>62</v>
      </c>
      <c r="C195" t="inlineStr">
        <is>
          <t>Lauraceae</t>
        </is>
      </c>
      <c r="D195" t="inlineStr">
        <is>
          <t>Aniba</t>
        </is>
      </c>
      <c r="E195" t="inlineStr"/>
      <c r="F195" t="inlineStr">
        <is>
          <t>GAL_62</t>
        </is>
      </c>
      <c r="G195" t="n">
        <v>1907</v>
      </c>
      <c r="H195" t="n">
        <v>8915</v>
      </c>
      <c r="I195" t="n">
        <v>0.4333</v>
      </c>
      <c r="J195" t="n">
        <v>-30.76</v>
      </c>
      <c r="K195" t="inlineStr">
        <is>
          <t>jh-p62-3609</t>
        </is>
      </c>
      <c r="L195" t="n">
        <v>2006</v>
      </c>
      <c r="M195" t="inlineStr"/>
      <c r="N195" t="inlineStr"/>
      <c r="O195" t="inlineStr"/>
      <c r="P195" t="inlineStr"/>
      <c r="Q195" t="inlineStr">
        <is>
          <t>3609</t>
        </is>
      </c>
      <c r="R195" t="inlineStr">
        <is>
          <t>leaf herbarium</t>
        </is>
      </c>
      <c r="S195" t="inlineStr">
        <is>
          <t>Galeras</t>
        </is>
      </c>
      <c r="T195" t="n">
        <v>1500</v>
      </c>
    </row>
    <row r="196">
      <c r="A196" s="1" t="n">
        <v>70</v>
      </c>
      <c r="B196" t="n">
        <v>62</v>
      </c>
      <c r="C196" t="inlineStr"/>
      <c r="D196" t="inlineStr"/>
      <c r="E196" t="inlineStr"/>
      <c r="F196" t="inlineStr">
        <is>
          <t>GAL_62</t>
        </is>
      </c>
      <c r="G196" t="n">
        <v>1872</v>
      </c>
      <c r="H196" t="n">
        <v>8920</v>
      </c>
      <c r="I196" t="n">
        <v>45.05</v>
      </c>
      <c r="J196" t="n">
        <v>-28.6</v>
      </c>
      <c r="K196" t="inlineStr">
        <is>
          <t>jh-3595</t>
        </is>
      </c>
      <c r="L196" t="n">
        <v>2006</v>
      </c>
      <c r="M196" t="inlineStr"/>
      <c r="N196" t="inlineStr"/>
      <c r="O196" t="inlineStr"/>
      <c r="P196" t="inlineStr"/>
      <c r="Q196" t="inlineStr">
        <is>
          <t>3595</t>
        </is>
      </c>
      <c r="R196" t="inlineStr">
        <is>
          <t>leaf herbarium</t>
        </is>
      </c>
      <c r="S196" t="inlineStr">
        <is>
          <t>Galeras</t>
        </is>
      </c>
      <c r="T196" t="n">
        <v>1500</v>
      </c>
    </row>
    <row r="197">
      <c r="A197" s="1" t="n">
        <v>57</v>
      </c>
      <c r="B197" t="n">
        <v>62</v>
      </c>
      <c r="C197" t="inlineStr"/>
      <c r="D197" t="inlineStr"/>
      <c r="E197" t="inlineStr"/>
      <c r="F197" t="inlineStr">
        <is>
          <t>GAL_62</t>
        </is>
      </c>
      <c r="G197" t="n">
        <v>1872</v>
      </c>
      <c r="H197" t="n">
        <v>8920</v>
      </c>
      <c r="I197" t="n">
        <v>45.2091672300969</v>
      </c>
      <c r="J197" t="n">
        <v>-28.4703948807835</v>
      </c>
      <c r="K197" t="inlineStr">
        <is>
          <t>p62-8920</t>
        </is>
      </c>
      <c r="L197" t="n">
        <v>2025</v>
      </c>
      <c r="M197" t="inlineStr"/>
      <c r="N197" t="inlineStr"/>
      <c r="O197" t="inlineStr"/>
      <c r="P197" t="inlineStr"/>
      <c r="Q197" t="inlineStr">
        <is>
          <t>3595</t>
        </is>
      </c>
      <c r="R197" t="inlineStr">
        <is>
          <t>leaf pulverized</t>
        </is>
      </c>
      <c r="S197" t="inlineStr">
        <is>
          <t>Galeras</t>
        </is>
      </c>
      <c r="T197" t="n">
        <v>1500</v>
      </c>
    </row>
    <row r="198">
      <c r="A198" s="1" t="n">
        <v>69</v>
      </c>
      <c r="B198" t="n">
        <v>62</v>
      </c>
      <c r="C198" t="inlineStr">
        <is>
          <t>Rubiaceae</t>
        </is>
      </c>
      <c r="D198" t="inlineStr">
        <is>
          <t>Rubi28</t>
        </is>
      </c>
      <c r="E198" t="inlineStr"/>
      <c r="F198" t="inlineStr">
        <is>
          <t>GAL_62</t>
        </is>
      </c>
      <c r="G198" t="n">
        <v>1901</v>
      </c>
      <c r="H198" t="n">
        <v>8924</v>
      </c>
      <c r="I198" t="n">
        <v>45.19</v>
      </c>
      <c r="J198" t="n">
        <v>-26.2</v>
      </c>
      <c r="K198" t="inlineStr">
        <is>
          <t>jh-3611</t>
        </is>
      </c>
      <c r="L198" t="n">
        <v>2006</v>
      </c>
      <c r="M198" t="inlineStr"/>
      <c r="N198" t="inlineStr"/>
      <c r="O198" t="inlineStr"/>
      <c r="P198" t="inlineStr"/>
      <c r="Q198" t="inlineStr">
        <is>
          <t>3611</t>
        </is>
      </c>
      <c r="R198" t="inlineStr">
        <is>
          <t>leaf herbarium</t>
        </is>
      </c>
      <c r="S198" t="inlineStr">
        <is>
          <t>Galeras</t>
        </is>
      </c>
      <c r="T198" t="n">
        <v>1500</v>
      </c>
    </row>
    <row r="199">
      <c r="A199" s="1" t="n">
        <v>65</v>
      </c>
      <c r="B199" t="n">
        <v>62</v>
      </c>
      <c r="C199" t="inlineStr">
        <is>
          <t>Clusiaceae</t>
        </is>
      </c>
      <c r="D199" t="inlineStr">
        <is>
          <t>Tovomita</t>
        </is>
      </c>
      <c r="E199" t="inlineStr"/>
      <c r="F199" t="inlineStr">
        <is>
          <t>GAL_62</t>
        </is>
      </c>
      <c r="G199" t="inlineStr"/>
      <c r="H199" t="n">
        <v>8935</v>
      </c>
      <c r="I199" t="n">
        <v>47.7447902483846</v>
      </c>
      <c r="J199" t="n">
        <v>-27.1473256870557</v>
      </c>
      <c r="K199" t="inlineStr">
        <is>
          <t>p62-8935</t>
        </is>
      </c>
      <c r="L199" t="n">
        <v>2025</v>
      </c>
      <c r="M199" t="inlineStr"/>
      <c r="N199" t="inlineStr"/>
      <c r="O199" t="inlineStr"/>
      <c r="P199" t="inlineStr"/>
      <c r="Q199" t="inlineStr"/>
      <c r="R199" t="inlineStr">
        <is>
          <t>leaf pulverized</t>
        </is>
      </c>
      <c r="S199" t="inlineStr">
        <is>
          <t>Galeras</t>
        </is>
      </c>
      <c r="T199" t="n">
        <v>1500</v>
      </c>
    </row>
    <row r="200">
      <c r="A200" s="1" t="n">
        <v>57</v>
      </c>
      <c r="B200" t="n">
        <v>62</v>
      </c>
      <c r="C200" t="inlineStr">
        <is>
          <t>Lauraceae</t>
        </is>
      </c>
      <c r="D200" t="inlineStr">
        <is>
          <t>Ocotea</t>
        </is>
      </c>
      <c r="E200" t="inlineStr">
        <is>
          <t>aciphylla</t>
        </is>
      </c>
      <c r="F200" t="inlineStr">
        <is>
          <t>GAL_62</t>
        </is>
      </c>
      <c r="G200" t="n">
        <v>1894</v>
      </c>
      <c r="H200" t="inlineStr"/>
      <c r="I200" t="n">
        <v>45.67</v>
      </c>
      <c r="J200" t="n">
        <v>-30.58</v>
      </c>
      <c r="K200" t="inlineStr">
        <is>
          <t>jh-3608</t>
        </is>
      </c>
      <c r="L200" t="n">
        <v>2006</v>
      </c>
      <c r="M200" t="inlineStr"/>
      <c r="N200" t="inlineStr"/>
      <c r="O200" t="inlineStr"/>
      <c r="P200" t="inlineStr"/>
      <c r="Q200" t="inlineStr">
        <is>
          <t>3608,2530</t>
        </is>
      </c>
      <c r="R200" t="inlineStr">
        <is>
          <t>leaf herbarium</t>
        </is>
      </c>
      <c r="S200" t="inlineStr">
        <is>
          <t>Galeras</t>
        </is>
      </c>
      <c r="T200" t="n">
        <v>1500</v>
      </c>
    </row>
    <row r="201">
      <c r="A201" s="1" t="n">
        <v>98</v>
      </c>
      <c r="B201" t="n">
        <v>62</v>
      </c>
      <c r="C201" t="inlineStr">
        <is>
          <t>Rutaceae</t>
        </is>
      </c>
      <c r="D201" t="inlineStr">
        <is>
          <t>Zanthoxylum</t>
        </is>
      </c>
      <c r="E201" t="inlineStr">
        <is>
          <t>melanostictum</t>
        </is>
      </c>
      <c r="F201" t="inlineStr">
        <is>
          <t>GAL_62</t>
        </is>
      </c>
      <c r="G201" t="n">
        <v>1878</v>
      </c>
      <c r="H201" t="inlineStr"/>
      <c r="I201" t="n">
        <v>0.4897</v>
      </c>
      <c r="J201" t="n">
        <v>-28.29</v>
      </c>
      <c r="K201" t="inlineStr">
        <is>
          <t>jh-p62-3602</t>
        </is>
      </c>
      <c r="L201" t="n">
        <v>2006</v>
      </c>
      <c r="M201" t="inlineStr"/>
      <c r="N201" t="inlineStr"/>
      <c r="O201" t="inlineStr"/>
      <c r="P201" t="inlineStr"/>
      <c r="Q201" t="inlineStr">
        <is>
          <t>3602</t>
        </is>
      </c>
      <c r="R201" t="inlineStr">
        <is>
          <t>leaf herbarium</t>
        </is>
      </c>
      <c r="S201" t="inlineStr">
        <is>
          <t>Galeras</t>
        </is>
      </c>
      <c r="T201" t="n">
        <v>1500</v>
      </c>
    </row>
    <row r="202">
      <c r="A202" s="1" t="n">
        <v>111</v>
      </c>
      <c r="B202" t="n">
        <v>62</v>
      </c>
      <c r="C202" t="inlineStr">
        <is>
          <t>Lauraceae</t>
        </is>
      </c>
      <c r="D202" t="inlineStr">
        <is>
          <t>Ocotea</t>
        </is>
      </c>
      <c r="E202" t="inlineStr">
        <is>
          <t>subrutilans</t>
        </is>
      </c>
      <c r="F202" t="inlineStr">
        <is>
          <t>GAL_62</t>
        </is>
      </c>
      <c r="G202" t="n">
        <v>1880</v>
      </c>
      <c r="H202" t="inlineStr"/>
      <c r="I202" t="n">
        <v>0.4774</v>
      </c>
      <c r="J202" t="n">
        <v>-28.4</v>
      </c>
      <c r="K202" t="inlineStr">
        <is>
          <t>jh-p62-3615</t>
        </is>
      </c>
      <c r="L202" t="n">
        <v>2006</v>
      </c>
      <c r="M202" t="inlineStr"/>
      <c r="N202" t="inlineStr"/>
      <c r="O202" t="inlineStr"/>
      <c r="P202" t="inlineStr"/>
      <c r="Q202" t="inlineStr">
        <is>
          <t>3615</t>
        </is>
      </c>
      <c r="R202" t="inlineStr">
        <is>
          <t>leaf herbarium</t>
        </is>
      </c>
      <c r="S202" t="inlineStr">
        <is>
          <t>Galeras</t>
        </is>
      </c>
      <c r="T20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2026-07-02T16:09:42Z</dcterms:created>
  <dcterms:modified xmlns:dcterms="http://purl.org/dc/terms/" xmlns:xsi="http://www.w3.org/2001/XMLSchema-instance" xsi:type="dcterms:W3CDTF">2026-07-02T16:09:42Z</dcterms:modified>
</cp:coreProperties>
</file>
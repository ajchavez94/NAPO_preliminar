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Plot</t>
        </is>
      </c>
      <c r="C1" s="1" t="inlineStr">
        <is>
          <t>site</t>
        </is>
      </c>
      <c r="D1" s="1" t="inlineStr">
        <is>
          <t>PlotID</t>
        </is>
      </c>
      <c r="E1" s="1" t="inlineStr">
        <is>
          <t>treeID</t>
        </is>
      </c>
      <c r="F1" s="1" t="inlineStr">
        <is>
          <t>family</t>
        </is>
      </c>
      <c r="G1" s="1" t="inlineStr">
        <is>
          <t>genus</t>
        </is>
      </c>
      <c r="H1" s="1" t="inlineStr">
        <is>
          <t>species</t>
        </is>
      </c>
      <c r="I1" s="1" t="inlineStr">
        <is>
          <t>date census 1</t>
        </is>
      </c>
      <c r="J1" s="1" t="inlineStr">
        <is>
          <t>JH herbarium collections</t>
        </is>
      </c>
      <c r="K1" s="1" t="inlineStr">
        <is>
          <t>leaf sample tree</t>
        </is>
      </c>
      <c r="L1" s="1" t="inlineStr">
        <is>
          <t>Select_2024</t>
        </is>
      </c>
      <c r="M1" s="1" t="inlineStr">
        <is>
          <t>Colecct_2024</t>
        </is>
      </c>
      <c r="N1" s="1" t="inlineStr">
        <is>
          <t>new ID 2024</t>
        </is>
      </c>
    </row>
    <row r="2">
      <c r="A2" s="1" t="n">
        <v>0</v>
      </c>
      <c r="B2" t="n">
        <v>20</v>
      </c>
      <c r="C2" t="inlineStr">
        <is>
          <t>Galeras</t>
        </is>
      </c>
      <c r="D2" t="inlineStr">
        <is>
          <t>GAL_20</t>
        </is>
      </c>
      <c r="E2" t="n">
        <v>471</v>
      </c>
      <c r="F2" t="inlineStr">
        <is>
          <t>Rubiaceae</t>
        </is>
      </c>
      <c r="G2" t="inlineStr">
        <is>
          <t>Randia</t>
        </is>
      </c>
      <c r="H2" t="inlineStr"/>
      <c r="I2" s="2" t="n">
        <v>38822</v>
      </c>
      <c r="J2" t="n">
        <v>1995</v>
      </c>
      <c r="K2" t="inlineStr"/>
      <c r="L2" t="inlineStr"/>
      <c r="M2" t="inlineStr"/>
      <c r="N2" t="inlineStr"/>
    </row>
    <row r="3">
      <c r="A3" s="1" t="n">
        <v>1</v>
      </c>
      <c r="B3" t="n">
        <v>20</v>
      </c>
      <c r="C3" t="inlineStr">
        <is>
          <t>Galeras</t>
        </is>
      </c>
      <c r="D3" t="inlineStr">
        <is>
          <t>GAL_20</t>
        </is>
      </c>
      <c r="E3" t="n">
        <v>472</v>
      </c>
      <c r="F3" t="inlineStr">
        <is>
          <t>Rubiaceae</t>
        </is>
      </c>
      <c r="G3" t="inlineStr">
        <is>
          <t>Randia</t>
        </is>
      </c>
      <c r="H3" t="inlineStr"/>
      <c r="I3" s="2" t="n">
        <v>38822</v>
      </c>
      <c r="J3" t="inlineStr"/>
      <c r="K3" t="n">
        <v>1</v>
      </c>
      <c r="L3" t="inlineStr"/>
      <c r="M3" t="inlineStr"/>
      <c r="N3" t="inlineStr"/>
    </row>
    <row r="4">
      <c r="A4" s="1" t="n">
        <v>2</v>
      </c>
      <c r="B4" t="n">
        <v>20</v>
      </c>
      <c r="C4" t="inlineStr">
        <is>
          <t>Galeras</t>
        </is>
      </c>
      <c r="D4" t="inlineStr">
        <is>
          <t>GAL_20</t>
        </is>
      </c>
      <c r="E4" t="n">
        <v>473</v>
      </c>
      <c r="F4" t="inlineStr">
        <is>
          <t>Burseraceae</t>
        </is>
      </c>
      <c r="G4" t="inlineStr">
        <is>
          <t>Dacryodes</t>
        </is>
      </c>
      <c r="H4" t="inlineStr">
        <is>
          <t>aff cupularis</t>
        </is>
      </c>
      <c r="I4" s="2" t="n">
        <v>38822</v>
      </c>
      <c r="J4" t="n">
        <v>1982</v>
      </c>
      <c r="K4" t="inlineStr"/>
      <c r="L4" t="inlineStr"/>
      <c r="M4" t="inlineStr"/>
      <c r="N4" t="inlineStr"/>
    </row>
    <row r="5">
      <c r="A5" s="1" t="n">
        <v>3</v>
      </c>
      <c r="B5" t="n">
        <v>20</v>
      </c>
      <c r="C5" t="inlineStr">
        <is>
          <t>Galeras</t>
        </is>
      </c>
      <c r="D5" t="inlineStr">
        <is>
          <t>GAL_20</t>
        </is>
      </c>
      <c r="E5" t="n">
        <v>474</v>
      </c>
      <c r="F5" t="inlineStr">
        <is>
          <t>Euphorbiaceae</t>
        </is>
      </c>
      <c r="G5" t="inlineStr">
        <is>
          <t>Croton</t>
        </is>
      </c>
      <c r="H5" t="inlineStr">
        <is>
          <t>tessmannii</t>
        </is>
      </c>
      <c r="I5" s="2" t="n">
        <v>38822</v>
      </c>
      <c r="J5" t="n">
        <v>1992</v>
      </c>
      <c r="K5" t="n">
        <v>1</v>
      </c>
      <c r="L5" t="inlineStr"/>
      <c r="M5" t="inlineStr"/>
      <c r="N5" t="inlineStr"/>
    </row>
    <row r="6">
      <c r="A6" s="1" t="n">
        <v>4</v>
      </c>
      <c r="B6" t="n">
        <v>20</v>
      </c>
      <c r="C6" t="inlineStr">
        <is>
          <t>Galeras</t>
        </is>
      </c>
      <c r="D6" t="inlineStr">
        <is>
          <t>GAL_20</t>
        </is>
      </c>
      <c r="E6" t="n">
        <v>475</v>
      </c>
      <c r="F6" t="inlineStr">
        <is>
          <t>Lauraceae</t>
        </is>
      </c>
      <c r="G6" t="inlineStr">
        <is>
          <t>Aniba</t>
        </is>
      </c>
      <c r="H6" t="inlineStr"/>
      <c r="I6" s="2" t="n">
        <v>38822</v>
      </c>
      <c r="J6" t="inlineStr"/>
      <c r="K6" t="inlineStr"/>
      <c r="L6" t="inlineStr"/>
      <c r="M6" t="inlineStr"/>
      <c r="N6" t="inlineStr"/>
    </row>
    <row r="7">
      <c r="A7" s="1" t="n">
        <v>5</v>
      </c>
      <c r="B7" t="n">
        <v>20</v>
      </c>
      <c r="C7" t="inlineStr">
        <is>
          <t>Galeras</t>
        </is>
      </c>
      <c r="D7" t="inlineStr">
        <is>
          <t>GAL_20</t>
        </is>
      </c>
      <c r="E7" t="n">
        <v>476</v>
      </c>
      <c r="F7" t="inlineStr">
        <is>
          <t>Euphorbiaceae</t>
        </is>
      </c>
      <c r="G7" t="inlineStr">
        <is>
          <t>Sapium</t>
        </is>
      </c>
      <c r="H7" t="inlineStr">
        <is>
          <t>glandulosum</t>
        </is>
      </c>
      <c r="I7" s="2" t="n">
        <v>38822</v>
      </c>
      <c r="J7" t="n">
        <v>3722</v>
      </c>
      <c r="K7" t="inlineStr"/>
      <c r="L7" t="inlineStr"/>
      <c r="M7" t="inlineStr"/>
      <c r="N7" t="inlineStr"/>
    </row>
    <row r="8">
      <c r="A8" s="1" t="n">
        <v>6</v>
      </c>
      <c r="B8" t="n">
        <v>20</v>
      </c>
      <c r="C8" t="inlineStr">
        <is>
          <t>Galeras</t>
        </is>
      </c>
      <c r="D8" t="inlineStr">
        <is>
          <t>GAL_20</t>
        </is>
      </c>
      <c r="E8" t="n">
        <v>477</v>
      </c>
      <c r="F8" t="inlineStr">
        <is>
          <t>Arecaceae</t>
        </is>
      </c>
      <c r="G8" t="inlineStr">
        <is>
          <t>Socratea</t>
        </is>
      </c>
      <c r="H8" t="inlineStr">
        <is>
          <t>exorrhiza</t>
        </is>
      </c>
      <c r="I8" s="2" t="n">
        <v>38822</v>
      </c>
      <c r="J8" t="inlineStr"/>
      <c r="K8" t="inlineStr"/>
      <c r="L8" t="inlineStr"/>
      <c r="M8" t="inlineStr"/>
      <c r="N8" t="inlineStr"/>
    </row>
    <row r="9">
      <c r="A9" s="1" t="n">
        <v>7</v>
      </c>
      <c r="B9" t="n">
        <v>20</v>
      </c>
      <c r="C9" t="inlineStr">
        <is>
          <t>Galeras</t>
        </is>
      </c>
      <c r="D9" t="inlineStr">
        <is>
          <t>GAL_20</t>
        </is>
      </c>
      <c r="E9" t="n">
        <v>478</v>
      </c>
      <c r="F9" t="inlineStr">
        <is>
          <t>Lecythidaceae</t>
        </is>
      </c>
      <c r="G9" t="inlineStr">
        <is>
          <t>Eschweilera</t>
        </is>
      </c>
      <c r="H9" t="inlineStr">
        <is>
          <t>caudiculata</t>
        </is>
      </c>
      <c r="I9" s="2" t="n">
        <v>38822</v>
      </c>
      <c r="J9" t="n">
        <v>1984</v>
      </c>
      <c r="K9" t="n">
        <v>1</v>
      </c>
      <c r="L9" t="inlineStr"/>
      <c r="M9" t="inlineStr"/>
      <c r="N9" t="inlineStr"/>
    </row>
    <row r="10">
      <c r="A10" s="1" t="n">
        <v>8</v>
      </c>
      <c r="B10" t="n">
        <v>20</v>
      </c>
      <c r="C10" t="inlineStr">
        <is>
          <t>Galeras</t>
        </is>
      </c>
      <c r="D10" t="inlineStr">
        <is>
          <t>GAL_20</t>
        </is>
      </c>
      <c r="E10" t="n">
        <v>479</v>
      </c>
      <c r="F10" t="inlineStr">
        <is>
          <t>Arecaceae</t>
        </is>
      </c>
      <c r="G10" t="inlineStr">
        <is>
          <t>Wettinia</t>
        </is>
      </c>
      <c r="H10" t="inlineStr">
        <is>
          <t>cf mayensis</t>
        </is>
      </c>
      <c r="I10" s="2" t="n">
        <v>38822</v>
      </c>
      <c r="J10" t="inlineStr"/>
      <c r="K10" t="inlineStr"/>
      <c r="L10" t="inlineStr"/>
      <c r="M10" t="inlineStr"/>
      <c r="N10" t="inlineStr"/>
    </row>
    <row r="11">
      <c r="A11" s="1" t="n">
        <v>9</v>
      </c>
      <c r="B11" t="n">
        <v>20</v>
      </c>
      <c r="C11" t="inlineStr">
        <is>
          <t>Galeras</t>
        </is>
      </c>
      <c r="D11" t="inlineStr">
        <is>
          <t>GAL_20</t>
        </is>
      </c>
      <c r="E11" t="n">
        <v>480</v>
      </c>
      <c r="F11" t="inlineStr">
        <is>
          <t>Euphorbiaceae</t>
        </is>
      </c>
      <c r="G11" t="inlineStr">
        <is>
          <t>Alchornea</t>
        </is>
      </c>
      <c r="H11" t="inlineStr"/>
      <c r="I11" s="2" t="n">
        <v>38822</v>
      </c>
      <c r="J11" t="inlineStr"/>
      <c r="K11" t="inlineStr"/>
      <c r="L11" t="inlineStr"/>
      <c r="M11" t="inlineStr"/>
      <c r="N11" t="inlineStr"/>
    </row>
    <row r="12">
      <c r="A12" s="1" t="n">
        <v>10</v>
      </c>
      <c r="B12" t="n">
        <v>20</v>
      </c>
      <c r="C12" t="inlineStr">
        <is>
          <t>Galeras</t>
        </is>
      </c>
      <c r="D12" t="inlineStr">
        <is>
          <t>GAL_20</t>
        </is>
      </c>
      <c r="E12" t="n">
        <v>481</v>
      </c>
      <c r="F12" t="inlineStr">
        <is>
          <t>Combretaceae</t>
        </is>
      </c>
      <c r="G12" t="inlineStr">
        <is>
          <t>Terminalia</t>
        </is>
      </c>
      <c r="H12" t="inlineStr">
        <is>
          <t>amazonia</t>
        </is>
      </c>
      <c r="I12" s="2" t="n">
        <v>38822</v>
      </c>
      <c r="J12" t="n">
        <v>3716</v>
      </c>
      <c r="K12" t="inlineStr"/>
      <c r="L12" t="inlineStr"/>
      <c r="M12" t="inlineStr"/>
      <c r="N12" t="inlineStr"/>
    </row>
    <row r="13">
      <c r="A13" s="1" t="n">
        <v>11</v>
      </c>
      <c r="B13" t="n">
        <v>20</v>
      </c>
      <c r="C13" t="inlineStr">
        <is>
          <t>Galeras</t>
        </is>
      </c>
      <c r="D13" t="inlineStr">
        <is>
          <t>GAL_20</t>
        </is>
      </c>
      <c r="E13" t="n">
        <v>482</v>
      </c>
      <c r="F13" t="inlineStr">
        <is>
          <t>Arecaceae</t>
        </is>
      </c>
      <c r="G13" t="inlineStr">
        <is>
          <t>Socratea</t>
        </is>
      </c>
      <c r="H13" t="inlineStr">
        <is>
          <t>exorrhiza</t>
        </is>
      </c>
      <c r="I13" s="2" t="n">
        <v>38822</v>
      </c>
      <c r="J13" t="inlineStr"/>
      <c r="K13" t="inlineStr"/>
      <c r="L13" t="inlineStr"/>
      <c r="M13" t="inlineStr"/>
      <c r="N13" t="inlineStr"/>
    </row>
    <row r="14">
      <c r="A14" s="1" t="n">
        <v>12</v>
      </c>
      <c r="B14" t="n">
        <v>20</v>
      </c>
      <c r="C14" t="inlineStr">
        <is>
          <t>Galeras</t>
        </is>
      </c>
      <c r="D14" t="inlineStr">
        <is>
          <t>GAL_20</t>
        </is>
      </c>
      <c r="E14" t="n">
        <v>483</v>
      </c>
      <c r="F14" t="inlineStr">
        <is>
          <t>Fabaceae</t>
        </is>
      </c>
      <c r="G14" t="inlineStr">
        <is>
          <t>Inga</t>
        </is>
      </c>
      <c r="H14" t="inlineStr">
        <is>
          <t>marginata</t>
        </is>
      </c>
      <c r="I14" s="2" t="n">
        <v>38822</v>
      </c>
      <c r="J14" t="n">
        <v>1991</v>
      </c>
      <c r="K14" t="inlineStr"/>
      <c r="L14" t="inlineStr"/>
      <c r="M14" t="inlineStr"/>
      <c r="N14" t="inlineStr"/>
    </row>
    <row r="15">
      <c r="A15" s="1" t="n">
        <v>13</v>
      </c>
      <c r="B15" t="n">
        <v>20</v>
      </c>
      <c r="C15" t="inlineStr">
        <is>
          <t>Galeras</t>
        </is>
      </c>
      <c r="D15" t="inlineStr">
        <is>
          <t>GAL_20</t>
        </is>
      </c>
      <c r="E15" t="n">
        <v>484</v>
      </c>
      <c r="F15" t="inlineStr">
        <is>
          <t>Myristicaceae</t>
        </is>
      </c>
      <c r="G15" t="inlineStr">
        <is>
          <t>Compsoneura</t>
        </is>
      </c>
      <c r="H15" t="inlineStr">
        <is>
          <t>capitellata</t>
        </is>
      </c>
      <c r="I15" s="2" t="n">
        <v>38822</v>
      </c>
      <c r="J15" t="n">
        <v>2004</v>
      </c>
      <c r="K15" t="inlineStr"/>
      <c r="L15" t="inlineStr"/>
      <c r="M15" t="inlineStr"/>
      <c r="N15" t="inlineStr"/>
    </row>
    <row r="16">
      <c r="A16" s="1" t="n">
        <v>14</v>
      </c>
      <c r="B16" t="n">
        <v>20</v>
      </c>
      <c r="C16" t="inlineStr">
        <is>
          <t>Galeras</t>
        </is>
      </c>
      <c r="D16" t="inlineStr">
        <is>
          <t>GAL_20</t>
        </is>
      </c>
      <c r="E16" t="n">
        <v>485</v>
      </c>
      <c r="F16" t="inlineStr">
        <is>
          <t>Lauraceae</t>
        </is>
      </c>
      <c r="G16" t="inlineStr">
        <is>
          <t>Ocotea</t>
        </is>
      </c>
      <c r="H16" t="inlineStr">
        <is>
          <t>floribunda</t>
        </is>
      </c>
      <c r="I16" s="2" t="n">
        <v>38822</v>
      </c>
      <c r="J16" t="n">
        <v>2003</v>
      </c>
      <c r="K16" t="n">
        <v>1</v>
      </c>
      <c r="L16" t="inlineStr"/>
      <c r="M16" t="inlineStr"/>
      <c r="N16" t="inlineStr"/>
    </row>
    <row r="17">
      <c r="A17" s="1" t="n">
        <v>15</v>
      </c>
      <c r="B17" t="n">
        <v>20</v>
      </c>
      <c r="C17" t="inlineStr">
        <is>
          <t>Galeras</t>
        </is>
      </c>
      <c r="D17" t="inlineStr">
        <is>
          <t>GAL_20</t>
        </is>
      </c>
      <c r="E17" t="n">
        <v>486</v>
      </c>
      <c r="F17" t="inlineStr">
        <is>
          <t>Euphorbiaceae</t>
        </is>
      </c>
      <c r="G17" t="inlineStr">
        <is>
          <t>Croton</t>
        </is>
      </c>
      <c r="H17" t="inlineStr">
        <is>
          <t>tessmannii</t>
        </is>
      </c>
      <c r="I17" s="2" t="n">
        <v>38822</v>
      </c>
      <c r="J17" t="inlineStr"/>
      <c r="K17" t="n">
        <v>1</v>
      </c>
      <c r="L17" t="inlineStr"/>
      <c r="M17" t="inlineStr"/>
      <c r="N17" t="inlineStr"/>
    </row>
    <row r="18">
      <c r="A18" s="1" t="n">
        <v>16</v>
      </c>
      <c r="B18" t="n">
        <v>20</v>
      </c>
      <c r="C18" t="inlineStr">
        <is>
          <t>Galeras</t>
        </is>
      </c>
      <c r="D18" t="inlineStr">
        <is>
          <t>GAL_20</t>
        </is>
      </c>
      <c r="E18" t="n">
        <v>487</v>
      </c>
      <c r="F18" t="inlineStr">
        <is>
          <t>Salicaceae</t>
        </is>
      </c>
      <c r="G18" t="inlineStr">
        <is>
          <t>Casearia</t>
        </is>
      </c>
      <c r="H18" t="inlineStr">
        <is>
          <t>mariquitensis</t>
        </is>
      </c>
      <c r="I18" s="2" t="n">
        <v>38822</v>
      </c>
      <c r="J18" t="inlineStr">
        <is>
          <t>1987, 3718</t>
        </is>
      </c>
      <c r="K18" t="n">
        <v>1</v>
      </c>
      <c r="L18" t="inlineStr"/>
      <c r="M18" t="inlineStr"/>
      <c r="N18" t="inlineStr"/>
    </row>
    <row r="19">
      <c r="A19" s="1" t="n">
        <v>17</v>
      </c>
      <c r="B19" t="n">
        <v>20</v>
      </c>
      <c r="C19" t="inlineStr">
        <is>
          <t>Galeras</t>
        </is>
      </c>
      <c r="D19" t="inlineStr">
        <is>
          <t>GAL_20</t>
        </is>
      </c>
      <c r="E19" t="n">
        <v>488</v>
      </c>
      <c r="F19" t="inlineStr">
        <is>
          <t>Urticaceae</t>
        </is>
      </c>
      <c r="G19" t="inlineStr">
        <is>
          <t>Cecropia</t>
        </is>
      </c>
      <c r="H19" t="inlineStr">
        <is>
          <t xml:space="preserve">cf putumayonis </t>
        </is>
      </c>
      <c r="I19" s="2" t="n">
        <v>38822</v>
      </c>
      <c r="J19" t="n">
        <v>3717</v>
      </c>
      <c r="K19" t="inlineStr"/>
      <c r="L19" t="inlineStr"/>
      <c r="M19" t="inlineStr"/>
      <c r="N19" t="inlineStr"/>
    </row>
    <row r="20">
      <c r="A20" s="1" t="n">
        <v>18</v>
      </c>
      <c r="B20" t="n">
        <v>20</v>
      </c>
      <c r="C20" t="inlineStr">
        <is>
          <t>Galeras</t>
        </is>
      </c>
      <c r="D20" t="inlineStr">
        <is>
          <t>GAL_20</t>
        </is>
      </c>
      <c r="E20" t="n">
        <v>489</v>
      </c>
      <c r="F20" t="inlineStr">
        <is>
          <t>Myristicaceae</t>
        </is>
      </c>
      <c r="G20" t="inlineStr">
        <is>
          <t>Compsoneura</t>
        </is>
      </c>
      <c r="H20" t="inlineStr">
        <is>
          <t>capitellata</t>
        </is>
      </c>
      <c r="I20" s="2" t="n">
        <v>38822</v>
      </c>
      <c r="J20" t="inlineStr"/>
      <c r="K20" t="n">
        <v>1</v>
      </c>
      <c r="L20" t="inlineStr"/>
      <c r="M20" t="inlineStr"/>
      <c r="N20" t="inlineStr"/>
    </row>
    <row r="21">
      <c r="A21" s="1" t="n">
        <v>19</v>
      </c>
      <c r="B21" t="n">
        <v>20</v>
      </c>
      <c r="C21" t="inlineStr">
        <is>
          <t>Galeras</t>
        </is>
      </c>
      <c r="D21" t="inlineStr">
        <is>
          <t>GAL_20</t>
        </is>
      </c>
      <c r="E21" t="n">
        <v>490</v>
      </c>
      <c r="F21" t="inlineStr">
        <is>
          <t>Burseraceae</t>
        </is>
      </c>
      <c r="G21" t="inlineStr">
        <is>
          <t>Dacryodes</t>
        </is>
      </c>
      <c r="H21" t="inlineStr"/>
      <c r="I21" s="2" t="n">
        <v>38822</v>
      </c>
      <c r="J21" t="n">
        <v>4792</v>
      </c>
      <c r="K21" t="inlineStr"/>
      <c r="L21" t="inlineStr"/>
      <c r="M21" t="inlineStr"/>
      <c r="N21" t="inlineStr"/>
    </row>
    <row r="22">
      <c r="A22" s="1" t="n">
        <v>20</v>
      </c>
      <c r="B22" t="n">
        <v>20</v>
      </c>
      <c r="C22" t="inlineStr">
        <is>
          <t>Galeras</t>
        </is>
      </c>
      <c r="D22" t="inlineStr">
        <is>
          <t>GAL_20</t>
        </is>
      </c>
      <c r="E22" t="n">
        <v>491</v>
      </c>
      <c r="F22" t="inlineStr">
        <is>
          <t>Fabaceae</t>
        </is>
      </c>
      <c r="G22" t="inlineStr">
        <is>
          <t>Calliandra</t>
        </is>
      </c>
      <c r="H22" t="inlineStr">
        <is>
          <t>trinervia</t>
        </is>
      </c>
      <c r="I22" s="2" t="n">
        <v>38822</v>
      </c>
      <c r="J22" t="n">
        <v>1994</v>
      </c>
      <c r="K22" t="inlineStr"/>
      <c r="L22" t="inlineStr"/>
      <c r="M22" t="inlineStr"/>
      <c r="N22" t="inlineStr"/>
    </row>
    <row r="23">
      <c r="A23" s="1" t="n">
        <v>21</v>
      </c>
      <c r="B23" t="n">
        <v>20</v>
      </c>
      <c r="C23" t="inlineStr">
        <is>
          <t>Galeras</t>
        </is>
      </c>
      <c r="D23" t="inlineStr">
        <is>
          <t>GAL_20</t>
        </is>
      </c>
      <c r="E23" t="n">
        <v>492</v>
      </c>
      <c r="F23" t="inlineStr">
        <is>
          <t>Lauraceae</t>
        </is>
      </c>
      <c r="G23" t="inlineStr">
        <is>
          <t>Nectandra</t>
        </is>
      </c>
      <c r="H23" t="inlineStr">
        <is>
          <t>membranacea</t>
        </is>
      </c>
      <c r="I23" s="2" t="n">
        <v>38822</v>
      </c>
      <c r="J23" t="n">
        <v>2002</v>
      </c>
      <c r="K23" t="inlineStr"/>
      <c r="L23" t="inlineStr"/>
      <c r="M23" t="inlineStr"/>
      <c r="N23" t="inlineStr"/>
    </row>
    <row r="24">
      <c r="A24" s="1" t="n">
        <v>22</v>
      </c>
      <c r="B24" t="n">
        <v>20</v>
      </c>
      <c r="C24" t="inlineStr">
        <is>
          <t>Galeras</t>
        </is>
      </c>
      <c r="D24" t="inlineStr">
        <is>
          <t>GAL_20</t>
        </is>
      </c>
      <c r="E24" t="n">
        <v>493</v>
      </c>
      <c r="F24" t="inlineStr">
        <is>
          <t>Sapindaceae</t>
        </is>
      </c>
      <c r="G24" t="inlineStr">
        <is>
          <t>Allophylus</t>
        </is>
      </c>
      <c r="H24" t="inlineStr"/>
      <c r="I24" s="2" t="n">
        <v>38822</v>
      </c>
      <c r="J24" t="n">
        <v>1988</v>
      </c>
      <c r="K24" t="inlineStr"/>
      <c r="L24" t="inlineStr"/>
      <c r="M24" t="inlineStr"/>
      <c r="N24" t="inlineStr"/>
    </row>
    <row r="25">
      <c r="A25" s="1" t="n">
        <v>23</v>
      </c>
      <c r="B25" t="n">
        <v>20</v>
      </c>
      <c r="C25" t="inlineStr">
        <is>
          <t>Galeras</t>
        </is>
      </c>
      <c r="D25" t="inlineStr">
        <is>
          <t>GAL_20</t>
        </is>
      </c>
      <c r="E25" t="n">
        <v>494</v>
      </c>
      <c r="F25" t="inlineStr">
        <is>
          <t>Myristicaceae</t>
        </is>
      </c>
      <c r="G25" t="inlineStr">
        <is>
          <t>Compsoneura</t>
        </is>
      </c>
      <c r="H25" t="inlineStr">
        <is>
          <t>capitellata</t>
        </is>
      </c>
      <c r="I25" s="2" t="n">
        <v>38822</v>
      </c>
      <c r="J25" t="inlineStr"/>
      <c r="K25" t="inlineStr"/>
      <c r="L25" t="inlineStr"/>
      <c r="M25" t="inlineStr"/>
      <c r="N25" t="inlineStr"/>
    </row>
    <row r="26">
      <c r="A26" s="1" t="n">
        <v>24</v>
      </c>
      <c r="B26" t="n">
        <v>20</v>
      </c>
      <c r="C26" t="inlineStr">
        <is>
          <t>Galeras</t>
        </is>
      </c>
      <c r="D26" t="inlineStr">
        <is>
          <t>GAL_20</t>
        </is>
      </c>
      <c r="E26" t="n">
        <v>495</v>
      </c>
      <c r="F26" t="inlineStr">
        <is>
          <t>Rubiaceae</t>
        </is>
      </c>
      <c r="G26" t="inlineStr">
        <is>
          <t>Randia</t>
        </is>
      </c>
      <c r="H26" t="inlineStr"/>
      <c r="I26" s="2" t="n">
        <v>38822</v>
      </c>
      <c r="J26" t="inlineStr"/>
      <c r="K26" t="n">
        <v>1</v>
      </c>
      <c r="L26" t="inlineStr"/>
      <c r="M26" t="inlineStr"/>
      <c r="N26" t="inlineStr"/>
    </row>
    <row r="27">
      <c r="A27" s="1" t="n">
        <v>25</v>
      </c>
      <c r="B27" t="n">
        <v>20</v>
      </c>
      <c r="C27" t="inlineStr">
        <is>
          <t>Galeras</t>
        </is>
      </c>
      <c r="D27" t="inlineStr">
        <is>
          <t>GAL_20</t>
        </is>
      </c>
      <c r="E27" t="n">
        <v>496</v>
      </c>
      <c r="F27" t="inlineStr">
        <is>
          <t>Myristicaceae</t>
        </is>
      </c>
      <c r="G27" t="inlineStr">
        <is>
          <t>Compsoneura</t>
        </is>
      </c>
      <c r="H27" t="inlineStr">
        <is>
          <t>capitellata</t>
        </is>
      </c>
      <c r="I27" s="2" t="n">
        <v>38822</v>
      </c>
      <c r="J27" t="inlineStr"/>
      <c r="K27" t="n">
        <v>1</v>
      </c>
      <c r="L27" t="inlineStr"/>
      <c r="M27" t="inlineStr"/>
      <c r="N27" t="inlineStr"/>
    </row>
    <row r="28">
      <c r="A28" s="1" t="n">
        <v>26</v>
      </c>
      <c r="B28" t="n">
        <v>20</v>
      </c>
      <c r="C28" t="inlineStr">
        <is>
          <t>Galeras</t>
        </is>
      </c>
      <c r="D28" t="inlineStr">
        <is>
          <t>GAL_20</t>
        </is>
      </c>
      <c r="E28" t="n">
        <v>497</v>
      </c>
      <c r="F28" t="inlineStr">
        <is>
          <t>Arecaceae</t>
        </is>
      </c>
      <c r="G28" t="inlineStr">
        <is>
          <t>Wettinia</t>
        </is>
      </c>
      <c r="H28" t="inlineStr">
        <is>
          <t>cf mayensis</t>
        </is>
      </c>
      <c r="I28" s="2" t="n">
        <v>38822</v>
      </c>
      <c r="J28" t="inlineStr"/>
      <c r="K28" t="inlineStr"/>
      <c r="L28" t="inlineStr"/>
      <c r="M28" t="inlineStr"/>
      <c r="N28" t="inlineStr"/>
    </row>
    <row r="29">
      <c r="A29" s="1" t="n">
        <v>27</v>
      </c>
      <c r="B29" t="n">
        <v>20</v>
      </c>
      <c r="C29" t="inlineStr">
        <is>
          <t>Galeras</t>
        </is>
      </c>
      <c r="D29" t="inlineStr">
        <is>
          <t>GAL_20</t>
        </is>
      </c>
      <c r="E29" t="n">
        <v>498</v>
      </c>
      <c r="F29" t="inlineStr">
        <is>
          <t>Myristicaceae</t>
        </is>
      </c>
      <c r="G29" t="inlineStr">
        <is>
          <t>Compsoneura</t>
        </is>
      </c>
      <c r="H29" t="inlineStr">
        <is>
          <t>capitellata</t>
        </is>
      </c>
      <c r="I29" s="2" t="n">
        <v>38822</v>
      </c>
      <c r="J29" t="n">
        <v>3715</v>
      </c>
      <c r="K29" t="inlineStr"/>
      <c r="L29" t="inlineStr"/>
      <c r="M29" t="inlineStr"/>
      <c r="N29" t="inlineStr"/>
    </row>
    <row r="30">
      <c r="A30" s="1" t="n">
        <v>28</v>
      </c>
      <c r="B30" t="n">
        <v>20</v>
      </c>
      <c r="C30" t="inlineStr">
        <is>
          <t>Galeras</t>
        </is>
      </c>
      <c r="D30" t="inlineStr">
        <is>
          <t>GAL_20</t>
        </is>
      </c>
      <c r="E30" t="n">
        <v>499</v>
      </c>
      <c r="F30" t="inlineStr">
        <is>
          <t>Rubiaceae</t>
        </is>
      </c>
      <c r="G30" t="inlineStr">
        <is>
          <t>Alibertia</t>
        </is>
      </c>
      <c r="H30" t="inlineStr">
        <is>
          <t>acuminata</t>
        </is>
      </c>
      <c r="I30" s="2" t="n">
        <v>38822</v>
      </c>
      <c r="J30" t="n">
        <v>1986</v>
      </c>
      <c r="K30" t="n">
        <v>1</v>
      </c>
      <c r="L30" t="inlineStr"/>
      <c r="M30" t="inlineStr"/>
      <c r="N30" t="inlineStr"/>
    </row>
    <row r="31">
      <c r="A31" s="1" t="n">
        <v>29</v>
      </c>
      <c r="B31" t="n">
        <v>20</v>
      </c>
      <c r="C31" t="inlineStr">
        <is>
          <t>Galeras</t>
        </is>
      </c>
      <c r="D31" t="inlineStr">
        <is>
          <t>GAL_20</t>
        </is>
      </c>
      <c r="E31" t="inlineStr">
        <is>
          <t>x</t>
        </is>
      </c>
      <c r="F31" t="inlineStr">
        <is>
          <t>Euphorbiaceae</t>
        </is>
      </c>
      <c r="G31" t="inlineStr">
        <is>
          <t>Croton</t>
        </is>
      </c>
      <c r="H31" t="inlineStr">
        <is>
          <t>pachypodus</t>
        </is>
      </c>
      <c r="I31" s="2" t="n">
        <v>38822</v>
      </c>
      <c r="J31" t="n">
        <v>4793</v>
      </c>
      <c r="K31" t="inlineStr"/>
      <c r="L31" t="inlineStr"/>
      <c r="M31" t="inlineStr"/>
      <c r="N31" t="inlineStr"/>
    </row>
    <row r="32">
      <c r="A32" s="1" t="n">
        <v>30</v>
      </c>
      <c r="B32" t="n">
        <v>20</v>
      </c>
      <c r="C32" t="inlineStr">
        <is>
          <t>Galeras</t>
        </is>
      </c>
      <c r="D32" t="inlineStr">
        <is>
          <t>GAL_20</t>
        </is>
      </c>
      <c r="E32" t="inlineStr">
        <is>
          <t>y</t>
        </is>
      </c>
      <c r="F32" t="inlineStr">
        <is>
          <t>Fabaceae</t>
        </is>
      </c>
      <c r="G32" t="inlineStr">
        <is>
          <t>Inga</t>
        </is>
      </c>
      <c r="H32" t="inlineStr"/>
      <c r="I32" s="2" t="n">
        <v>38822</v>
      </c>
      <c r="J32" t="n">
        <v>4794</v>
      </c>
      <c r="K32" t="inlineStr"/>
      <c r="L32" t="inlineStr"/>
      <c r="M32" t="inlineStr"/>
      <c r="N32" t="inlineStr"/>
    </row>
    <row r="33">
      <c r="A33" s="1" t="n">
        <v>31</v>
      </c>
      <c r="B33" t="n">
        <v>21</v>
      </c>
      <c r="C33" t="inlineStr">
        <is>
          <t>Galeras</t>
        </is>
      </c>
      <c r="D33" t="inlineStr">
        <is>
          <t>GAL_21</t>
        </is>
      </c>
      <c r="E33" t="n">
        <v>500</v>
      </c>
      <c r="F33" t="inlineStr">
        <is>
          <t>Melastomataceae</t>
        </is>
      </c>
      <c r="G33" t="inlineStr">
        <is>
          <t>Conostegia</t>
        </is>
      </c>
      <c r="H33" t="inlineStr">
        <is>
          <t>superba</t>
        </is>
      </c>
      <c r="I33" s="2" t="n">
        <v>38652</v>
      </c>
      <c r="J33" t="inlineStr">
        <is>
          <t>1980, 2342</t>
        </is>
      </c>
      <c r="K33" t="n">
        <v>1</v>
      </c>
      <c r="L33" t="inlineStr"/>
      <c r="M33" t="inlineStr"/>
      <c r="N33" t="inlineStr"/>
    </row>
    <row r="34">
      <c r="A34" s="1" t="n">
        <v>32</v>
      </c>
      <c r="B34" t="n">
        <v>21</v>
      </c>
      <c r="C34" t="inlineStr">
        <is>
          <t>Galeras</t>
        </is>
      </c>
      <c r="D34" t="inlineStr">
        <is>
          <t>GAL_21</t>
        </is>
      </c>
      <c r="E34" t="n">
        <v>501</v>
      </c>
      <c r="F34" t="inlineStr">
        <is>
          <t>Euphorbiaceae</t>
        </is>
      </c>
      <c r="G34" t="inlineStr">
        <is>
          <t>Alchornea</t>
        </is>
      </c>
      <c r="H34" t="inlineStr"/>
      <c r="I34" s="2" t="n">
        <v>38652</v>
      </c>
      <c r="J34" t="inlineStr"/>
      <c r="K34" t="inlineStr"/>
      <c r="L34" t="inlineStr"/>
      <c r="M34" t="inlineStr"/>
      <c r="N34" t="inlineStr"/>
    </row>
    <row r="35">
      <c r="A35" s="1" t="n">
        <v>33</v>
      </c>
      <c r="B35" t="n">
        <v>21</v>
      </c>
      <c r="C35" t="inlineStr">
        <is>
          <t>Galeras</t>
        </is>
      </c>
      <c r="D35" t="inlineStr">
        <is>
          <t>GAL_21</t>
        </is>
      </c>
      <c r="E35" t="n">
        <v>502</v>
      </c>
      <c r="F35" t="inlineStr">
        <is>
          <t>Euphorbiaceae</t>
        </is>
      </c>
      <c r="G35" t="inlineStr">
        <is>
          <t>Alchornea</t>
        </is>
      </c>
      <c r="H35" t="inlineStr"/>
      <c r="I35" s="2" t="n">
        <v>38652</v>
      </c>
      <c r="J35" t="inlineStr"/>
      <c r="K35" t="n">
        <v>1</v>
      </c>
      <c r="L35" t="inlineStr"/>
      <c r="M35" t="inlineStr"/>
      <c r="N35" t="inlineStr"/>
    </row>
    <row r="36">
      <c r="A36" s="1" t="n">
        <v>34</v>
      </c>
      <c r="B36" t="n">
        <v>21</v>
      </c>
      <c r="C36" t="inlineStr">
        <is>
          <t>Galeras</t>
        </is>
      </c>
      <c r="D36" t="inlineStr">
        <is>
          <t>GAL_21</t>
        </is>
      </c>
      <c r="E36" t="n">
        <v>503</v>
      </c>
      <c r="F36" t="inlineStr">
        <is>
          <t>Euphorbiaceae</t>
        </is>
      </c>
      <c r="G36" t="inlineStr">
        <is>
          <t>Alchornea</t>
        </is>
      </c>
      <c r="H36" t="inlineStr"/>
      <c r="I36" s="2" t="n">
        <v>38652</v>
      </c>
      <c r="J36" t="inlineStr"/>
      <c r="K36" t="inlineStr"/>
      <c r="L36" t="inlineStr"/>
      <c r="M36" t="inlineStr"/>
      <c r="N36" t="inlineStr"/>
    </row>
    <row r="37">
      <c r="A37" s="1" t="n">
        <v>35</v>
      </c>
      <c r="B37" t="n">
        <v>21</v>
      </c>
      <c r="C37" t="inlineStr">
        <is>
          <t>Galeras</t>
        </is>
      </c>
      <c r="D37" t="inlineStr">
        <is>
          <t>GAL_21</t>
        </is>
      </c>
      <c r="E37" t="n">
        <v>504</v>
      </c>
      <c r="F37" t="inlineStr">
        <is>
          <t>Euphorbiaceae</t>
        </is>
      </c>
      <c r="G37" t="inlineStr">
        <is>
          <t>Alchornea</t>
        </is>
      </c>
      <c r="H37" t="inlineStr"/>
      <c r="I37" s="2" t="n">
        <v>38652</v>
      </c>
      <c r="J37" t="inlineStr"/>
      <c r="K37" t="inlineStr"/>
      <c r="L37" t="inlineStr"/>
      <c r="M37" t="inlineStr"/>
      <c r="N37" t="inlineStr"/>
    </row>
    <row r="38">
      <c r="A38" s="1" t="n">
        <v>36</v>
      </c>
      <c r="B38" t="n">
        <v>21</v>
      </c>
      <c r="C38" t="inlineStr">
        <is>
          <t>Galeras</t>
        </is>
      </c>
      <c r="D38" t="inlineStr">
        <is>
          <t>GAL_21</t>
        </is>
      </c>
      <c r="E38" t="n">
        <v>505</v>
      </c>
      <c r="F38" t="inlineStr">
        <is>
          <t>Rutaceae</t>
        </is>
      </c>
      <c r="G38" t="inlineStr">
        <is>
          <t>Zanthoxylum</t>
        </is>
      </c>
      <c r="H38" t="inlineStr">
        <is>
          <t>cf riedelanum</t>
        </is>
      </c>
      <c r="I38" s="2" t="n">
        <v>38652</v>
      </c>
      <c r="J38" t="inlineStr">
        <is>
          <t>3713</t>
        </is>
      </c>
      <c r="K38" t="inlineStr"/>
      <c r="L38" t="inlineStr"/>
      <c r="M38" t="inlineStr"/>
      <c r="N38" t="inlineStr"/>
    </row>
    <row r="39">
      <c r="A39" s="1" t="n">
        <v>37</v>
      </c>
      <c r="B39" t="n">
        <v>21</v>
      </c>
      <c r="C39" t="inlineStr">
        <is>
          <t>Galeras</t>
        </is>
      </c>
      <c r="D39" t="inlineStr">
        <is>
          <t>GAL_21</t>
        </is>
      </c>
      <c r="E39" t="n">
        <v>506</v>
      </c>
      <c r="F39" t="inlineStr">
        <is>
          <t>Euphorbiaceae</t>
        </is>
      </c>
      <c r="G39" t="inlineStr">
        <is>
          <t>Sapium</t>
        </is>
      </c>
      <c r="H39" t="inlineStr">
        <is>
          <t>glandulosum</t>
        </is>
      </c>
      <c r="I39" s="2" t="n">
        <v>38652</v>
      </c>
      <c r="J39">
        <f>3722</f>
        <v/>
      </c>
      <c r="K39" t="inlineStr"/>
      <c r="L39" t="inlineStr"/>
      <c r="M39" t="inlineStr"/>
      <c r="N39" t="inlineStr"/>
    </row>
    <row r="40">
      <c r="A40" s="1" t="n">
        <v>38</v>
      </c>
      <c r="B40" t="n">
        <v>21</v>
      </c>
      <c r="C40" t="inlineStr">
        <is>
          <t>Galeras</t>
        </is>
      </c>
      <c r="D40" t="inlineStr">
        <is>
          <t>GAL_21</t>
        </is>
      </c>
      <c r="E40" t="n">
        <v>507</v>
      </c>
      <c r="F40" t="inlineStr">
        <is>
          <t>Euphorbiaceae</t>
        </is>
      </c>
      <c r="G40" t="inlineStr">
        <is>
          <t>Croton</t>
        </is>
      </c>
      <c r="H40" t="inlineStr">
        <is>
          <t>tessmannii</t>
        </is>
      </c>
      <c r="I40" s="2" t="n">
        <v>38652</v>
      </c>
      <c r="J40" t="inlineStr"/>
      <c r="K40" t="n">
        <v>1</v>
      </c>
      <c r="L40" t="inlineStr"/>
      <c r="M40" t="inlineStr"/>
      <c r="N40" t="inlineStr"/>
    </row>
    <row r="41">
      <c r="A41" s="1" t="n">
        <v>39</v>
      </c>
      <c r="B41" t="n">
        <v>21</v>
      </c>
      <c r="C41" t="inlineStr">
        <is>
          <t>Galeras</t>
        </is>
      </c>
      <c r="D41" t="inlineStr">
        <is>
          <t>GAL_21</t>
        </is>
      </c>
      <c r="E41" t="n">
        <v>508</v>
      </c>
      <c r="F41" t="inlineStr">
        <is>
          <t>Meliaceae</t>
        </is>
      </c>
      <c r="G41" t="inlineStr">
        <is>
          <t>Guarea</t>
        </is>
      </c>
      <c r="H41" t="inlineStr">
        <is>
          <t>persistens</t>
        </is>
      </c>
      <c r="I41" s="2" t="n">
        <v>38652</v>
      </c>
      <c r="J41" t="inlineStr">
        <is>
          <t>1979</t>
        </is>
      </c>
      <c r="K41" t="inlineStr"/>
      <c r="L41" t="inlineStr"/>
      <c r="M41" t="inlineStr"/>
      <c r="N41" t="inlineStr"/>
    </row>
    <row r="42">
      <c r="A42" s="1" t="n">
        <v>40</v>
      </c>
      <c r="B42" t="n">
        <v>21</v>
      </c>
      <c r="C42" t="inlineStr">
        <is>
          <t>Galeras</t>
        </is>
      </c>
      <c r="D42" t="inlineStr">
        <is>
          <t>GAL_21</t>
        </is>
      </c>
      <c r="E42" t="n">
        <v>509</v>
      </c>
      <c r="F42" t="inlineStr">
        <is>
          <t>Rubiaceae</t>
        </is>
      </c>
      <c r="G42" t="inlineStr">
        <is>
          <t>Chimarrhis</t>
        </is>
      </c>
      <c r="H42" t="inlineStr">
        <is>
          <t>hookeri</t>
        </is>
      </c>
      <c r="I42" s="2" t="n">
        <v>38652</v>
      </c>
      <c r="J42" t="inlineStr">
        <is>
          <t>3714</t>
        </is>
      </c>
      <c r="K42" t="n">
        <v>1</v>
      </c>
      <c r="L42" t="inlineStr"/>
      <c r="M42" t="inlineStr"/>
      <c r="N42" t="inlineStr"/>
    </row>
    <row r="43">
      <c r="A43" s="1" t="n">
        <v>41</v>
      </c>
      <c r="B43" t="n">
        <v>21</v>
      </c>
      <c r="C43" t="inlineStr">
        <is>
          <t>Galeras</t>
        </is>
      </c>
      <c r="D43" t="inlineStr">
        <is>
          <t>GAL_21</t>
        </is>
      </c>
      <c r="E43" t="n">
        <v>510</v>
      </c>
      <c r="F43" t="inlineStr">
        <is>
          <t>Meliaceae</t>
        </is>
      </c>
      <c r="G43" t="inlineStr">
        <is>
          <t>Ruagea</t>
        </is>
      </c>
      <c r="H43" t="inlineStr">
        <is>
          <t>glabra</t>
        </is>
      </c>
      <c r="I43" s="2" t="n">
        <v>38652</v>
      </c>
      <c r="J43" t="inlineStr"/>
      <c r="K43" t="inlineStr"/>
      <c r="L43" t="inlineStr"/>
      <c r="M43" t="inlineStr"/>
      <c r="N43" t="inlineStr"/>
    </row>
    <row r="44">
      <c r="A44" s="1" t="n">
        <v>42</v>
      </c>
      <c r="B44" t="n">
        <v>21</v>
      </c>
      <c r="C44" t="inlineStr">
        <is>
          <t>Galeras</t>
        </is>
      </c>
      <c r="D44" t="inlineStr">
        <is>
          <t>GAL_21</t>
        </is>
      </c>
      <c r="E44" t="n">
        <v>511</v>
      </c>
      <c r="F44" t="inlineStr">
        <is>
          <t>Euphorbiaceae</t>
        </is>
      </c>
      <c r="G44" t="inlineStr">
        <is>
          <t>Croton</t>
        </is>
      </c>
      <c r="H44" t="inlineStr">
        <is>
          <t>tessmannii</t>
        </is>
      </c>
      <c r="I44" s="2" t="n">
        <v>38652</v>
      </c>
      <c r="J44" t="inlineStr"/>
      <c r="K44" t="n">
        <v>1</v>
      </c>
      <c r="L44" t="inlineStr"/>
      <c r="M44" t="inlineStr"/>
      <c r="N44" t="inlineStr"/>
    </row>
    <row r="45">
      <c r="A45" s="1" t="n">
        <v>43</v>
      </c>
      <c r="B45" t="n">
        <v>21</v>
      </c>
      <c r="C45" t="inlineStr">
        <is>
          <t>Galeras</t>
        </is>
      </c>
      <c r="D45" t="inlineStr">
        <is>
          <t>GAL_21</t>
        </is>
      </c>
      <c r="E45" t="n">
        <v>512</v>
      </c>
      <c r="F45" t="inlineStr">
        <is>
          <t>Euphorbiaceae</t>
        </is>
      </c>
      <c r="G45" t="inlineStr">
        <is>
          <t>Alchornea</t>
        </is>
      </c>
      <c r="H45" t="inlineStr"/>
      <c r="I45" s="2" t="n">
        <v>38652</v>
      </c>
      <c r="J45" t="inlineStr"/>
      <c r="K45" t="n">
        <v>1</v>
      </c>
      <c r="L45" t="inlineStr"/>
      <c r="M45" t="inlineStr"/>
      <c r="N45" t="inlineStr"/>
    </row>
    <row r="46">
      <c r="A46" s="1" t="n">
        <v>44</v>
      </c>
      <c r="B46" t="n">
        <v>21</v>
      </c>
      <c r="C46" t="inlineStr">
        <is>
          <t>Galeras</t>
        </is>
      </c>
      <c r="D46" t="inlineStr">
        <is>
          <t>GAL_21</t>
        </is>
      </c>
      <c r="E46" t="n">
        <v>513</v>
      </c>
      <c r="F46" t="inlineStr">
        <is>
          <t>Euphorbiaceae</t>
        </is>
      </c>
      <c r="G46" t="inlineStr">
        <is>
          <t>Croton</t>
        </is>
      </c>
      <c r="H46" t="inlineStr">
        <is>
          <t>tessmannii</t>
        </is>
      </c>
      <c r="I46" s="2" t="n">
        <v>38652</v>
      </c>
      <c r="J46" t="inlineStr"/>
      <c r="K46" t="n">
        <v>1</v>
      </c>
      <c r="L46" t="inlineStr"/>
      <c r="M46" t="inlineStr"/>
      <c r="N46" t="inlineStr"/>
    </row>
    <row r="47">
      <c r="A47" s="1" t="n">
        <v>45</v>
      </c>
      <c r="B47" t="n">
        <v>21</v>
      </c>
      <c r="C47" t="inlineStr">
        <is>
          <t>Galeras</t>
        </is>
      </c>
      <c r="D47" t="inlineStr">
        <is>
          <t>GAL_21</t>
        </is>
      </c>
      <c r="E47" t="n">
        <v>514</v>
      </c>
      <c r="F47" t="inlineStr">
        <is>
          <t>Fabaceae</t>
        </is>
      </c>
      <c r="G47" t="inlineStr">
        <is>
          <t>Inga</t>
        </is>
      </c>
      <c r="H47" t="inlineStr">
        <is>
          <t>multinervis</t>
        </is>
      </c>
      <c r="I47" s="2" t="n">
        <v>38652</v>
      </c>
      <c r="J47">
        <f>3746</f>
        <v/>
      </c>
      <c r="K47" t="n">
        <v>1</v>
      </c>
      <c r="L47" t="inlineStr"/>
      <c r="M47" t="inlineStr"/>
      <c r="N47" t="inlineStr"/>
    </row>
    <row r="48">
      <c r="A48" s="1" t="n">
        <v>46</v>
      </c>
      <c r="B48" t="n">
        <v>21</v>
      </c>
      <c r="C48" t="inlineStr">
        <is>
          <t>Galeras</t>
        </is>
      </c>
      <c r="D48" t="inlineStr">
        <is>
          <t>GAL_21</t>
        </is>
      </c>
      <c r="E48" t="n">
        <v>515</v>
      </c>
      <c r="F48" t="inlineStr">
        <is>
          <t>Burseraceae</t>
        </is>
      </c>
      <c r="G48" t="inlineStr">
        <is>
          <t>Dacryodes</t>
        </is>
      </c>
      <c r="H48" t="inlineStr">
        <is>
          <t>aff cupularis</t>
        </is>
      </c>
      <c r="I48" s="2" t="n">
        <v>38652</v>
      </c>
      <c r="J48" t="inlineStr"/>
      <c r="K48" t="n">
        <v>1</v>
      </c>
      <c r="L48" t="inlineStr"/>
      <c r="M48" t="inlineStr"/>
      <c r="N48" t="inlineStr"/>
    </row>
    <row r="49">
      <c r="A49" s="1" t="n">
        <v>47</v>
      </c>
      <c r="B49" t="n">
        <v>21</v>
      </c>
      <c r="C49" t="inlineStr">
        <is>
          <t>Galeras</t>
        </is>
      </c>
      <c r="D49" t="inlineStr">
        <is>
          <t>GAL_21</t>
        </is>
      </c>
      <c r="E49" t="n">
        <v>516</v>
      </c>
      <c r="F49" t="inlineStr">
        <is>
          <t>Euphorbiaceae</t>
        </is>
      </c>
      <c r="G49" t="inlineStr">
        <is>
          <t>Sapium</t>
        </is>
      </c>
      <c r="H49" t="inlineStr">
        <is>
          <t>glandulosum</t>
        </is>
      </c>
      <c r="I49" s="2" t="n">
        <v>38652</v>
      </c>
      <c r="J49">
        <f>3722</f>
        <v/>
      </c>
      <c r="K49" t="inlineStr"/>
      <c r="L49" t="inlineStr"/>
      <c r="M49" t="inlineStr"/>
      <c r="N49" t="inlineStr"/>
    </row>
    <row r="50">
      <c r="A50" s="1" t="n">
        <v>48</v>
      </c>
      <c r="B50" t="n">
        <v>21</v>
      </c>
      <c r="C50" t="inlineStr">
        <is>
          <t>Galeras</t>
        </is>
      </c>
      <c r="D50" t="inlineStr">
        <is>
          <t>GAL_21</t>
        </is>
      </c>
      <c r="E50" t="n">
        <v>517</v>
      </c>
      <c r="F50" t="inlineStr">
        <is>
          <t>Euphorbiaceae</t>
        </is>
      </c>
      <c r="G50" t="inlineStr">
        <is>
          <t>Croton</t>
        </is>
      </c>
      <c r="H50" t="inlineStr">
        <is>
          <t>tessmannii</t>
        </is>
      </c>
      <c r="I50" s="2" t="n">
        <v>38652</v>
      </c>
      <c r="J50" t="inlineStr"/>
      <c r="K50" t="n">
        <v>1</v>
      </c>
      <c r="L50" t="inlineStr"/>
      <c r="M50" t="inlineStr"/>
      <c r="N50" t="inlineStr"/>
    </row>
    <row r="51">
      <c r="A51" s="1" t="n">
        <v>49</v>
      </c>
      <c r="B51" t="n">
        <v>21</v>
      </c>
      <c r="C51" t="inlineStr">
        <is>
          <t>Galeras</t>
        </is>
      </c>
      <c r="D51" t="inlineStr">
        <is>
          <t>GAL_21</t>
        </is>
      </c>
      <c r="E51" t="n">
        <v>518</v>
      </c>
      <c r="F51" t="inlineStr">
        <is>
          <t>Arecaceae</t>
        </is>
      </c>
      <c r="G51" t="inlineStr">
        <is>
          <t>Wettinia</t>
        </is>
      </c>
      <c r="H51" t="inlineStr">
        <is>
          <t>cf mayensis</t>
        </is>
      </c>
      <c r="I51" s="2" t="n">
        <v>38652</v>
      </c>
      <c r="J51" t="inlineStr"/>
      <c r="K51" t="inlineStr"/>
      <c r="L51" t="inlineStr"/>
      <c r="M51" t="inlineStr"/>
      <c r="N51" t="inlineStr"/>
    </row>
    <row r="52">
      <c r="A52" s="1" t="n">
        <v>50</v>
      </c>
      <c r="B52" t="n">
        <v>22</v>
      </c>
      <c r="C52" t="inlineStr">
        <is>
          <t>Galeras</t>
        </is>
      </c>
      <c r="D52" t="inlineStr">
        <is>
          <t>GAL_22</t>
        </is>
      </c>
      <c r="E52" t="n">
        <v>519</v>
      </c>
      <c r="F52" t="inlineStr">
        <is>
          <t>Ulmaceae</t>
        </is>
      </c>
      <c r="G52" t="inlineStr">
        <is>
          <t>Trema</t>
        </is>
      </c>
      <c r="H52" t="inlineStr"/>
      <c r="I52" s="2" t="n">
        <v>38823</v>
      </c>
      <c r="J52" t="inlineStr"/>
      <c r="K52" t="inlineStr"/>
      <c r="L52" t="inlineStr"/>
      <c r="M52" t="inlineStr"/>
      <c r="N52" t="inlineStr"/>
    </row>
    <row r="53">
      <c r="A53" s="1" t="n">
        <v>51</v>
      </c>
      <c r="B53" t="n">
        <v>22</v>
      </c>
      <c r="C53" t="inlineStr">
        <is>
          <t>Galeras</t>
        </is>
      </c>
      <c r="D53" t="inlineStr">
        <is>
          <t>GAL_22</t>
        </is>
      </c>
      <c r="E53" t="n">
        <v>520</v>
      </c>
      <c r="F53" t="inlineStr">
        <is>
          <t>Moraceae</t>
        </is>
      </c>
      <c r="G53" t="inlineStr">
        <is>
          <t>Sorocea</t>
        </is>
      </c>
      <c r="H53" t="inlineStr">
        <is>
          <t>trophoides</t>
        </is>
      </c>
      <c r="I53" s="2" t="n">
        <v>38823</v>
      </c>
      <c r="J53" t="n">
        <v>2063</v>
      </c>
      <c r="K53" t="inlineStr"/>
      <c r="L53" t="inlineStr"/>
      <c r="M53" t="inlineStr"/>
      <c r="N53" t="inlineStr"/>
    </row>
    <row r="54">
      <c r="A54" s="1" t="n">
        <v>52</v>
      </c>
      <c r="B54" t="n">
        <v>22</v>
      </c>
      <c r="C54" t="inlineStr">
        <is>
          <t>Galeras</t>
        </is>
      </c>
      <c r="D54" t="inlineStr">
        <is>
          <t>GAL_22</t>
        </is>
      </c>
      <c r="E54" t="n">
        <v>521</v>
      </c>
      <c r="F54" t="inlineStr">
        <is>
          <t>Myristicaceae</t>
        </is>
      </c>
      <c r="G54" t="inlineStr">
        <is>
          <t>Compsoneura</t>
        </is>
      </c>
      <c r="H54" t="inlineStr">
        <is>
          <t>capitellata</t>
        </is>
      </c>
      <c r="I54" s="2" t="n">
        <v>38823</v>
      </c>
      <c r="J54" t="n">
        <v>3715</v>
      </c>
      <c r="K54" t="inlineStr"/>
      <c r="L54" t="inlineStr">
        <is>
          <t>Ο</t>
        </is>
      </c>
      <c r="M54" t="inlineStr">
        <is>
          <t>Ø</t>
        </is>
      </c>
      <c r="N54" t="n">
        <v>8945</v>
      </c>
    </row>
    <row r="55">
      <c r="A55" s="1" t="n">
        <v>53</v>
      </c>
      <c r="B55" t="n">
        <v>22</v>
      </c>
      <c r="C55" t="inlineStr">
        <is>
          <t>Galeras</t>
        </is>
      </c>
      <c r="D55" t="inlineStr">
        <is>
          <t>GAL_22</t>
        </is>
      </c>
      <c r="E55" t="n">
        <v>522</v>
      </c>
      <c r="F55" t="inlineStr">
        <is>
          <t>Myristicaceae</t>
        </is>
      </c>
      <c r="G55" t="inlineStr">
        <is>
          <t>Virola</t>
        </is>
      </c>
      <c r="H55" t="inlineStr">
        <is>
          <t>calophylla</t>
        </is>
      </c>
      <c r="I55" s="2" t="n">
        <v>38823</v>
      </c>
      <c r="J55" t="inlineStr">
        <is>
          <t>David</t>
        </is>
      </c>
      <c r="K55" t="n">
        <v>1</v>
      </c>
      <c r="L55" t="inlineStr"/>
      <c r="M55" t="inlineStr"/>
      <c r="N55" t="inlineStr"/>
    </row>
    <row r="56">
      <c r="A56" s="1" t="n">
        <v>54</v>
      </c>
      <c r="B56" t="n">
        <v>22</v>
      </c>
      <c r="C56" t="inlineStr">
        <is>
          <t>Galeras</t>
        </is>
      </c>
      <c r="D56" t="inlineStr">
        <is>
          <t>GAL_22</t>
        </is>
      </c>
      <c r="E56" t="n">
        <v>523</v>
      </c>
      <c r="F56" t="inlineStr">
        <is>
          <t>Urticaceae</t>
        </is>
      </c>
      <c r="G56" t="inlineStr">
        <is>
          <t>Pourouma</t>
        </is>
      </c>
      <c r="H56" t="inlineStr">
        <is>
          <t>minor</t>
        </is>
      </c>
      <c r="I56" s="2" t="n">
        <v>38823</v>
      </c>
      <c r="J56" t="inlineStr"/>
      <c r="K56" t="inlineStr"/>
      <c r="L56" t="inlineStr"/>
      <c r="M56" t="inlineStr"/>
      <c r="N56" t="n">
        <v>8946</v>
      </c>
    </row>
    <row r="57">
      <c r="A57" s="1" t="n">
        <v>55</v>
      </c>
      <c r="B57" t="n">
        <v>22</v>
      </c>
      <c r="C57" t="inlineStr">
        <is>
          <t>Galeras</t>
        </is>
      </c>
      <c r="D57" t="inlineStr">
        <is>
          <t>GAL_22</t>
        </is>
      </c>
      <c r="E57" t="n">
        <v>524</v>
      </c>
      <c r="F57" t="inlineStr">
        <is>
          <t>Myristicaceae</t>
        </is>
      </c>
      <c r="G57" t="inlineStr">
        <is>
          <t>Compsoneura</t>
        </is>
      </c>
      <c r="H57" t="inlineStr">
        <is>
          <t>capitellata</t>
        </is>
      </c>
      <c r="I57" s="2" t="n">
        <v>38823</v>
      </c>
      <c r="J57" t="n">
        <v>3715</v>
      </c>
      <c r="K57" t="inlineStr"/>
      <c r="L57" t="inlineStr"/>
      <c r="M57" t="inlineStr"/>
      <c r="N57" t="inlineStr"/>
    </row>
    <row r="58">
      <c r="A58" s="1" t="n">
        <v>56</v>
      </c>
      <c r="B58" t="n">
        <v>22</v>
      </c>
      <c r="C58" t="inlineStr">
        <is>
          <t>Galeras</t>
        </is>
      </c>
      <c r="D58" t="inlineStr">
        <is>
          <t>GAL_22</t>
        </is>
      </c>
      <c r="E58" t="n">
        <v>525</v>
      </c>
      <c r="F58" t="inlineStr">
        <is>
          <t>Simaroubaceae</t>
        </is>
      </c>
      <c r="G58" t="inlineStr"/>
      <c r="H58" t="inlineStr"/>
      <c r="I58" s="2" t="n">
        <v>38823</v>
      </c>
      <c r="J58" t="inlineStr"/>
      <c r="K58" t="n">
        <v>1</v>
      </c>
      <c r="L58" t="inlineStr"/>
      <c r="M58" t="inlineStr"/>
      <c r="N58" t="n">
        <v>8948</v>
      </c>
    </row>
    <row r="59">
      <c r="A59" s="1" t="n">
        <v>57</v>
      </c>
      <c r="B59" t="n">
        <v>22</v>
      </c>
      <c r="C59" t="inlineStr">
        <is>
          <t>Galeras</t>
        </is>
      </c>
      <c r="D59" t="inlineStr">
        <is>
          <t>GAL_22</t>
        </is>
      </c>
      <c r="E59" t="n">
        <v>526</v>
      </c>
      <c r="F59" t="inlineStr">
        <is>
          <t>Arecaceae</t>
        </is>
      </c>
      <c r="G59" t="inlineStr">
        <is>
          <t>Iriartea</t>
        </is>
      </c>
      <c r="H59" t="inlineStr">
        <is>
          <t>deltoidea</t>
        </is>
      </c>
      <c r="I59" s="2" t="n">
        <v>38823</v>
      </c>
      <c r="J59" t="inlineStr"/>
      <c r="K59" t="inlineStr"/>
      <c r="L59" t="inlineStr"/>
      <c r="M59" t="inlineStr"/>
      <c r="N59" t="n">
        <v>8949</v>
      </c>
    </row>
    <row r="60">
      <c r="A60" s="1" t="n">
        <v>58</v>
      </c>
      <c r="B60" t="n">
        <v>22</v>
      </c>
      <c r="C60" t="inlineStr">
        <is>
          <t>Galeras</t>
        </is>
      </c>
      <c r="D60" t="inlineStr">
        <is>
          <t>GAL_22</t>
        </is>
      </c>
      <c r="E60" t="n">
        <v>527</v>
      </c>
      <c r="F60" t="inlineStr">
        <is>
          <t>Arecaceae</t>
        </is>
      </c>
      <c r="G60" t="inlineStr">
        <is>
          <t>Iriartea</t>
        </is>
      </c>
      <c r="H60" t="inlineStr">
        <is>
          <t>deltoidea</t>
        </is>
      </c>
      <c r="I60" s="2" t="n">
        <v>38823</v>
      </c>
      <c r="J60" t="inlineStr"/>
      <c r="K60" t="inlineStr"/>
      <c r="L60" t="inlineStr"/>
      <c r="M60" t="inlineStr"/>
      <c r="N60" t="n">
        <v>8950</v>
      </c>
    </row>
    <row r="61">
      <c r="A61" s="1" t="n">
        <v>59</v>
      </c>
      <c r="B61" t="n">
        <v>22</v>
      </c>
      <c r="C61" t="inlineStr">
        <is>
          <t>Galeras</t>
        </is>
      </c>
      <c r="D61" t="inlineStr">
        <is>
          <t>GAL_22</t>
        </is>
      </c>
      <c r="E61" t="n">
        <v>528</v>
      </c>
      <c r="F61" t="inlineStr">
        <is>
          <t>Sapotaceae</t>
        </is>
      </c>
      <c r="G61" t="inlineStr">
        <is>
          <t>Pouteria</t>
        </is>
      </c>
      <c r="H61" t="inlineStr">
        <is>
          <t>bilocularis</t>
        </is>
      </c>
      <c r="I61" s="2" t="n">
        <v>38823</v>
      </c>
      <c r="J61" t="n">
        <v>3778</v>
      </c>
      <c r="K61" t="inlineStr"/>
      <c r="L61" t="inlineStr"/>
      <c r="M61" t="inlineStr"/>
      <c r="N61" t="inlineStr"/>
    </row>
    <row r="62">
      <c r="A62" s="1" t="n">
        <v>60</v>
      </c>
      <c r="B62" t="n">
        <v>22</v>
      </c>
      <c r="C62" t="inlineStr">
        <is>
          <t>Galeras</t>
        </is>
      </c>
      <c r="D62" t="inlineStr">
        <is>
          <t>GAL_22</t>
        </is>
      </c>
      <c r="E62" t="n">
        <v>529</v>
      </c>
      <c r="F62" t="inlineStr">
        <is>
          <t>Arecaceae</t>
        </is>
      </c>
      <c r="G62" t="inlineStr">
        <is>
          <t>Wettinia</t>
        </is>
      </c>
      <c r="H62" t="inlineStr">
        <is>
          <t>cf mayensis</t>
        </is>
      </c>
      <c r="I62" s="2" t="n">
        <v>38823</v>
      </c>
      <c r="J62" t="inlineStr"/>
      <c r="K62" t="inlineStr"/>
      <c r="L62" t="inlineStr"/>
      <c r="M62" t="inlineStr"/>
      <c r="N62" t="n">
        <v>8951</v>
      </c>
    </row>
    <row r="63">
      <c r="A63" s="1" t="n">
        <v>61</v>
      </c>
      <c r="B63" t="n">
        <v>22</v>
      </c>
      <c r="C63" t="inlineStr">
        <is>
          <t>Galeras</t>
        </is>
      </c>
      <c r="D63" t="inlineStr">
        <is>
          <t>GAL_22</t>
        </is>
      </c>
      <c r="E63" t="n">
        <v>530</v>
      </c>
      <c r="F63" t="inlineStr">
        <is>
          <t>Fabaceae</t>
        </is>
      </c>
      <c r="G63" t="inlineStr">
        <is>
          <t>Inga</t>
        </is>
      </c>
      <c r="H63" t="inlineStr">
        <is>
          <t>marginata</t>
        </is>
      </c>
      <c r="I63" s="2" t="n">
        <v>38823</v>
      </c>
      <c r="J63" t="n">
        <v>2061</v>
      </c>
      <c r="K63" t="inlineStr"/>
      <c r="L63" t="inlineStr"/>
      <c r="M63" t="inlineStr"/>
      <c r="N63" t="inlineStr"/>
    </row>
    <row r="64">
      <c r="A64" s="1" t="n">
        <v>62</v>
      </c>
      <c r="B64" t="n">
        <v>22</v>
      </c>
      <c r="C64" t="inlineStr">
        <is>
          <t>Galeras</t>
        </is>
      </c>
      <c r="D64" t="inlineStr">
        <is>
          <t>GAL_22</t>
        </is>
      </c>
      <c r="E64" t="n">
        <v>531</v>
      </c>
      <c r="F64" t="inlineStr">
        <is>
          <t>Fabaceae</t>
        </is>
      </c>
      <c r="G64" t="inlineStr">
        <is>
          <t>Inga</t>
        </is>
      </c>
      <c r="H64" t="inlineStr">
        <is>
          <t>leiocalycina</t>
        </is>
      </c>
      <c r="I64" s="2" t="n">
        <v>38823</v>
      </c>
      <c r="J64" t="n">
        <v>2062</v>
      </c>
      <c r="K64" t="inlineStr"/>
      <c r="L64" t="inlineStr">
        <is>
          <t>Ο</t>
        </is>
      </c>
      <c r="M64" t="inlineStr">
        <is>
          <t>Ø</t>
        </is>
      </c>
      <c r="N64" t="n">
        <v>8961</v>
      </c>
    </row>
    <row r="65">
      <c r="A65" s="1" t="n">
        <v>63</v>
      </c>
      <c r="B65" t="n">
        <v>22</v>
      </c>
      <c r="C65" t="inlineStr">
        <is>
          <t>Galeras</t>
        </is>
      </c>
      <c r="D65" t="inlineStr">
        <is>
          <t>GAL_22</t>
        </is>
      </c>
      <c r="E65" t="n">
        <v>532</v>
      </c>
      <c r="F65" t="inlineStr">
        <is>
          <t>Arecaceae</t>
        </is>
      </c>
      <c r="G65" t="inlineStr">
        <is>
          <t>Iriartea</t>
        </is>
      </c>
      <c r="H65" t="inlineStr">
        <is>
          <t>deltoidea</t>
        </is>
      </c>
      <c r="I65" s="2" t="n">
        <v>38823</v>
      </c>
      <c r="J65" t="inlineStr"/>
      <c r="K65" t="inlineStr"/>
      <c r="L65" t="inlineStr"/>
      <c r="M65" t="inlineStr"/>
      <c r="N65" t="n">
        <v>8953</v>
      </c>
    </row>
    <row r="66">
      <c r="A66" s="1" t="n">
        <v>64</v>
      </c>
      <c r="B66" t="n">
        <v>22</v>
      </c>
      <c r="C66" t="inlineStr">
        <is>
          <t>Galeras</t>
        </is>
      </c>
      <c r="D66" t="inlineStr">
        <is>
          <t>GAL_22</t>
        </is>
      </c>
      <c r="E66" t="n">
        <v>533</v>
      </c>
      <c r="F66" t="inlineStr">
        <is>
          <t>Meliaceae</t>
        </is>
      </c>
      <c r="G66" t="inlineStr">
        <is>
          <t>Trichilia</t>
        </is>
      </c>
      <c r="H66" t="inlineStr">
        <is>
          <t>pleeana</t>
        </is>
      </c>
      <c r="I66" s="2" t="n">
        <v>38823</v>
      </c>
      <c r="J66" t="n">
        <v>2052</v>
      </c>
      <c r="K66" t="inlineStr"/>
      <c r="L66" t="inlineStr"/>
      <c r="M66" t="inlineStr"/>
      <c r="N66" t="inlineStr"/>
    </row>
    <row r="67">
      <c r="A67" s="1" t="n">
        <v>65</v>
      </c>
      <c r="B67" t="n">
        <v>22</v>
      </c>
      <c r="C67" t="inlineStr">
        <is>
          <t>Galeras</t>
        </is>
      </c>
      <c r="D67" t="inlineStr">
        <is>
          <t>GAL_22</t>
        </is>
      </c>
      <c r="E67" t="n">
        <v>534</v>
      </c>
      <c r="F67" t="inlineStr">
        <is>
          <t>Proteaceae</t>
        </is>
      </c>
      <c r="G67" t="inlineStr">
        <is>
          <t>Euplassa</t>
        </is>
      </c>
      <c r="H67" t="inlineStr">
        <is>
          <t>occidentalis</t>
        </is>
      </c>
      <c r="I67" s="2" t="n">
        <v>38823</v>
      </c>
      <c r="J67" t="inlineStr">
        <is>
          <t>2042, 3779</t>
        </is>
      </c>
      <c r="K67" t="inlineStr"/>
      <c r="L67" t="inlineStr"/>
      <c r="M67" t="inlineStr"/>
      <c r="N67" t="inlineStr"/>
    </row>
    <row r="68">
      <c r="A68" s="1" t="n">
        <v>66</v>
      </c>
      <c r="B68" t="n">
        <v>22</v>
      </c>
      <c r="C68" t="inlineStr">
        <is>
          <t>Galeras</t>
        </is>
      </c>
      <c r="D68" t="inlineStr">
        <is>
          <t>GAL_22</t>
        </is>
      </c>
      <c r="E68" t="n">
        <v>535</v>
      </c>
      <c r="F68" t="inlineStr">
        <is>
          <t>Myristicaceae</t>
        </is>
      </c>
      <c r="G68" t="inlineStr">
        <is>
          <t>Virola</t>
        </is>
      </c>
      <c r="H68" t="inlineStr">
        <is>
          <t>calophylla</t>
        </is>
      </c>
      <c r="I68" s="2" t="n">
        <v>38823</v>
      </c>
      <c r="J68" t="n">
        <v>2045</v>
      </c>
      <c r="K68" t="n">
        <v>1</v>
      </c>
      <c r="L68" t="inlineStr">
        <is>
          <t>Ο</t>
        </is>
      </c>
      <c r="M68" t="inlineStr">
        <is>
          <t>Ø</t>
        </is>
      </c>
      <c r="N68" t="n">
        <v>8955</v>
      </c>
    </row>
    <row r="69">
      <c r="A69" s="1" t="n">
        <v>67</v>
      </c>
      <c r="B69" t="n">
        <v>22</v>
      </c>
      <c r="C69" t="inlineStr">
        <is>
          <t>Galeras</t>
        </is>
      </c>
      <c r="D69" t="inlineStr">
        <is>
          <t>GAL_22</t>
        </is>
      </c>
      <c r="E69" t="n">
        <v>536</v>
      </c>
      <c r="F69" t="inlineStr">
        <is>
          <t>Arecaceae</t>
        </is>
      </c>
      <c r="G69" t="inlineStr">
        <is>
          <t>Iriartea</t>
        </is>
      </c>
      <c r="H69" t="inlineStr">
        <is>
          <t>deltoidea</t>
        </is>
      </c>
      <c r="I69" s="2" t="n">
        <v>38823</v>
      </c>
      <c r="J69" t="inlineStr"/>
      <c r="K69" t="inlineStr"/>
      <c r="L69" t="inlineStr"/>
      <c r="M69" t="inlineStr"/>
      <c r="N69" t="n">
        <v>8954</v>
      </c>
    </row>
    <row r="70">
      <c r="A70" s="1" t="n">
        <v>68</v>
      </c>
      <c r="B70" t="n">
        <v>22</v>
      </c>
      <c r="C70" t="inlineStr">
        <is>
          <t>Galeras</t>
        </is>
      </c>
      <c r="D70" t="inlineStr">
        <is>
          <t>GAL_22</t>
        </is>
      </c>
      <c r="E70" t="n">
        <v>537</v>
      </c>
      <c r="F70" t="inlineStr">
        <is>
          <t>Lauraceae</t>
        </is>
      </c>
      <c r="G70" t="inlineStr">
        <is>
          <t>Ocotea</t>
        </is>
      </c>
      <c r="H70" t="inlineStr">
        <is>
          <t>oblonga</t>
        </is>
      </c>
      <c r="I70" s="2" t="n">
        <v>38823</v>
      </c>
      <c r="J70" t="n">
        <v>2047</v>
      </c>
      <c r="K70" t="n">
        <v>1</v>
      </c>
      <c r="L70" t="inlineStr">
        <is>
          <t>Ο</t>
        </is>
      </c>
      <c r="M70" t="inlineStr">
        <is>
          <t>Ø</t>
        </is>
      </c>
      <c r="N70" t="n">
        <v>8957</v>
      </c>
    </row>
    <row r="71">
      <c r="A71" s="1" t="n">
        <v>69</v>
      </c>
      <c r="B71" t="n">
        <v>22</v>
      </c>
      <c r="C71" t="inlineStr">
        <is>
          <t>Galeras</t>
        </is>
      </c>
      <c r="D71" t="inlineStr">
        <is>
          <t>GAL_22</t>
        </is>
      </c>
      <c r="E71" t="n">
        <v>538</v>
      </c>
      <c r="F71" t="inlineStr">
        <is>
          <t>Sapindaceae</t>
        </is>
      </c>
      <c r="G71" t="inlineStr">
        <is>
          <t>Allophylus</t>
        </is>
      </c>
      <c r="H71" t="inlineStr">
        <is>
          <t>sp Galeras</t>
        </is>
      </c>
      <c r="I71" s="2" t="n">
        <v>38823</v>
      </c>
      <c r="J71" t="inlineStr"/>
      <c r="K71" t="n">
        <v>1</v>
      </c>
      <c r="L71" t="inlineStr"/>
      <c r="M71" t="inlineStr"/>
      <c r="N71" t="inlineStr"/>
    </row>
    <row r="72">
      <c r="A72" s="1" t="n">
        <v>70</v>
      </c>
      <c r="B72" t="n">
        <v>22</v>
      </c>
      <c r="C72" t="inlineStr">
        <is>
          <t>Galeras</t>
        </is>
      </c>
      <c r="D72" t="inlineStr">
        <is>
          <t>GAL_22</t>
        </is>
      </c>
      <c r="E72" t="n">
        <v>539</v>
      </c>
      <c r="F72" t="inlineStr">
        <is>
          <t>Phyllanthaceae</t>
        </is>
      </c>
      <c r="G72" t="inlineStr">
        <is>
          <t>Hieronyma</t>
        </is>
      </c>
      <c r="H72" t="inlineStr">
        <is>
          <t>oblonga</t>
        </is>
      </c>
      <c r="I72" s="2" t="n">
        <v>38823</v>
      </c>
      <c r="J72" t="n">
        <v>3780</v>
      </c>
      <c r="K72" t="inlineStr"/>
      <c r="L72" t="inlineStr"/>
      <c r="M72" t="inlineStr"/>
      <c r="N72" t="n">
        <v>8971</v>
      </c>
    </row>
    <row r="73">
      <c r="A73" s="1" t="n">
        <v>71</v>
      </c>
      <c r="B73" t="n">
        <v>22</v>
      </c>
      <c r="C73" t="inlineStr">
        <is>
          <t>Galeras</t>
        </is>
      </c>
      <c r="D73" t="inlineStr">
        <is>
          <t>GAL_22</t>
        </is>
      </c>
      <c r="E73" t="n">
        <v>540</v>
      </c>
      <c r="F73" t="inlineStr">
        <is>
          <t>Arecaceae</t>
        </is>
      </c>
      <c r="G73" t="inlineStr">
        <is>
          <t>Iriartea</t>
        </is>
      </c>
      <c r="H73" t="inlineStr">
        <is>
          <t>deltoidea</t>
        </is>
      </c>
      <c r="I73" s="2" t="n">
        <v>38823</v>
      </c>
      <c r="J73" t="inlineStr"/>
      <c r="K73" t="inlineStr"/>
      <c r="L73" t="inlineStr"/>
      <c r="M73" t="inlineStr"/>
      <c r="N73" t="n">
        <v>8960</v>
      </c>
    </row>
    <row r="74">
      <c r="A74" s="1" t="n">
        <v>72</v>
      </c>
      <c r="B74" t="n">
        <v>22</v>
      </c>
      <c r="C74" t="inlineStr">
        <is>
          <t>Galeras</t>
        </is>
      </c>
      <c r="D74" t="inlineStr">
        <is>
          <t>GAL_22</t>
        </is>
      </c>
      <c r="E74" t="n">
        <v>541</v>
      </c>
      <c r="F74" t="inlineStr">
        <is>
          <t>Meliaceae</t>
        </is>
      </c>
      <c r="G74" t="inlineStr">
        <is>
          <t>Guarea</t>
        </is>
      </c>
      <c r="H74" t="inlineStr">
        <is>
          <t>silvatica</t>
        </is>
      </c>
      <c r="I74" s="2" t="n">
        <v>38823</v>
      </c>
      <c r="J74" t="n">
        <v>2053</v>
      </c>
      <c r="K74" t="n">
        <v>1</v>
      </c>
      <c r="L74" t="inlineStr"/>
      <c r="M74" t="inlineStr"/>
      <c r="N74" t="inlineStr"/>
    </row>
    <row r="75">
      <c r="A75" s="1" t="n">
        <v>73</v>
      </c>
      <c r="B75" t="n">
        <v>22</v>
      </c>
      <c r="C75" t="inlineStr">
        <is>
          <t>Galeras</t>
        </is>
      </c>
      <c r="D75" t="inlineStr">
        <is>
          <t>GAL_22</t>
        </is>
      </c>
      <c r="E75" t="n">
        <v>542</v>
      </c>
      <c r="F75" t="inlineStr">
        <is>
          <t>Meliaceae</t>
        </is>
      </c>
      <c r="G75" t="inlineStr">
        <is>
          <t>Trichilia</t>
        </is>
      </c>
      <c r="H75" t="inlineStr">
        <is>
          <t>poeppigii</t>
        </is>
      </c>
      <c r="I75" s="2" t="n">
        <v>38823</v>
      </c>
      <c r="J75" t="n">
        <v>3781</v>
      </c>
      <c r="K75" t="inlineStr"/>
      <c r="L75" t="inlineStr"/>
      <c r="M75" t="inlineStr"/>
      <c r="N75" t="inlineStr"/>
    </row>
    <row r="76">
      <c r="A76" s="1" t="n">
        <v>74</v>
      </c>
      <c r="B76" t="n">
        <v>22</v>
      </c>
      <c r="C76" t="inlineStr">
        <is>
          <t>Galeras</t>
        </is>
      </c>
      <c r="D76" t="inlineStr">
        <is>
          <t>GAL_22</t>
        </is>
      </c>
      <c r="E76" t="n">
        <v>543</v>
      </c>
      <c r="F76" t="inlineStr">
        <is>
          <t>Fabaceae</t>
        </is>
      </c>
      <c r="G76" t="inlineStr">
        <is>
          <t>Abarema</t>
        </is>
      </c>
      <c r="H76" t="inlineStr">
        <is>
          <t>jupunba</t>
        </is>
      </c>
      <c r="I76" s="2" t="n">
        <v>38823</v>
      </c>
      <c r="J76" t="n">
        <v>2037</v>
      </c>
      <c r="K76" t="n">
        <v>1</v>
      </c>
      <c r="L76" t="inlineStr">
        <is>
          <t>Ο</t>
        </is>
      </c>
      <c r="M76" t="inlineStr">
        <is>
          <t>Ø</t>
        </is>
      </c>
      <c r="N76" t="n">
        <v>8962</v>
      </c>
    </row>
    <row r="77">
      <c r="A77" s="1" t="n">
        <v>75</v>
      </c>
      <c r="B77" t="n">
        <v>22</v>
      </c>
      <c r="C77" t="inlineStr">
        <is>
          <t>Galeras</t>
        </is>
      </c>
      <c r="D77" t="inlineStr">
        <is>
          <t>GAL_22</t>
        </is>
      </c>
      <c r="E77" t="n">
        <v>544</v>
      </c>
      <c r="F77" t="inlineStr">
        <is>
          <t>Euphorbiaceae</t>
        </is>
      </c>
      <c r="G77" t="inlineStr">
        <is>
          <t>Margaritaria</t>
        </is>
      </c>
      <c r="H77" t="inlineStr">
        <is>
          <t>nobilis</t>
        </is>
      </c>
      <c r="I77" s="2" t="n">
        <v>38823</v>
      </c>
      <c r="J77" t="n">
        <v>2046</v>
      </c>
      <c r="K77" t="inlineStr"/>
      <c r="L77" t="inlineStr"/>
      <c r="M77" t="inlineStr"/>
      <c r="N77" t="inlineStr"/>
    </row>
    <row r="78">
      <c r="A78" s="1" t="n">
        <v>76</v>
      </c>
      <c r="B78" t="n">
        <v>22</v>
      </c>
      <c r="C78" t="inlineStr">
        <is>
          <t>Galeras</t>
        </is>
      </c>
      <c r="D78" t="inlineStr">
        <is>
          <t>GAL_22</t>
        </is>
      </c>
      <c r="E78" t="n">
        <v>545</v>
      </c>
      <c r="F78" t="inlineStr">
        <is>
          <t>Melastomataceae</t>
        </is>
      </c>
      <c r="G78" t="inlineStr"/>
      <c r="H78" t="inlineStr"/>
      <c r="I78" s="2" t="n">
        <v>38823</v>
      </c>
      <c r="J78" t="inlineStr"/>
      <c r="K78" t="inlineStr"/>
      <c r="L78" t="inlineStr"/>
      <c r="M78" t="inlineStr"/>
      <c r="N78" t="inlineStr"/>
    </row>
    <row r="79">
      <c r="A79" s="1" t="n">
        <v>77</v>
      </c>
      <c r="B79" t="n">
        <v>22</v>
      </c>
      <c r="C79" t="inlineStr">
        <is>
          <t>Galeras</t>
        </is>
      </c>
      <c r="D79" t="inlineStr">
        <is>
          <t>GAL_22</t>
        </is>
      </c>
      <c r="E79" t="n">
        <v>546</v>
      </c>
      <c r="F79" t="inlineStr">
        <is>
          <t>Violaceae</t>
        </is>
      </c>
      <c r="G79" t="inlineStr">
        <is>
          <t>Gloeospermum</t>
        </is>
      </c>
      <c r="H79" t="inlineStr">
        <is>
          <t>equatoriense</t>
        </is>
      </c>
      <c r="I79" s="2" t="n">
        <v>38823</v>
      </c>
      <c r="J79" t="n">
        <v>2049</v>
      </c>
      <c r="K79" t="n">
        <v>1</v>
      </c>
      <c r="L79" t="inlineStr"/>
      <c r="M79" t="inlineStr"/>
      <c r="N79" t="inlineStr"/>
    </row>
    <row r="80">
      <c r="A80" s="1" t="n">
        <v>78</v>
      </c>
      <c r="B80" t="n">
        <v>22</v>
      </c>
      <c r="C80" t="inlineStr">
        <is>
          <t>Galeras</t>
        </is>
      </c>
      <c r="D80" t="inlineStr">
        <is>
          <t>GAL_22</t>
        </is>
      </c>
      <c r="E80" t="n">
        <v>547</v>
      </c>
      <c r="F80" t="inlineStr">
        <is>
          <t>Myristicaceae</t>
        </is>
      </c>
      <c r="G80" t="inlineStr">
        <is>
          <t>Virola</t>
        </is>
      </c>
      <c r="H80" t="inlineStr">
        <is>
          <t>pavonis</t>
        </is>
      </c>
      <c r="I80" s="2" t="n">
        <v>38823</v>
      </c>
      <c r="J80" t="n">
        <v>3782</v>
      </c>
      <c r="K80" t="inlineStr"/>
      <c r="L80" t="inlineStr">
        <is>
          <t>Ο</t>
        </is>
      </c>
      <c r="M80" t="inlineStr">
        <is>
          <t>Ø</t>
        </is>
      </c>
      <c r="N80" t="n">
        <v>8968</v>
      </c>
    </row>
    <row r="81">
      <c r="A81" s="1" t="n">
        <v>79</v>
      </c>
      <c r="B81" t="n">
        <v>22</v>
      </c>
      <c r="C81" t="inlineStr">
        <is>
          <t>Galeras</t>
        </is>
      </c>
      <c r="D81" t="inlineStr">
        <is>
          <t>GAL_22</t>
        </is>
      </c>
      <c r="E81" t="n">
        <v>548</v>
      </c>
      <c r="F81" t="inlineStr">
        <is>
          <t>Sapotaceae</t>
        </is>
      </c>
      <c r="G81" t="inlineStr">
        <is>
          <t>Chrysophyllum</t>
        </is>
      </c>
      <c r="H81" t="inlineStr">
        <is>
          <t>venezuelanense</t>
        </is>
      </c>
      <c r="I81" s="2" t="n">
        <v>38823</v>
      </c>
      <c r="J81" t="inlineStr">
        <is>
          <t>same as 3745</t>
        </is>
      </c>
      <c r="K81" t="n">
        <v>1</v>
      </c>
      <c r="L81" t="inlineStr"/>
      <c r="M81" t="inlineStr"/>
      <c r="N81" t="inlineStr"/>
    </row>
    <row r="82">
      <c r="A82" s="1" t="n">
        <v>80</v>
      </c>
      <c r="B82" t="n">
        <v>22</v>
      </c>
      <c r="C82" t="inlineStr">
        <is>
          <t>Galeras</t>
        </is>
      </c>
      <c r="D82" t="inlineStr">
        <is>
          <t>GAL_22</t>
        </is>
      </c>
      <c r="E82" t="n">
        <v>549</v>
      </c>
      <c r="F82" t="inlineStr">
        <is>
          <t>Arecaceae</t>
        </is>
      </c>
      <c r="G82" t="inlineStr">
        <is>
          <t>Iriartea</t>
        </is>
      </c>
      <c r="H82" t="inlineStr">
        <is>
          <t>deltoidea</t>
        </is>
      </c>
      <c r="I82" s="2" t="n">
        <v>38823</v>
      </c>
      <c r="J82" t="inlineStr"/>
      <c r="K82" t="inlineStr"/>
      <c r="L82" t="inlineStr"/>
      <c r="M82" t="inlineStr"/>
      <c r="N82" t="n">
        <v>8969</v>
      </c>
    </row>
    <row r="83">
      <c r="A83" s="1" t="n">
        <v>81</v>
      </c>
      <c r="B83" t="n">
        <v>22</v>
      </c>
      <c r="C83" t="inlineStr">
        <is>
          <t>Galeras</t>
        </is>
      </c>
      <c r="D83" t="inlineStr">
        <is>
          <t>GAL_22</t>
        </is>
      </c>
      <c r="E83" t="n">
        <v>550</v>
      </c>
      <c r="F83" t="inlineStr">
        <is>
          <t>Melastomataceae</t>
        </is>
      </c>
      <c r="G83" t="inlineStr"/>
      <c r="H83" t="inlineStr"/>
      <c r="I83" s="2" t="n">
        <v>38823</v>
      </c>
      <c r="J83" t="inlineStr"/>
      <c r="K83" t="n">
        <v>1</v>
      </c>
      <c r="L83" t="inlineStr"/>
      <c r="M83" t="inlineStr"/>
      <c r="N83" t="inlineStr"/>
    </row>
    <row r="84">
      <c r="A84" s="1" t="n">
        <v>82</v>
      </c>
      <c r="B84" t="n">
        <v>22</v>
      </c>
      <c r="C84" t="inlineStr">
        <is>
          <t>Galeras</t>
        </is>
      </c>
      <c r="D84" t="inlineStr">
        <is>
          <t>GAL_22</t>
        </is>
      </c>
      <c r="E84" t="n">
        <v>551</v>
      </c>
      <c r="F84" t="inlineStr">
        <is>
          <t>Arecaceae</t>
        </is>
      </c>
      <c r="G84" t="inlineStr">
        <is>
          <t>Iriartea</t>
        </is>
      </c>
      <c r="H84" t="inlineStr">
        <is>
          <t>deltoidea</t>
        </is>
      </c>
      <c r="I84" s="2" t="n">
        <v>38823</v>
      </c>
      <c r="J84" t="inlineStr"/>
      <c r="K84" t="inlineStr"/>
      <c r="L84" t="inlineStr"/>
      <c r="M84" t="inlineStr"/>
      <c r="N84" t="n">
        <v>8970</v>
      </c>
    </row>
    <row r="85">
      <c r="A85" s="1" t="n">
        <v>83</v>
      </c>
      <c r="B85" t="n">
        <v>22</v>
      </c>
      <c r="C85" t="inlineStr">
        <is>
          <t>Galeras</t>
        </is>
      </c>
      <c r="D85" t="inlineStr">
        <is>
          <t>GAL_22</t>
        </is>
      </c>
      <c r="E85" t="inlineStr">
        <is>
          <t>x</t>
        </is>
      </c>
      <c r="F85" t="inlineStr">
        <is>
          <t>indet</t>
        </is>
      </c>
      <c r="G85" t="inlineStr"/>
      <c r="H85" t="inlineStr"/>
      <c r="I85" s="2" t="n">
        <v>38823</v>
      </c>
      <c r="J85" t="inlineStr"/>
      <c r="K85" t="inlineStr"/>
      <c r="L85" t="inlineStr"/>
      <c r="M85" t="inlineStr"/>
      <c r="N85" t="inlineStr"/>
    </row>
    <row r="86">
      <c r="A86" s="1" t="n">
        <v>84</v>
      </c>
      <c r="B86" t="n">
        <v>22</v>
      </c>
      <c r="C86" t="inlineStr">
        <is>
          <t>Galeras</t>
        </is>
      </c>
      <c r="D86" t="inlineStr">
        <is>
          <t>GAL_22</t>
        </is>
      </c>
      <c r="E86" t="inlineStr">
        <is>
          <t>y</t>
        </is>
      </c>
      <c r="F86" t="inlineStr">
        <is>
          <t>Myristicaceae</t>
        </is>
      </c>
      <c r="G86" t="inlineStr"/>
      <c r="H86" t="inlineStr"/>
      <c r="I86" s="2" t="n">
        <v>38823</v>
      </c>
      <c r="J86" t="n">
        <v>4795</v>
      </c>
      <c r="K86" t="inlineStr"/>
      <c r="L86" t="inlineStr"/>
      <c r="M86" t="inlineStr"/>
      <c r="N86" t="inlineStr"/>
    </row>
    <row r="87">
      <c r="A87" s="1" t="n">
        <v>85</v>
      </c>
      <c r="B87" t="n">
        <v>22</v>
      </c>
      <c r="C87" t="inlineStr">
        <is>
          <t>Galeras</t>
        </is>
      </c>
      <c r="D87" t="inlineStr">
        <is>
          <t>GAL_22</t>
        </is>
      </c>
      <c r="E87" t="inlineStr"/>
      <c r="F87" t="inlineStr">
        <is>
          <t>indet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n">
        <v>8947</v>
      </c>
    </row>
    <row r="88">
      <c r="A88" s="1" t="n">
        <v>86</v>
      </c>
      <c r="B88" t="n">
        <v>22</v>
      </c>
      <c r="C88" t="inlineStr">
        <is>
          <t>Galeras</t>
        </is>
      </c>
      <c r="D88" t="inlineStr">
        <is>
          <t>GAL_22</t>
        </is>
      </c>
      <c r="E88" t="inlineStr"/>
      <c r="F88" t="inlineStr">
        <is>
          <t>Arecaceae</t>
        </is>
      </c>
      <c r="G88" t="inlineStr">
        <is>
          <t>Iriartea</t>
        </is>
      </c>
      <c r="H88" t="inlineStr">
        <is>
          <t>deltoidea</t>
        </is>
      </c>
      <c r="I88" t="inlineStr"/>
      <c r="J88" t="inlineStr"/>
      <c r="K88" t="inlineStr"/>
      <c r="L88" t="inlineStr"/>
      <c r="M88" t="inlineStr"/>
      <c r="N88" t="n">
        <v>8952</v>
      </c>
    </row>
    <row r="89">
      <c r="A89" s="1" t="n">
        <v>87</v>
      </c>
      <c r="B89" t="n">
        <v>22</v>
      </c>
      <c r="C89" t="inlineStr">
        <is>
          <t>Galeras</t>
        </is>
      </c>
      <c r="D89" t="inlineStr">
        <is>
          <t>GAL_22</t>
        </is>
      </c>
      <c r="E89" t="inlineStr"/>
      <c r="F89" t="inlineStr">
        <is>
          <t>Arecaceae</t>
        </is>
      </c>
      <c r="G89" t="inlineStr">
        <is>
          <t>Wettinia</t>
        </is>
      </c>
      <c r="H89" t="inlineStr">
        <is>
          <t>cf mayensis</t>
        </is>
      </c>
      <c r="I89" t="inlineStr"/>
      <c r="J89" t="inlineStr"/>
      <c r="K89" t="inlineStr"/>
      <c r="L89" t="inlineStr"/>
      <c r="M89" t="inlineStr"/>
      <c r="N89" t="n">
        <v>8956</v>
      </c>
    </row>
    <row r="90">
      <c r="A90" s="1" t="n">
        <v>88</v>
      </c>
      <c r="B90" t="n">
        <v>22</v>
      </c>
      <c r="C90" t="inlineStr">
        <is>
          <t>Galeras</t>
        </is>
      </c>
      <c r="D90" t="inlineStr">
        <is>
          <t>GAL_22</t>
        </is>
      </c>
      <c r="E90" t="inlineStr"/>
      <c r="F90" t="inlineStr">
        <is>
          <t>Myristicaceae</t>
        </is>
      </c>
      <c r="G90" t="inlineStr">
        <is>
          <t>cf Virola</t>
        </is>
      </c>
      <c r="H90" t="inlineStr"/>
      <c r="I90" t="inlineStr"/>
      <c r="J90" t="inlineStr"/>
      <c r="K90" t="inlineStr"/>
      <c r="L90" t="inlineStr"/>
      <c r="M90" t="inlineStr"/>
      <c r="N90" t="n">
        <v>8958</v>
      </c>
    </row>
    <row r="91">
      <c r="A91" s="1" t="n">
        <v>89</v>
      </c>
      <c r="B91" t="n">
        <v>22</v>
      </c>
      <c r="C91" t="inlineStr">
        <is>
          <t>Galeras</t>
        </is>
      </c>
      <c r="D91" t="inlineStr">
        <is>
          <t>GAL_22</t>
        </is>
      </c>
      <c r="E91" t="inlineStr"/>
      <c r="F91" t="inlineStr">
        <is>
          <t>Arecaceae</t>
        </is>
      </c>
      <c r="G91" t="inlineStr">
        <is>
          <t>Iriartea</t>
        </is>
      </c>
      <c r="H91" t="inlineStr">
        <is>
          <t>deltoidea</t>
        </is>
      </c>
      <c r="I91" t="inlineStr"/>
      <c r="J91" t="inlineStr"/>
      <c r="K91" t="inlineStr"/>
      <c r="L91" t="inlineStr"/>
      <c r="M91" t="inlineStr"/>
      <c r="N91" t="n">
        <v>8959</v>
      </c>
    </row>
    <row r="92">
      <c r="A92" s="1" t="n">
        <v>90</v>
      </c>
      <c r="B92" t="n">
        <v>22</v>
      </c>
      <c r="C92" t="inlineStr">
        <is>
          <t>Galeras</t>
        </is>
      </c>
      <c r="D92" t="inlineStr">
        <is>
          <t>GAL_22</t>
        </is>
      </c>
      <c r="E92" t="inlineStr"/>
      <c r="F92" t="inlineStr">
        <is>
          <t>indet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n">
        <v>8963</v>
      </c>
    </row>
    <row r="93">
      <c r="A93" s="1" t="n">
        <v>91</v>
      </c>
      <c r="B93" t="n">
        <v>22</v>
      </c>
      <c r="C93" t="inlineStr">
        <is>
          <t>Galeras</t>
        </is>
      </c>
      <c r="D93" t="inlineStr">
        <is>
          <t>GAL_22</t>
        </is>
      </c>
      <c r="E93" t="inlineStr"/>
      <c r="F93" t="inlineStr">
        <is>
          <t>Meliaceae</t>
        </is>
      </c>
      <c r="G93" t="inlineStr">
        <is>
          <t>Trichilia</t>
        </is>
      </c>
      <c r="H93" t="inlineStr">
        <is>
          <t>pleeana</t>
        </is>
      </c>
      <c r="I93" t="inlineStr"/>
      <c r="J93" t="inlineStr"/>
      <c r="K93" t="inlineStr"/>
      <c r="L93" t="inlineStr"/>
      <c r="M93" t="inlineStr"/>
      <c r="N93" t="n">
        <v>8964</v>
      </c>
    </row>
    <row r="94">
      <c r="A94" s="1" t="n">
        <v>92</v>
      </c>
      <c r="B94" t="n">
        <v>22</v>
      </c>
      <c r="C94" t="inlineStr">
        <is>
          <t>Galeras</t>
        </is>
      </c>
      <c r="D94" t="inlineStr">
        <is>
          <t>GAL_22</t>
        </is>
      </c>
      <c r="E94" t="inlineStr"/>
      <c r="F94" t="inlineStr">
        <is>
          <t>Melastomataceae</t>
        </is>
      </c>
      <c r="G94" t="inlineStr"/>
      <c r="H94" t="inlineStr"/>
      <c r="I94" t="inlineStr"/>
      <c r="J94" t="inlineStr"/>
      <c r="K94" t="inlineStr"/>
      <c r="L94" t="inlineStr">
        <is>
          <t>Ο</t>
        </is>
      </c>
      <c r="M94" t="inlineStr">
        <is>
          <t>Ø</t>
        </is>
      </c>
      <c r="N94" t="n">
        <v>8965</v>
      </c>
    </row>
    <row r="95">
      <c r="A95" s="1" t="n">
        <v>93</v>
      </c>
      <c r="B95" t="n">
        <v>22</v>
      </c>
      <c r="C95" t="inlineStr">
        <is>
          <t>Galeras</t>
        </is>
      </c>
      <c r="D95" t="inlineStr">
        <is>
          <t>GAL_22</t>
        </is>
      </c>
      <c r="E95" t="inlineStr"/>
      <c r="F95" t="inlineStr">
        <is>
          <t>Myristicaceae</t>
        </is>
      </c>
      <c r="G95" t="inlineStr"/>
      <c r="H95" t="inlineStr"/>
      <c r="I95" t="inlineStr"/>
      <c r="J95" t="inlineStr"/>
      <c r="K95" t="inlineStr"/>
      <c r="L95" t="inlineStr">
        <is>
          <t>Ο</t>
        </is>
      </c>
      <c r="M95" t="inlineStr">
        <is>
          <t>Ø</t>
        </is>
      </c>
      <c r="N95" t="n">
        <v>8966</v>
      </c>
    </row>
    <row r="96">
      <c r="A96" s="1" t="n">
        <v>94</v>
      </c>
      <c r="B96" t="n">
        <v>22</v>
      </c>
      <c r="C96" t="inlineStr">
        <is>
          <t>Galeras</t>
        </is>
      </c>
      <c r="D96" t="inlineStr">
        <is>
          <t>GAL_22</t>
        </is>
      </c>
      <c r="E96" t="inlineStr"/>
      <c r="F96" t="inlineStr">
        <is>
          <t>Myristicaceae</t>
        </is>
      </c>
      <c r="G96" t="inlineStr">
        <is>
          <t>Compsoneura</t>
        </is>
      </c>
      <c r="H96" t="inlineStr">
        <is>
          <t>capitellata</t>
        </is>
      </c>
      <c r="I96" t="inlineStr"/>
      <c r="J96" t="inlineStr"/>
      <c r="K96" t="inlineStr"/>
      <c r="L96" t="inlineStr">
        <is>
          <t>Ο</t>
        </is>
      </c>
      <c r="M96" t="inlineStr">
        <is>
          <t>Ø</t>
        </is>
      </c>
      <c r="N96" t="n">
        <v>8967</v>
      </c>
    </row>
    <row r="97">
      <c r="A97" s="1" t="n">
        <v>95</v>
      </c>
      <c r="B97" t="n">
        <v>23</v>
      </c>
      <c r="C97" t="inlineStr">
        <is>
          <t>Galeras</t>
        </is>
      </c>
      <c r="D97" t="inlineStr">
        <is>
          <t>GAL_23</t>
        </is>
      </c>
      <c r="E97" t="n">
        <v>552</v>
      </c>
      <c r="F97" t="inlineStr">
        <is>
          <t>Fabaceae</t>
        </is>
      </c>
      <c r="G97" t="inlineStr">
        <is>
          <t>Parkia</t>
        </is>
      </c>
      <c r="H97" t="inlineStr">
        <is>
          <t>velutina</t>
        </is>
      </c>
      <c r="I97" s="2" t="n">
        <v>38653</v>
      </c>
      <c r="J97">
        <f>3684</f>
        <v/>
      </c>
      <c r="K97" t="inlineStr"/>
      <c r="L97" t="inlineStr"/>
      <c r="M97" t="inlineStr"/>
      <c r="N97" t="n">
        <v>8987</v>
      </c>
    </row>
    <row r="98">
      <c r="A98" s="1" t="n">
        <v>96</v>
      </c>
      <c r="B98" t="n">
        <v>23</v>
      </c>
      <c r="C98" t="inlineStr">
        <is>
          <t>Galeras</t>
        </is>
      </c>
      <c r="D98" t="inlineStr">
        <is>
          <t>GAL_23</t>
        </is>
      </c>
      <c r="E98" t="n">
        <v>553</v>
      </c>
      <c r="F98" t="inlineStr">
        <is>
          <t>Fabaceae</t>
        </is>
      </c>
      <c r="G98" t="inlineStr">
        <is>
          <t>Inga</t>
        </is>
      </c>
      <c r="H98" t="inlineStr">
        <is>
          <t>marginata</t>
        </is>
      </c>
      <c r="I98" s="2" t="n">
        <v>38653</v>
      </c>
      <c r="J98" t="inlineStr">
        <is>
          <t>3736</t>
        </is>
      </c>
      <c r="K98" t="inlineStr"/>
      <c r="L98" t="inlineStr">
        <is>
          <t>Ο</t>
        </is>
      </c>
      <c r="M98" t="inlineStr">
        <is>
          <t>Ø</t>
        </is>
      </c>
      <c r="N98" t="n">
        <v>8986</v>
      </c>
    </row>
    <row r="99">
      <c r="A99" s="1" t="n">
        <v>97</v>
      </c>
      <c r="B99" t="n">
        <v>23</v>
      </c>
      <c r="C99" t="inlineStr">
        <is>
          <t>Galeras</t>
        </is>
      </c>
      <c r="D99" t="inlineStr">
        <is>
          <t>GAL_23</t>
        </is>
      </c>
      <c r="E99" t="n">
        <v>554</v>
      </c>
      <c r="F99" t="inlineStr">
        <is>
          <t>Celastraceae</t>
        </is>
      </c>
      <c r="G99" t="inlineStr">
        <is>
          <t>Maytenus</t>
        </is>
      </c>
      <c r="H99" t="inlineStr"/>
      <c r="I99" s="2" t="n">
        <v>38653</v>
      </c>
      <c r="J99" t="inlineStr">
        <is>
          <t>2025</t>
        </is>
      </c>
      <c r="K99" t="inlineStr"/>
      <c r="L99" t="inlineStr"/>
      <c r="M99" t="inlineStr"/>
      <c r="N99" t="inlineStr"/>
    </row>
    <row r="100">
      <c r="A100" s="1" t="n">
        <v>98</v>
      </c>
      <c r="B100" t="n">
        <v>23</v>
      </c>
      <c r="C100" t="inlineStr">
        <is>
          <t>Galeras</t>
        </is>
      </c>
      <c r="D100" t="inlineStr">
        <is>
          <t>GAL_23</t>
        </is>
      </c>
      <c r="E100" t="n">
        <v>555</v>
      </c>
      <c r="F100" t="inlineStr">
        <is>
          <t>Hippocrateaceae</t>
        </is>
      </c>
      <c r="G100" t="inlineStr">
        <is>
          <t>Tontelea</t>
        </is>
      </c>
      <c r="H100" t="inlineStr">
        <is>
          <t>emarginata</t>
        </is>
      </c>
      <c r="I100" s="2" t="n">
        <v>38653</v>
      </c>
      <c r="J100" t="inlineStr">
        <is>
          <t>2023</t>
        </is>
      </c>
      <c r="K100" t="inlineStr"/>
      <c r="L100" t="inlineStr"/>
      <c r="M100" t="inlineStr"/>
      <c r="N100" t="inlineStr"/>
    </row>
    <row r="101">
      <c r="A101" s="1" t="n">
        <v>99</v>
      </c>
      <c r="B101" t="n">
        <v>23</v>
      </c>
      <c r="C101" t="inlineStr">
        <is>
          <t>Galeras</t>
        </is>
      </c>
      <c r="D101" t="inlineStr">
        <is>
          <t>GAL_23</t>
        </is>
      </c>
      <c r="E101" t="n">
        <v>556</v>
      </c>
      <c r="F101" t="inlineStr">
        <is>
          <t>Lauraceae</t>
        </is>
      </c>
      <c r="G101" t="inlineStr">
        <is>
          <t>Pleurothyrium</t>
        </is>
      </c>
      <c r="H101" t="inlineStr">
        <is>
          <t>insigne</t>
        </is>
      </c>
      <c r="I101" s="2" t="n">
        <v>38653</v>
      </c>
      <c r="J101" t="inlineStr">
        <is>
          <t>2024</t>
        </is>
      </c>
      <c r="K101" t="n">
        <v>1</v>
      </c>
      <c r="L101" t="inlineStr"/>
      <c r="M101" t="inlineStr"/>
      <c r="N101" t="inlineStr"/>
    </row>
    <row r="102">
      <c r="A102" s="1" t="n">
        <v>100</v>
      </c>
      <c r="B102" t="n">
        <v>23</v>
      </c>
      <c r="C102" t="inlineStr">
        <is>
          <t>Galeras</t>
        </is>
      </c>
      <c r="D102" t="inlineStr">
        <is>
          <t>GAL_23</t>
        </is>
      </c>
      <c r="E102" t="n">
        <v>557</v>
      </c>
      <c r="F102" t="inlineStr">
        <is>
          <t>Quiinaceae</t>
        </is>
      </c>
      <c r="G102" t="inlineStr">
        <is>
          <t>Lacunaria</t>
        </is>
      </c>
      <c r="H102" t="inlineStr">
        <is>
          <t>crenata</t>
        </is>
      </c>
      <c r="I102" s="2" t="n">
        <v>38653</v>
      </c>
      <c r="J102" t="inlineStr">
        <is>
          <t>3737</t>
        </is>
      </c>
      <c r="K102" t="n">
        <v>1</v>
      </c>
      <c r="L102" t="inlineStr"/>
      <c r="M102" t="inlineStr"/>
      <c r="N102" t="inlineStr"/>
    </row>
    <row r="103">
      <c r="A103" s="1" t="n">
        <v>101</v>
      </c>
      <c r="B103" t="n">
        <v>23</v>
      </c>
      <c r="C103" t="inlineStr">
        <is>
          <t>Galeras</t>
        </is>
      </c>
      <c r="D103" t="inlineStr">
        <is>
          <t>GAL_23</t>
        </is>
      </c>
      <c r="E103" t="n">
        <v>558</v>
      </c>
      <c r="F103" t="inlineStr">
        <is>
          <t>Fabaceae</t>
        </is>
      </c>
      <c r="G103" t="inlineStr">
        <is>
          <t>Tachigali</t>
        </is>
      </c>
      <c r="H103" t="inlineStr"/>
      <c r="I103" s="2" t="n">
        <v>38653</v>
      </c>
      <c r="J103" t="inlineStr">
        <is>
          <t>3738</t>
        </is>
      </c>
      <c r="K103" t="inlineStr"/>
      <c r="L103" t="inlineStr">
        <is>
          <t>Ο</t>
        </is>
      </c>
      <c r="M103" t="inlineStr">
        <is>
          <t>Ø</t>
        </is>
      </c>
      <c r="N103" t="n">
        <v>8989</v>
      </c>
    </row>
    <row r="104">
      <c r="A104" s="1" t="n">
        <v>102</v>
      </c>
      <c r="B104" t="n">
        <v>23</v>
      </c>
      <c r="C104" t="inlineStr">
        <is>
          <t>Galeras</t>
        </is>
      </c>
      <c r="D104" t="inlineStr">
        <is>
          <t>GAL_23</t>
        </is>
      </c>
      <c r="E104" t="n">
        <v>559</v>
      </c>
      <c r="F104" t="inlineStr">
        <is>
          <t>Lecythidaceae</t>
        </is>
      </c>
      <c r="G104" t="inlineStr">
        <is>
          <t>Grias</t>
        </is>
      </c>
      <c r="H104" t="inlineStr">
        <is>
          <t>peruviana</t>
        </is>
      </c>
      <c r="I104" s="2" t="n">
        <v>38653</v>
      </c>
      <c r="J104" t="inlineStr">
        <is>
          <t>3739</t>
        </is>
      </c>
      <c r="K104" t="n">
        <v>1</v>
      </c>
      <c r="L104" t="inlineStr">
        <is>
          <t>Ο</t>
        </is>
      </c>
      <c r="M104" t="inlineStr">
        <is>
          <t>Ø</t>
        </is>
      </c>
      <c r="N104" t="n">
        <v>8983</v>
      </c>
    </row>
    <row r="105">
      <c r="A105" s="1" t="n">
        <v>103</v>
      </c>
      <c r="B105" t="n">
        <v>23</v>
      </c>
      <c r="C105" t="inlineStr">
        <is>
          <t>Galeras</t>
        </is>
      </c>
      <c r="D105" t="inlineStr">
        <is>
          <t>GAL_23</t>
        </is>
      </c>
      <c r="E105" t="n">
        <v>560</v>
      </c>
      <c r="F105" t="inlineStr">
        <is>
          <t>Sapotaceae</t>
        </is>
      </c>
      <c r="G105" t="inlineStr">
        <is>
          <t>Pouteria</t>
        </is>
      </c>
      <c r="H105" t="inlineStr">
        <is>
          <t>multiflora</t>
        </is>
      </c>
      <c r="I105" s="2" t="n">
        <v>38653</v>
      </c>
      <c r="J105" t="inlineStr">
        <is>
          <t>3740</t>
        </is>
      </c>
      <c r="K105" t="n">
        <v>1</v>
      </c>
      <c r="L105" t="inlineStr">
        <is>
          <t>Ο</t>
        </is>
      </c>
      <c r="M105" t="inlineStr">
        <is>
          <t>Ø</t>
        </is>
      </c>
      <c r="N105" t="n">
        <v>8982</v>
      </c>
    </row>
    <row r="106">
      <c r="A106" s="1" t="n">
        <v>104</v>
      </c>
      <c r="B106" t="n">
        <v>23</v>
      </c>
      <c r="C106" t="inlineStr">
        <is>
          <t>Galeras</t>
        </is>
      </c>
      <c r="D106" t="inlineStr">
        <is>
          <t>GAL_23</t>
        </is>
      </c>
      <c r="E106" t="n">
        <v>561</v>
      </c>
      <c r="F106" t="inlineStr">
        <is>
          <t>Rubiaceae</t>
        </is>
      </c>
      <c r="G106" t="inlineStr">
        <is>
          <t>Faramea</t>
        </is>
      </c>
      <c r="H106" t="inlineStr">
        <is>
          <t>phyllonomoides</t>
        </is>
      </c>
      <c r="I106" s="2" t="n">
        <v>38653</v>
      </c>
      <c r="J106" t="inlineStr">
        <is>
          <t>2022</t>
        </is>
      </c>
      <c r="K106" t="n">
        <v>1</v>
      </c>
      <c r="L106" t="inlineStr">
        <is>
          <t>Ο</t>
        </is>
      </c>
      <c r="M106" t="inlineStr">
        <is>
          <t>Ø</t>
        </is>
      </c>
      <c r="N106" t="n">
        <v>8976</v>
      </c>
    </row>
    <row r="107">
      <c r="A107" s="1" t="n">
        <v>105</v>
      </c>
      <c r="B107" t="n">
        <v>23</v>
      </c>
      <c r="C107" t="inlineStr">
        <is>
          <t>Galeras</t>
        </is>
      </c>
      <c r="D107" t="inlineStr">
        <is>
          <t>GAL_23</t>
        </is>
      </c>
      <c r="E107" t="n">
        <v>562</v>
      </c>
      <c r="F107" t="inlineStr">
        <is>
          <t>Urticaceae</t>
        </is>
      </c>
      <c r="G107" t="inlineStr">
        <is>
          <t>Pourouma</t>
        </is>
      </c>
      <c r="H107" t="inlineStr">
        <is>
          <t>cf bicolor</t>
        </is>
      </c>
      <c r="I107" s="2" t="n">
        <v>38653</v>
      </c>
      <c r="J107" t="inlineStr"/>
      <c r="K107" t="inlineStr"/>
      <c r="L107" t="inlineStr"/>
      <c r="M107" t="inlineStr"/>
      <c r="N107" t="n">
        <v>8979</v>
      </c>
    </row>
    <row r="108">
      <c r="A108" s="1" t="n">
        <v>106</v>
      </c>
      <c r="B108" t="n">
        <v>23</v>
      </c>
      <c r="C108" t="inlineStr">
        <is>
          <t>Galeras</t>
        </is>
      </c>
      <c r="D108" t="inlineStr">
        <is>
          <t>GAL_23</t>
        </is>
      </c>
      <c r="E108" t="n">
        <v>563</v>
      </c>
      <c r="F108" t="inlineStr">
        <is>
          <t>Fabaceae</t>
        </is>
      </c>
      <c r="G108" t="inlineStr">
        <is>
          <t>Inga</t>
        </is>
      </c>
      <c r="H108" t="inlineStr">
        <is>
          <t>capitata</t>
        </is>
      </c>
      <c r="I108" s="2" t="n">
        <v>38653</v>
      </c>
      <c r="J108" t="inlineStr">
        <is>
          <t>3744</t>
        </is>
      </c>
      <c r="K108" t="inlineStr"/>
      <c r="L108" t="inlineStr">
        <is>
          <t>Ο</t>
        </is>
      </c>
      <c r="M108" t="inlineStr">
        <is>
          <t>Ø</t>
        </is>
      </c>
      <c r="N108" t="n">
        <v>8975</v>
      </c>
    </row>
    <row r="109">
      <c r="A109" s="1" t="n">
        <v>107</v>
      </c>
      <c r="B109" t="n">
        <v>23</v>
      </c>
      <c r="C109" t="inlineStr">
        <is>
          <t>Galeras</t>
        </is>
      </c>
      <c r="D109" t="inlineStr">
        <is>
          <t>GAL_23</t>
        </is>
      </c>
      <c r="E109" t="n">
        <v>564</v>
      </c>
      <c r="F109" t="inlineStr">
        <is>
          <t>Sapotaceae</t>
        </is>
      </c>
      <c r="G109" t="inlineStr">
        <is>
          <t>Chrysophyllum</t>
        </is>
      </c>
      <c r="H109" t="inlineStr">
        <is>
          <t>venezuelanense</t>
        </is>
      </c>
      <c r="I109" s="2" t="n">
        <v>38653</v>
      </c>
      <c r="J109" t="inlineStr">
        <is>
          <t>3745</t>
        </is>
      </c>
      <c r="K109" t="inlineStr"/>
      <c r="L109" t="inlineStr">
        <is>
          <t>Ο</t>
        </is>
      </c>
      <c r="M109" t="inlineStr">
        <is>
          <t>Ø</t>
        </is>
      </c>
      <c r="N109" t="n">
        <v>8974</v>
      </c>
    </row>
    <row r="110">
      <c r="A110" s="1" t="n">
        <v>108</v>
      </c>
      <c r="B110" t="n">
        <v>23</v>
      </c>
      <c r="C110" t="inlineStr">
        <is>
          <t>Galeras</t>
        </is>
      </c>
      <c r="D110" t="inlineStr">
        <is>
          <t>GAL_23</t>
        </is>
      </c>
      <c r="E110" t="n">
        <v>565</v>
      </c>
      <c r="F110" t="inlineStr">
        <is>
          <t>Meliaceae</t>
        </is>
      </c>
      <c r="G110" t="inlineStr">
        <is>
          <t>Guarea</t>
        </is>
      </c>
      <c r="H110" t="inlineStr">
        <is>
          <t>pterorhachis</t>
        </is>
      </c>
      <c r="I110" s="2" t="n">
        <v>38653</v>
      </c>
      <c r="J110" t="inlineStr"/>
      <c r="K110" t="n">
        <v>1</v>
      </c>
      <c r="L110" t="inlineStr"/>
      <c r="M110" t="inlineStr"/>
      <c r="N110" t="n">
        <v>8972</v>
      </c>
    </row>
    <row r="111">
      <c r="A111" s="1" t="n">
        <v>109</v>
      </c>
      <c r="B111" t="n">
        <v>23</v>
      </c>
      <c r="C111" t="inlineStr">
        <is>
          <t>Galeras</t>
        </is>
      </c>
      <c r="D111" t="inlineStr">
        <is>
          <t>GAL_23</t>
        </is>
      </c>
      <c r="E111" t="n">
        <v>566</v>
      </c>
      <c r="F111" t="inlineStr">
        <is>
          <t>Rubiaceae</t>
        </is>
      </c>
      <c r="G111" t="inlineStr">
        <is>
          <t>Posoqueria</t>
        </is>
      </c>
      <c r="H111" t="inlineStr">
        <is>
          <t>latifolia</t>
        </is>
      </c>
      <c r="I111" s="2" t="n">
        <v>38653</v>
      </c>
      <c r="J111" t="inlineStr">
        <is>
          <t>2016</t>
        </is>
      </c>
      <c r="K111" t="n">
        <v>1</v>
      </c>
      <c r="L111" t="inlineStr"/>
      <c r="M111" t="inlineStr"/>
      <c r="N111" t="n">
        <v>8631</v>
      </c>
    </row>
    <row r="112">
      <c r="A112" s="1" t="n">
        <v>110</v>
      </c>
      <c r="B112" t="n">
        <v>23</v>
      </c>
      <c r="C112" t="inlineStr">
        <is>
          <t>Galeras</t>
        </is>
      </c>
      <c r="D112" t="inlineStr">
        <is>
          <t>GAL_23</t>
        </is>
      </c>
      <c r="E112" t="n">
        <v>567</v>
      </c>
      <c r="F112" t="inlineStr">
        <is>
          <t>Elaeocarpaceae</t>
        </is>
      </c>
      <c r="G112" t="inlineStr">
        <is>
          <t>Sloanea</t>
        </is>
      </c>
      <c r="H112" t="inlineStr"/>
      <c r="I112" s="2" t="n">
        <v>38653</v>
      </c>
      <c r="J112" t="inlineStr"/>
      <c r="K112" t="inlineStr"/>
      <c r="L112" t="inlineStr"/>
      <c r="M112" t="inlineStr"/>
      <c r="N112" t="n">
        <v>8632</v>
      </c>
    </row>
    <row r="113">
      <c r="A113" s="1" t="n">
        <v>111</v>
      </c>
      <c r="B113" t="n">
        <v>23</v>
      </c>
      <c r="C113" t="inlineStr">
        <is>
          <t>Galeras</t>
        </is>
      </c>
      <c r="D113" t="inlineStr">
        <is>
          <t>GAL_23</t>
        </is>
      </c>
      <c r="E113" t="n">
        <v>568</v>
      </c>
      <c r="F113" t="inlineStr">
        <is>
          <t>Elaeocarpaceae</t>
        </is>
      </c>
      <c r="G113" t="inlineStr">
        <is>
          <t>Sloanea</t>
        </is>
      </c>
      <c r="H113" t="inlineStr"/>
      <c r="I113" s="2" t="n">
        <v>38653</v>
      </c>
      <c r="J113" t="inlineStr"/>
      <c r="K113" t="inlineStr"/>
      <c r="L113" t="inlineStr"/>
      <c r="M113" t="inlineStr"/>
      <c r="N113" t="inlineStr"/>
    </row>
    <row r="114">
      <c r="A114" s="1" t="n">
        <v>112</v>
      </c>
      <c r="B114" t="n">
        <v>23</v>
      </c>
      <c r="C114" t="inlineStr">
        <is>
          <t>Galeras</t>
        </is>
      </c>
      <c r="D114" t="inlineStr">
        <is>
          <t>GAL_23</t>
        </is>
      </c>
      <c r="E114" t="n">
        <v>569</v>
      </c>
      <c r="F114" t="inlineStr">
        <is>
          <t>Lecythidaceae</t>
        </is>
      </c>
      <c r="G114" t="inlineStr">
        <is>
          <t>Grias</t>
        </is>
      </c>
      <c r="H114" t="inlineStr">
        <is>
          <t>peruviana</t>
        </is>
      </c>
      <c r="I114" s="2" t="n">
        <v>38653</v>
      </c>
      <c r="J114">
        <f>3739</f>
        <v/>
      </c>
      <c r="K114" t="n">
        <v>1</v>
      </c>
      <c r="L114" t="inlineStr">
        <is>
          <t>Ο</t>
        </is>
      </c>
      <c r="M114" t="inlineStr">
        <is>
          <t>Ø</t>
        </is>
      </c>
      <c r="N114" t="n">
        <v>8997</v>
      </c>
    </row>
    <row r="115">
      <c r="A115" s="1" t="n">
        <v>113</v>
      </c>
      <c r="B115" t="n">
        <v>23</v>
      </c>
      <c r="C115" t="inlineStr">
        <is>
          <t>Galeras</t>
        </is>
      </c>
      <c r="D115" t="inlineStr">
        <is>
          <t>GAL_23</t>
        </is>
      </c>
      <c r="E115" t="n">
        <v>570</v>
      </c>
      <c r="F115" t="inlineStr">
        <is>
          <t>Moraceae</t>
        </is>
      </c>
      <c r="G115" t="inlineStr">
        <is>
          <t>Sorocea</t>
        </is>
      </c>
      <c r="H115" t="inlineStr">
        <is>
          <t>trophoides</t>
        </is>
      </c>
      <c r="I115" s="2" t="n">
        <v>38653</v>
      </c>
      <c r="J115" t="inlineStr">
        <is>
          <t>2034</t>
        </is>
      </c>
      <c r="K115" t="inlineStr"/>
      <c r="L115" t="inlineStr">
        <is>
          <t>Ο</t>
        </is>
      </c>
      <c r="M115" t="inlineStr">
        <is>
          <t>Ø</t>
        </is>
      </c>
      <c r="N115" t="n">
        <v>8980</v>
      </c>
    </row>
    <row r="116">
      <c r="A116" s="1" t="n">
        <v>114</v>
      </c>
      <c r="B116" t="n">
        <v>23</v>
      </c>
      <c r="C116" t="inlineStr">
        <is>
          <t>Galeras</t>
        </is>
      </c>
      <c r="D116" t="inlineStr">
        <is>
          <t>GAL_23</t>
        </is>
      </c>
      <c r="E116" t="n">
        <v>571</v>
      </c>
      <c r="F116" t="inlineStr">
        <is>
          <t>Rubiaceae</t>
        </is>
      </c>
      <c r="G116" t="inlineStr">
        <is>
          <t>Posoqueria</t>
        </is>
      </c>
      <c r="H116" t="inlineStr">
        <is>
          <t>latifolia</t>
        </is>
      </c>
      <c r="I116" s="2" t="n">
        <v>38653</v>
      </c>
      <c r="J116" t="inlineStr"/>
      <c r="K116" t="inlineStr"/>
      <c r="L116" t="inlineStr">
        <is>
          <t>Ο</t>
        </is>
      </c>
      <c r="M116" t="inlineStr">
        <is>
          <t>Ø</t>
        </is>
      </c>
      <c r="N116" t="n">
        <v>8996</v>
      </c>
    </row>
    <row r="117">
      <c r="A117" s="1" t="n">
        <v>115</v>
      </c>
      <c r="B117" t="n">
        <v>23</v>
      </c>
      <c r="C117" t="inlineStr">
        <is>
          <t>Galeras</t>
        </is>
      </c>
      <c r="D117" t="inlineStr">
        <is>
          <t>GAL_23</t>
        </is>
      </c>
      <c r="E117" t="n">
        <v>572</v>
      </c>
      <c r="F117" t="inlineStr">
        <is>
          <t>Sapotaceae</t>
        </is>
      </c>
      <c r="G117" t="inlineStr">
        <is>
          <t>Pouteria</t>
        </is>
      </c>
      <c r="H117" t="inlineStr">
        <is>
          <t>aff gracilis</t>
        </is>
      </c>
      <c r="I117" s="2" t="n">
        <v>38653</v>
      </c>
      <c r="J117" t="inlineStr">
        <is>
          <t>3741</t>
        </is>
      </c>
      <c r="K117" t="inlineStr"/>
      <c r="L117" t="inlineStr"/>
      <c r="M117" t="inlineStr"/>
      <c r="N117" t="n">
        <v>9000</v>
      </c>
    </row>
    <row r="118">
      <c r="A118" s="1" t="n">
        <v>116</v>
      </c>
      <c r="B118" t="n">
        <v>23</v>
      </c>
      <c r="C118" t="inlineStr">
        <is>
          <t>Galeras</t>
        </is>
      </c>
      <c r="D118" t="inlineStr">
        <is>
          <t>GAL_23</t>
        </is>
      </c>
      <c r="E118" t="n">
        <v>573</v>
      </c>
      <c r="F118" t="inlineStr">
        <is>
          <t>Fabaceae</t>
        </is>
      </c>
      <c r="G118" t="inlineStr">
        <is>
          <t>Tachigali</t>
        </is>
      </c>
      <c r="H118" t="inlineStr"/>
      <c r="I118" s="2" t="n">
        <v>38653</v>
      </c>
      <c r="J118">
        <f>3738</f>
        <v/>
      </c>
      <c r="K118" t="inlineStr"/>
      <c r="L118" t="inlineStr"/>
      <c r="M118" t="inlineStr"/>
      <c r="N118" t="n">
        <v>8995</v>
      </c>
    </row>
    <row r="119">
      <c r="A119" s="1" t="n">
        <v>117</v>
      </c>
      <c r="B119" t="n">
        <v>23</v>
      </c>
      <c r="C119" t="inlineStr">
        <is>
          <t>Galeras</t>
        </is>
      </c>
      <c r="D119" t="inlineStr">
        <is>
          <t>GAL_23</t>
        </is>
      </c>
      <c r="E119" t="n">
        <v>574</v>
      </c>
      <c r="F119" t="inlineStr">
        <is>
          <t>Arecaceae</t>
        </is>
      </c>
      <c r="G119" t="inlineStr">
        <is>
          <t>Iriartea</t>
        </is>
      </c>
      <c r="H119" t="inlineStr">
        <is>
          <t>deltoidea</t>
        </is>
      </c>
      <c r="I119" s="2" t="n">
        <v>38653</v>
      </c>
      <c r="J119" t="inlineStr"/>
      <c r="K119" t="inlineStr"/>
      <c r="L119" t="inlineStr"/>
      <c r="M119" t="inlineStr"/>
      <c r="N119" t="n">
        <v>8992</v>
      </c>
    </row>
    <row r="120">
      <c r="A120" s="1" t="n">
        <v>118</v>
      </c>
      <c r="B120" t="n">
        <v>23</v>
      </c>
      <c r="C120" t="inlineStr">
        <is>
          <t>Galeras</t>
        </is>
      </c>
      <c r="D120" t="inlineStr">
        <is>
          <t>GAL_23</t>
        </is>
      </c>
      <c r="E120" t="n">
        <v>575</v>
      </c>
      <c r="F120" t="inlineStr">
        <is>
          <t>Urticaceae</t>
        </is>
      </c>
      <c r="G120" t="inlineStr">
        <is>
          <t>Pourouma</t>
        </is>
      </c>
      <c r="H120" t="inlineStr">
        <is>
          <t>minor</t>
        </is>
      </c>
      <c r="I120" s="2" t="n">
        <v>38653</v>
      </c>
      <c r="J120" t="inlineStr">
        <is>
          <t>2015</t>
        </is>
      </c>
      <c r="K120" t="inlineStr"/>
      <c r="L120" t="inlineStr"/>
      <c r="M120" t="inlineStr"/>
      <c r="N120" t="inlineStr"/>
    </row>
    <row r="121">
      <c r="A121" s="1" t="n">
        <v>119</v>
      </c>
      <c r="B121" t="n">
        <v>23</v>
      </c>
      <c r="C121" t="inlineStr">
        <is>
          <t>Galeras</t>
        </is>
      </c>
      <c r="D121" t="inlineStr">
        <is>
          <t>GAL_23</t>
        </is>
      </c>
      <c r="E121" t="n">
        <v>576</v>
      </c>
      <c r="F121" t="inlineStr">
        <is>
          <t>Rubiaceae</t>
        </is>
      </c>
      <c r="G121" t="inlineStr">
        <is>
          <t>Kutchubaea</t>
        </is>
      </c>
      <c r="H121" t="inlineStr">
        <is>
          <t>semisericea</t>
        </is>
      </c>
      <c r="I121" s="2" t="n">
        <v>38653</v>
      </c>
      <c r="J121" t="inlineStr">
        <is>
          <t>3742</t>
        </is>
      </c>
      <c r="K121" t="inlineStr"/>
      <c r="L121" t="inlineStr">
        <is>
          <t>Ο</t>
        </is>
      </c>
      <c r="M121" t="inlineStr">
        <is>
          <t>Ø</t>
        </is>
      </c>
      <c r="N121" t="n">
        <v>8990</v>
      </c>
    </row>
    <row r="122">
      <c r="A122" s="1" t="n">
        <v>120</v>
      </c>
      <c r="B122" t="n">
        <v>23</v>
      </c>
      <c r="C122" t="inlineStr">
        <is>
          <t>Galeras</t>
        </is>
      </c>
      <c r="D122" t="inlineStr">
        <is>
          <t>GAL_23</t>
        </is>
      </c>
      <c r="E122" t="n">
        <v>577</v>
      </c>
      <c r="F122" t="inlineStr">
        <is>
          <t>Rubiaceae</t>
        </is>
      </c>
      <c r="G122" t="inlineStr">
        <is>
          <t>Coussarea</t>
        </is>
      </c>
      <c r="H122" t="inlineStr">
        <is>
          <t>racemosa</t>
        </is>
      </c>
      <c r="I122" s="2" t="n">
        <v>38653</v>
      </c>
      <c r="J122" t="inlineStr">
        <is>
          <t>3743</t>
        </is>
      </c>
      <c r="K122" t="n">
        <v>1</v>
      </c>
      <c r="L122" t="inlineStr"/>
      <c r="M122" t="inlineStr"/>
      <c r="N122" t="inlineStr"/>
    </row>
    <row r="123">
      <c r="A123" s="1" t="n">
        <v>121</v>
      </c>
      <c r="B123" t="n">
        <v>23</v>
      </c>
      <c r="C123" t="inlineStr">
        <is>
          <t>Galeras</t>
        </is>
      </c>
      <c r="D123" t="inlineStr">
        <is>
          <t>GAL_23</t>
        </is>
      </c>
      <c r="E123" t="n">
        <v>578</v>
      </c>
      <c r="F123" t="inlineStr">
        <is>
          <t>Fabaceae</t>
        </is>
      </c>
      <c r="G123" t="inlineStr">
        <is>
          <t>Inga</t>
        </is>
      </c>
      <c r="H123" t="inlineStr">
        <is>
          <t>leiocalycina</t>
        </is>
      </c>
      <c r="I123" s="2" t="n">
        <v>38653</v>
      </c>
      <c r="J123" t="inlineStr">
        <is>
          <t>2021</t>
        </is>
      </c>
      <c r="K123" t="n">
        <v>1</v>
      </c>
      <c r="L123" t="inlineStr"/>
      <c r="M123" t="inlineStr"/>
      <c r="N123" t="inlineStr"/>
    </row>
    <row r="124">
      <c r="A124" s="1" t="n">
        <v>122</v>
      </c>
      <c r="B124" t="n">
        <v>23</v>
      </c>
      <c r="C124" t="inlineStr">
        <is>
          <t>Galeras</t>
        </is>
      </c>
      <c r="D124" t="inlineStr">
        <is>
          <t>GAL_23</t>
        </is>
      </c>
      <c r="E124" t="inlineStr"/>
      <c r="F124" t="inlineStr">
        <is>
          <t>indet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n">
        <v>8973</v>
      </c>
    </row>
    <row r="125">
      <c r="A125" s="1" t="n">
        <v>123</v>
      </c>
      <c r="B125" t="n">
        <v>23</v>
      </c>
      <c r="C125" t="inlineStr">
        <is>
          <t>Galeras</t>
        </is>
      </c>
      <c r="D125" t="inlineStr">
        <is>
          <t>GAL_23</t>
        </is>
      </c>
      <c r="E125" t="inlineStr"/>
      <c r="F125" t="inlineStr">
        <is>
          <t>Arecaceae</t>
        </is>
      </c>
      <c r="G125" t="inlineStr">
        <is>
          <t>Iriartea</t>
        </is>
      </c>
      <c r="H125" t="inlineStr">
        <is>
          <t>deltoidea</t>
        </is>
      </c>
      <c r="I125" t="inlineStr"/>
      <c r="J125" t="inlineStr"/>
      <c r="K125" t="inlineStr"/>
      <c r="L125" t="inlineStr"/>
      <c r="M125" t="inlineStr"/>
      <c r="N125" t="n">
        <v>8977</v>
      </c>
    </row>
    <row r="126">
      <c r="A126" s="1" t="n">
        <v>124</v>
      </c>
      <c r="B126" t="n">
        <v>23</v>
      </c>
      <c r="C126" t="inlineStr">
        <is>
          <t>Galeras</t>
        </is>
      </c>
      <c r="D126" t="inlineStr">
        <is>
          <t>GAL_23</t>
        </is>
      </c>
      <c r="E126" t="inlineStr"/>
      <c r="F126" t="inlineStr">
        <is>
          <t>Arecaceae</t>
        </is>
      </c>
      <c r="G126" t="inlineStr">
        <is>
          <t>Iriartea</t>
        </is>
      </c>
      <c r="H126" t="inlineStr">
        <is>
          <t>deltoidea</t>
        </is>
      </c>
      <c r="I126" t="inlineStr"/>
      <c r="J126" t="inlineStr"/>
      <c r="K126" t="inlineStr"/>
      <c r="L126" t="inlineStr"/>
      <c r="M126" t="inlineStr"/>
      <c r="N126" t="n">
        <v>8978</v>
      </c>
    </row>
    <row r="127">
      <c r="A127" s="1" t="n">
        <v>125</v>
      </c>
      <c r="B127" t="n">
        <v>23</v>
      </c>
      <c r="C127" t="inlineStr">
        <is>
          <t>Galeras</t>
        </is>
      </c>
      <c r="D127" t="inlineStr">
        <is>
          <t>GAL_23</t>
        </is>
      </c>
      <c r="E127" t="inlineStr"/>
      <c r="F127" t="inlineStr">
        <is>
          <t>Arecaceae</t>
        </is>
      </c>
      <c r="G127" t="inlineStr">
        <is>
          <t>Iriartea</t>
        </is>
      </c>
      <c r="H127" t="inlineStr">
        <is>
          <t>deltoidea</t>
        </is>
      </c>
      <c r="I127" t="inlineStr"/>
      <c r="J127" t="inlineStr"/>
      <c r="K127" t="inlineStr"/>
      <c r="L127" t="inlineStr"/>
      <c r="M127" t="inlineStr"/>
      <c r="N127" t="n">
        <v>8981</v>
      </c>
    </row>
    <row r="128">
      <c r="A128" s="1" t="n">
        <v>126</v>
      </c>
      <c r="B128" t="n">
        <v>23</v>
      </c>
      <c r="C128" t="inlineStr">
        <is>
          <t>Galeras</t>
        </is>
      </c>
      <c r="D128" t="inlineStr">
        <is>
          <t>GAL_23</t>
        </is>
      </c>
      <c r="E128" t="inlineStr"/>
      <c r="F128" t="inlineStr">
        <is>
          <t>Myristicaceae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n">
        <v>8984</v>
      </c>
    </row>
    <row r="129">
      <c r="A129" s="1" t="n">
        <v>127</v>
      </c>
      <c r="B129" t="n">
        <v>23</v>
      </c>
      <c r="C129" t="inlineStr">
        <is>
          <t>Galeras</t>
        </is>
      </c>
      <c r="D129" t="inlineStr">
        <is>
          <t>GAL_23</t>
        </is>
      </c>
      <c r="E129" t="inlineStr"/>
      <c r="F129" t="inlineStr">
        <is>
          <t>Moraceae</t>
        </is>
      </c>
      <c r="G129" t="inlineStr">
        <is>
          <t>Ficus</t>
        </is>
      </c>
      <c r="H129" t="inlineStr"/>
      <c r="I129" t="inlineStr"/>
      <c r="J129" t="inlineStr"/>
      <c r="K129" t="inlineStr"/>
      <c r="L129" t="inlineStr"/>
      <c r="M129" t="inlineStr"/>
      <c r="N129" t="n">
        <v>8988</v>
      </c>
    </row>
    <row r="130">
      <c r="A130" s="1" t="n">
        <v>128</v>
      </c>
      <c r="B130" t="n">
        <v>23</v>
      </c>
      <c r="C130" t="inlineStr">
        <is>
          <t>Galeras</t>
        </is>
      </c>
      <c r="D130" t="inlineStr">
        <is>
          <t>GAL_23</t>
        </is>
      </c>
      <c r="E130" t="inlineStr"/>
      <c r="F130" t="inlineStr">
        <is>
          <t>Urticaceae</t>
        </is>
      </c>
      <c r="G130" t="inlineStr">
        <is>
          <t>Pourouma</t>
        </is>
      </c>
      <c r="H130" t="inlineStr">
        <is>
          <t>minor</t>
        </is>
      </c>
      <c r="I130" t="inlineStr"/>
      <c r="J130" t="inlineStr"/>
      <c r="K130" t="inlineStr"/>
      <c r="L130" t="inlineStr"/>
      <c r="M130" t="inlineStr"/>
      <c r="N130" t="n">
        <v>8991</v>
      </c>
    </row>
    <row r="131">
      <c r="A131" s="1" t="n">
        <v>129</v>
      </c>
      <c r="B131" t="n">
        <v>23</v>
      </c>
      <c r="C131" t="inlineStr">
        <is>
          <t>Galeras</t>
        </is>
      </c>
      <c r="D131" t="inlineStr">
        <is>
          <t>GAL_23</t>
        </is>
      </c>
      <c r="E131" t="inlineStr"/>
      <c r="F131" t="inlineStr">
        <is>
          <t>Elaeocarpaceae</t>
        </is>
      </c>
      <c r="G131" t="inlineStr">
        <is>
          <t>Sloanea</t>
        </is>
      </c>
      <c r="H131" t="inlineStr"/>
      <c r="I131" t="inlineStr"/>
      <c r="J131" t="inlineStr"/>
      <c r="K131" t="inlineStr"/>
      <c r="L131" t="inlineStr"/>
      <c r="M131" t="inlineStr"/>
      <c r="N131" t="n">
        <v>8993</v>
      </c>
    </row>
    <row r="132">
      <c r="A132" s="1" t="n">
        <v>130</v>
      </c>
      <c r="B132" t="n">
        <v>23</v>
      </c>
      <c r="C132" t="inlineStr">
        <is>
          <t>Galeras</t>
        </is>
      </c>
      <c r="D132" t="inlineStr">
        <is>
          <t>GAL_23</t>
        </is>
      </c>
      <c r="E132" t="inlineStr"/>
      <c r="F132" t="inlineStr">
        <is>
          <t>Arecaceae</t>
        </is>
      </c>
      <c r="G132" t="inlineStr">
        <is>
          <t>Iriartea</t>
        </is>
      </c>
      <c r="H132" t="inlineStr">
        <is>
          <t>deltoidea</t>
        </is>
      </c>
      <c r="I132" t="inlineStr"/>
      <c r="J132" t="inlineStr"/>
      <c r="K132" t="inlineStr"/>
      <c r="L132" t="inlineStr"/>
      <c r="M132" t="inlineStr"/>
      <c r="N132" t="n">
        <v>8994</v>
      </c>
    </row>
    <row r="133">
      <c r="A133" s="1" t="n">
        <v>131</v>
      </c>
      <c r="B133" t="n">
        <v>23</v>
      </c>
      <c r="C133" t="inlineStr">
        <is>
          <t>Galeras</t>
        </is>
      </c>
      <c r="D133" t="inlineStr">
        <is>
          <t>GAL_23</t>
        </is>
      </c>
      <c r="E133" t="inlineStr"/>
      <c r="F133" t="inlineStr">
        <is>
          <t>Arecaceae</t>
        </is>
      </c>
      <c r="G133" t="inlineStr">
        <is>
          <t>Iriartea</t>
        </is>
      </c>
      <c r="H133" t="inlineStr">
        <is>
          <t>deltoidea</t>
        </is>
      </c>
      <c r="I133" t="inlineStr"/>
      <c r="J133" t="inlineStr"/>
      <c r="K133" t="inlineStr"/>
      <c r="L133" t="inlineStr"/>
      <c r="M133" t="inlineStr"/>
      <c r="N133" t="n">
        <v>8998</v>
      </c>
    </row>
    <row r="134">
      <c r="A134" s="1" t="n">
        <v>132</v>
      </c>
      <c r="B134" t="n">
        <v>23</v>
      </c>
      <c r="C134" t="inlineStr">
        <is>
          <t>Galeras</t>
        </is>
      </c>
      <c r="D134" t="inlineStr">
        <is>
          <t>GAL_23</t>
        </is>
      </c>
      <c r="E134" t="inlineStr"/>
      <c r="F134" t="inlineStr">
        <is>
          <t>Arecaceae</t>
        </is>
      </c>
      <c r="G134" t="inlineStr">
        <is>
          <t>Iriartea</t>
        </is>
      </c>
      <c r="H134" t="inlineStr">
        <is>
          <t>deltoidea</t>
        </is>
      </c>
      <c r="I134" t="inlineStr"/>
      <c r="J134" t="inlineStr"/>
      <c r="K134" t="inlineStr"/>
      <c r="L134" t="inlineStr"/>
      <c r="M134" t="inlineStr"/>
      <c r="N134" t="n">
        <v>8999</v>
      </c>
    </row>
    <row r="135">
      <c r="A135" s="1" t="n">
        <v>133</v>
      </c>
      <c r="B135" t="n">
        <v>23</v>
      </c>
      <c r="C135" t="inlineStr">
        <is>
          <t>Galeras</t>
        </is>
      </c>
      <c r="D135" t="inlineStr">
        <is>
          <t>GAL_23</t>
        </is>
      </c>
      <c r="E135" t="inlineStr"/>
      <c r="F135" t="inlineStr">
        <is>
          <t>Rubiaceae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n">
        <v>8985</v>
      </c>
    </row>
    <row r="136">
      <c r="A136" s="1" t="n">
        <v>134</v>
      </c>
      <c r="B136" t="n">
        <v>24</v>
      </c>
      <c r="C136" t="inlineStr">
        <is>
          <t>Galeras</t>
        </is>
      </c>
      <c r="D136" t="inlineStr">
        <is>
          <t>GAL_24</t>
        </is>
      </c>
      <c r="E136" t="n">
        <v>579</v>
      </c>
      <c r="F136" t="inlineStr">
        <is>
          <t>Lecythidaceae</t>
        </is>
      </c>
      <c r="G136" t="inlineStr">
        <is>
          <t>Eschweilera</t>
        </is>
      </c>
      <c r="H136" t="inlineStr">
        <is>
          <t>caudiculata</t>
        </is>
      </c>
      <c r="I136" s="2" t="n">
        <v>38822</v>
      </c>
      <c r="J136" t="n">
        <v>2081</v>
      </c>
      <c r="K136" t="inlineStr"/>
      <c r="L136" t="inlineStr"/>
      <c r="M136" t="inlineStr">
        <is>
          <t>ø</t>
        </is>
      </c>
      <c r="N136" t="n">
        <v>8642</v>
      </c>
    </row>
    <row r="137">
      <c r="A137" s="1" t="n">
        <v>135</v>
      </c>
      <c r="B137" t="n">
        <v>24</v>
      </c>
      <c r="C137" t="inlineStr">
        <is>
          <t>Galeras</t>
        </is>
      </c>
      <c r="D137" t="inlineStr">
        <is>
          <t>GAL_24</t>
        </is>
      </c>
      <c r="E137" t="n">
        <v>580</v>
      </c>
      <c r="F137" t="inlineStr">
        <is>
          <t>Moraceae</t>
        </is>
      </c>
      <c r="G137" t="inlineStr">
        <is>
          <t>Clarisia</t>
        </is>
      </c>
      <c r="H137" t="inlineStr">
        <is>
          <t>biflora</t>
        </is>
      </c>
      <c r="I137" s="2" t="n">
        <v>38822</v>
      </c>
      <c r="J137" t="inlineStr"/>
      <c r="K137" t="n">
        <v>1</v>
      </c>
      <c r="L137" t="inlineStr"/>
      <c r="M137" t="inlineStr">
        <is>
          <t>ø</t>
        </is>
      </c>
      <c r="N137" t="n">
        <v>8641</v>
      </c>
    </row>
    <row r="138">
      <c r="A138" s="1" t="n">
        <v>136</v>
      </c>
      <c r="B138" t="n">
        <v>24</v>
      </c>
      <c r="C138" t="inlineStr">
        <is>
          <t>Galeras</t>
        </is>
      </c>
      <c r="D138" t="inlineStr">
        <is>
          <t>GAL_24</t>
        </is>
      </c>
      <c r="E138" t="n">
        <v>581</v>
      </c>
      <c r="F138" t="inlineStr">
        <is>
          <t>Lauraceae</t>
        </is>
      </c>
      <c r="G138" t="inlineStr">
        <is>
          <t>Ocotea</t>
        </is>
      </c>
      <c r="H138" t="inlineStr">
        <is>
          <t>floribunda</t>
        </is>
      </c>
      <c r="I138" s="2" t="n">
        <v>38822</v>
      </c>
      <c r="J138" t="n">
        <v>3683</v>
      </c>
      <c r="K138" t="inlineStr"/>
      <c r="L138" t="inlineStr"/>
      <c r="M138" t="inlineStr"/>
      <c r="N138" t="inlineStr"/>
    </row>
    <row r="139">
      <c r="A139" s="1" t="n">
        <v>137</v>
      </c>
      <c r="B139" t="n">
        <v>24</v>
      </c>
      <c r="C139" t="inlineStr">
        <is>
          <t>Galeras</t>
        </is>
      </c>
      <c r="D139" t="inlineStr">
        <is>
          <t>GAL_24</t>
        </is>
      </c>
      <c r="E139" t="n">
        <v>582</v>
      </c>
      <c r="F139" t="inlineStr">
        <is>
          <t>Anacardiaceae</t>
        </is>
      </c>
      <c r="G139" t="inlineStr">
        <is>
          <t>Tapirira</t>
        </is>
      </c>
      <c r="H139" t="inlineStr">
        <is>
          <t>guianensis</t>
        </is>
      </c>
      <c r="I139" s="2" t="n">
        <v>38822</v>
      </c>
      <c r="J139" t="n">
        <v>3687</v>
      </c>
      <c r="K139" t="inlineStr"/>
      <c r="L139" t="inlineStr"/>
      <c r="M139" t="inlineStr"/>
      <c r="N139" t="inlineStr"/>
    </row>
    <row r="140">
      <c r="A140" s="1" t="n">
        <v>138</v>
      </c>
      <c r="B140" t="n">
        <v>24</v>
      </c>
      <c r="C140" t="inlineStr">
        <is>
          <t>Galeras</t>
        </is>
      </c>
      <c r="D140" t="inlineStr">
        <is>
          <t>GAL_24</t>
        </is>
      </c>
      <c r="E140" t="n">
        <v>583</v>
      </c>
      <c r="F140" t="inlineStr">
        <is>
          <t>Lauraceae</t>
        </is>
      </c>
      <c r="G140" t="inlineStr">
        <is>
          <t>Ocotea</t>
        </is>
      </c>
      <c r="H140" t="inlineStr">
        <is>
          <t>floribunda</t>
        </is>
      </c>
      <c r="I140" s="2" t="n">
        <v>38822</v>
      </c>
      <c r="J140" t="n">
        <v>3683</v>
      </c>
      <c r="K140" t="n">
        <v>1</v>
      </c>
      <c r="L140" t="inlineStr"/>
      <c r="M140" t="inlineStr"/>
      <c r="N140" t="inlineStr"/>
    </row>
    <row r="141">
      <c r="A141" s="1" t="n">
        <v>139</v>
      </c>
      <c r="B141" t="n">
        <v>24</v>
      </c>
      <c r="C141" t="inlineStr">
        <is>
          <t>Galeras</t>
        </is>
      </c>
      <c r="D141" t="inlineStr">
        <is>
          <t>GAL_24</t>
        </is>
      </c>
      <c r="E141" t="n">
        <v>584</v>
      </c>
      <c r="F141" t="inlineStr">
        <is>
          <t>Vochysiaceae</t>
        </is>
      </c>
      <c r="G141" t="inlineStr"/>
      <c r="H141" t="inlineStr"/>
      <c r="I141" s="2" t="n">
        <v>38822</v>
      </c>
      <c r="J141" t="n">
        <v>2079</v>
      </c>
      <c r="K141" t="n">
        <v>1</v>
      </c>
      <c r="L141" t="inlineStr"/>
      <c r="M141" t="inlineStr"/>
      <c r="N141" t="inlineStr"/>
    </row>
    <row r="142">
      <c r="A142" s="1" t="n">
        <v>140</v>
      </c>
      <c r="B142" t="n">
        <v>24</v>
      </c>
      <c r="C142" t="inlineStr">
        <is>
          <t>Galeras</t>
        </is>
      </c>
      <c r="D142" t="inlineStr">
        <is>
          <t>GAL_24</t>
        </is>
      </c>
      <c r="E142" t="n">
        <v>585</v>
      </c>
      <c r="F142" t="inlineStr">
        <is>
          <t>Lacistemataceae</t>
        </is>
      </c>
      <c r="G142" t="inlineStr">
        <is>
          <t>Lozania</t>
        </is>
      </c>
      <c r="H142" t="inlineStr">
        <is>
          <t>klugii</t>
        </is>
      </c>
      <c r="I142" s="2" t="n">
        <v>38822</v>
      </c>
      <c r="J142" t="n">
        <v>2083</v>
      </c>
      <c r="K142" t="n">
        <v>1</v>
      </c>
      <c r="L142" t="inlineStr"/>
      <c r="M142" t="inlineStr">
        <is>
          <t>ø</t>
        </is>
      </c>
      <c r="N142" t="n">
        <v>8639</v>
      </c>
    </row>
    <row r="143">
      <c r="A143" s="1" t="n">
        <v>141</v>
      </c>
      <c r="B143" t="n">
        <v>24</v>
      </c>
      <c r="C143" t="inlineStr">
        <is>
          <t>Galeras</t>
        </is>
      </c>
      <c r="D143" t="inlineStr">
        <is>
          <t>GAL_24</t>
        </is>
      </c>
      <c r="E143" t="n">
        <v>586</v>
      </c>
      <c r="F143" t="inlineStr">
        <is>
          <t>Phyllanthaceae</t>
        </is>
      </c>
      <c r="G143" t="inlineStr">
        <is>
          <t>Hieronyma</t>
        </is>
      </c>
      <c r="H143" t="inlineStr">
        <is>
          <t>oblonga</t>
        </is>
      </c>
      <c r="I143" s="2" t="n">
        <v>38822</v>
      </c>
      <c r="J143" t="inlineStr"/>
      <c r="K143" t="n">
        <v>1</v>
      </c>
      <c r="L143" t="inlineStr"/>
      <c r="M143" t="inlineStr"/>
      <c r="N143" t="inlineStr"/>
    </row>
    <row r="144">
      <c r="A144" s="1" t="n">
        <v>142</v>
      </c>
      <c r="B144" t="n">
        <v>24</v>
      </c>
      <c r="C144" t="inlineStr">
        <is>
          <t>Galeras</t>
        </is>
      </c>
      <c r="D144" t="inlineStr">
        <is>
          <t>GAL_24</t>
        </is>
      </c>
      <c r="E144" t="n">
        <v>587</v>
      </c>
      <c r="F144" t="inlineStr">
        <is>
          <t>Phyllanthaceae</t>
        </is>
      </c>
      <c r="G144" t="inlineStr">
        <is>
          <t>Hieronyma</t>
        </is>
      </c>
      <c r="H144" t="inlineStr">
        <is>
          <t>oblonga</t>
        </is>
      </c>
      <c r="I144" s="2" t="n">
        <v>38822</v>
      </c>
      <c r="J144" t="n">
        <v>2076</v>
      </c>
      <c r="K144" t="inlineStr"/>
      <c r="L144" t="inlineStr"/>
      <c r="M144" t="inlineStr"/>
      <c r="N144" t="n">
        <v>8636</v>
      </c>
    </row>
    <row r="145">
      <c r="A145" s="1" t="n">
        <v>143</v>
      </c>
      <c r="B145" t="n">
        <v>24</v>
      </c>
      <c r="C145" t="inlineStr">
        <is>
          <t>Galeras</t>
        </is>
      </c>
      <c r="D145" t="inlineStr">
        <is>
          <t>GAL_24</t>
        </is>
      </c>
      <c r="E145" t="n">
        <v>588</v>
      </c>
      <c r="F145" t="inlineStr">
        <is>
          <t>Myristicaceae</t>
        </is>
      </c>
      <c r="G145" t="inlineStr">
        <is>
          <t>Otoba</t>
        </is>
      </c>
      <c r="H145" t="inlineStr">
        <is>
          <t>glycycarpa</t>
        </is>
      </c>
      <c r="I145" s="2" t="n">
        <v>38822</v>
      </c>
      <c r="J145" t="inlineStr"/>
      <c r="K145" t="inlineStr"/>
      <c r="L145" t="inlineStr"/>
      <c r="M145" t="inlineStr"/>
      <c r="N145" t="n">
        <v>8635</v>
      </c>
    </row>
    <row r="146">
      <c r="A146" s="1" t="n">
        <v>144</v>
      </c>
      <c r="B146" t="n">
        <v>24</v>
      </c>
      <c r="C146" t="inlineStr">
        <is>
          <t>Galeras</t>
        </is>
      </c>
      <c r="D146" t="inlineStr">
        <is>
          <t>GAL_24</t>
        </is>
      </c>
      <c r="E146" t="n">
        <v>589</v>
      </c>
      <c r="F146" t="inlineStr">
        <is>
          <t>Fabaceae</t>
        </is>
      </c>
      <c r="G146" t="inlineStr">
        <is>
          <t>Parkia</t>
        </is>
      </c>
      <c r="H146" t="inlineStr">
        <is>
          <t>velutina</t>
        </is>
      </c>
      <c r="I146" s="2" t="n">
        <v>38822</v>
      </c>
      <c r="J146" t="n">
        <v>3684</v>
      </c>
      <c r="K146" t="inlineStr"/>
      <c r="L146" t="inlineStr"/>
      <c r="M146" t="inlineStr"/>
      <c r="N146" t="n">
        <v>8634</v>
      </c>
    </row>
    <row r="147">
      <c r="A147" s="1" t="n">
        <v>145</v>
      </c>
      <c r="B147" t="n">
        <v>24</v>
      </c>
      <c r="C147" t="inlineStr">
        <is>
          <t>Galeras</t>
        </is>
      </c>
      <c r="D147" t="inlineStr">
        <is>
          <t>GAL_24</t>
        </is>
      </c>
      <c r="E147" t="n">
        <v>590</v>
      </c>
      <c r="F147" t="inlineStr">
        <is>
          <t>Clusiaceae</t>
        </is>
      </c>
      <c r="G147" t="inlineStr">
        <is>
          <t>Garcinia</t>
        </is>
      </c>
      <c r="H147" t="inlineStr">
        <is>
          <t>madruno</t>
        </is>
      </c>
      <c r="I147" s="2" t="n">
        <v>38822</v>
      </c>
      <c r="J147" t="n">
        <v>2073</v>
      </c>
      <c r="K147" t="inlineStr"/>
      <c r="L147" t="inlineStr"/>
      <c r="M147" t="inlineStr">
        <is>
          <t>ø</t>
        </is>
      </c>
      <c r="N147" t="n">
        <v>8633</v>
      </c>
    </row>
    <row r="148">
      <c r="A148" s="1" t="n">
        <v>146</v>
      </c>
      <c r="B148" t="n">
        <v>24</v>
      </c>
      <c r="C148" t="inlineStr">
        <is>
          <t>Galeras</t>
        </is>
      </c>
      <c r="D148" t="inlineStr">
        <is>
          <t>GAL_24</t>
        </is>
      </c>
      <c r="E148" t="n">
        <v>591</v>
      </c>
      <c r="F148" t="inlineStr">
        <is>
          <t>Lauraceae</t>
        </is>
      </c>
      <c r="G148" t="inlineStr"/>
      <c r="H148" t="inlineStr"/>
      <c r="I148" s="2" t="n">
        <v>38822</v>
      </c>
      <c r="J148" t="n">
        <v>3685</v>
      </c>
      <c r="K148" t="inlineStr"/>
      <c r="L148" t="inlineStr"/>
      <c r="M148" t="inlineStr"/>
      <c r="N148" t="n">
        <v>8653</v>
      </c>
    </row>
    <row r="149">
      <c r="A149" s="1" t="n">
        <v>147</v>
      </c>
      <c r="B149" t="n">
        <v>24</v>
      </c>
      <c r="C149" t="inlineStr">
        <is>
          <t>Galeras</t>
        </is>
      </c>
      <c r="D149" t="inlineStr">
        <is>
          <t>GAL_24</t>
        </is>
      </c>
      <c r="E149" t="n">
        <v>592</v>
      </c>
      <c r="F149" t="inlineStr">
        <is>
          <t>Rubiaceae</t>
        </is>
      </c>
      <c r="G149" t="inlineStr"/>
      <c r="H149" t="inlineStr"/>
      <c r="I149" s="2" t="n">
        <v>38822</v>
      </c>
      <c r="J149" t="n">
        <v>3686</v>
      </c>
      <c r="K149" t="n">
        <v>1</v>
      </c>
      <c r="L149" t="inlineStr"/>
      <c r="M149" t="inlineStr"/>
      <c r="N149" t="n">
        <v>8656</v>
      </c>
    </row>
    <row r="150">
      <c r="A150" s="1" t="n">
        <v>148</v>
      </c>
      <c r="B150" t="n">
        <v>24</v>
      </c>
      <c r="C150" t="inlineStr">
        <is>
          <t>Galeras</t>
        </is>
      </c>
      <c r="D150" t="inlineStr">
        <is>
          <t>GAL_24</t>
        </is>
      </c>
      <c r="E150" t="n">
        <v>593</v>
      </c>
      <c r="F150" t="inlineStr">
        <is>
          <t>Anacardiaceae</t>
        </is>
      </c>
      <c r="G150" t="inlineStr">
        <is>
          <t>Tapirira</t>
        </is>
      </c>
      <c r="H150" t="inlineStr">
        <is>
          <t>guianensis</t>
        </is>
      </c>
      <c r="I150" s="2" t="n">
        <v>38822</v>
      </c>
      <c r="J150" t="n">
        <v>3687</v>
      </c>
      <c r="K150" t="inlineStr"/>
      <c r="L150" t="inlineStr"/>
      <c r="M150" t="inlineStr"/>
      <c r="N150" t="n">
        <v>8655</v>
      </c>
    </row>
    <row r="151">
      <c r="A151" s="1" t="n">
        <v>149</v>
      </c>
      <c r="B151" t="n">
        <v>24</v>
      </c>
      <c r="C151" t="inlineStr">
        <is>
          <t>Galeras</t>
        </is>
      </c>
      <c r="D151" t="inlineStr">
        <is>
          <t>GAL_24</t>
        </is>
      </c>
      <c r="E151" t="n">
        <v>594</v>
      </c>
      <c r="F151" t="inlineStr">
        <is>
          <t>Lacistemataceae</t>
        </is>
      </c>
      <c r="G151" t="inlineStr">
        <is>
          <t>Lozania</t>
        </is>
      </c>
      <c r="H151" t="inlineStr">
        <is>
          <t>klugii</t>
        </is>
      </c>
      <c r="I151" s="2" t="n">
        <v>38822</v>
      </c>
      <c r="J151" t="inlineStr">
        <is>
          <t>3688 &amp; 2071</t>
        </is>
      </c>
      <c r="K151" t="inlineStr"/>
      <c r="L151" t="inlineStr"/>
      <c r="M151" t="inlineStr"/>
      <c r="N151" t="inlineStr"/>
    </row>
    <row r="152">
      <c r="A152" s="1" t="n">
        <v>150</v>
      </c>
      <c r="B152" t="n">
        <v>24</v>
      </c>
      <c r="C152" t="inlineStr">
        <is>
          <t>Galeras</t>
        </is>
      </c>
      <c r="D152" t="inlineStr">
        <is>
          <t>GAL_24</t>
        </is>
      </c>
      <c r="E152" t="n">
        <v>595</v>
      </c>
      <c r="F152" t="inlineStr">
        <is>
          <t>Phyllanthaceae</t>
        </is>
      </c>
      <c r="G152" t="inlineStr">
        <is>
          <t>Hieronyma</t>
        </is>
      </c>
      <c r="H152" t="inlineStr">
        <is>
          <t>oblonga</t>
        </is>
      </c>
      <c r="I152" s="2" t="n">
        <v>38822</v>
      </c>
      <c r="J152" t="n">
        <v>3689</v>
      </c>
      <c r="K152" t="n">
        <v>1</v>
      </c>
      <c r="L152" t="inlineStr"/>
      <c r="M152" t="inlineStr">
        <is>
          <t>ø</t>
        </is>
      </c>
      <c r="N152" t="n">
        <v>8654</v>
      </c>
    </row>
    <row r="153">
      <c r="A153" s="1" t="n">
        <v>151</v>
      </c>
      <c r="B153" t="n">
        <v>24</v>
      </c>
      <c r="C153" t="inlineStr">
        <is>
          <t>Galeras</t>
        </is>
      </c>
      <c r="D153" t="inlineStr">
        <is>
          <t>GAL_24</t>
        </is>
      </c>
      <c r="E153" t="n">
        <v>596</v>
      </c>
      <c r="F153" t="inlineStr">
        <is>
          <t>Lacistemataceae</t>
        </is>
      </c>
      <c r="G153" t="inlineStr">
        <is>
          <t>Lacistema</t>
        </is>
      </c>
      <c r="H153" t="inlineStr"/>
      <c r="I153" s="2" t="n">
        <v>38822</v>
      </c>
      <c r="J153" t="n">
        <v>2070</v>
      </c>
      <c r="K153" t="n">
        <v>1</v>
      </c>
      <c r="L153" t="inlineStr"/>
      <c r="M153" t="inlineStr"/>
      <c r="N153" t="inlineStr"/>
    </row>
    <row r="154">
      <c r="A154" s="1" t="n">
        <v>152</v>
      </c>
      <c r="B154" t="n">
        <v>24</v>
      </c>
      <c r="C154" t="inlineStr">
        <is>
          <t>Galeras</t>
        </is>
      </c>
      <c r="D154" t="inlineStr">
        <is>
          <t>GAL_24</t>
        </is>
      </c>
      <c r="E154" t="n">
        <v>597</v>
      </c>
      <c r="F154" t="inlineStr">
        <is>
          <t>Clusiaceae</t>
        </is>
      </c>
      <c r="G154" t="inlineStr">
        <is>
          <t>Tovomita</t>
        </is>
      </c>
      <c r="H154" t="inlineStr">
        <is>
          <t>weddeliana</t>
        </is>
      </c>
      <c r="I154" s="2" t="n">
        <v>38822</v>
      </c>
      <c r="J154" t="inlineStr"/>
      <c r="K154" t="inlineStr"/>
      <c r="L154" t="inlineStr"/>
      <c r="M154" t="inlineStr"/>
      <c r="N154" t="n">
        <v>8652</v>
      </c>
    </row>
    <row r="155">
      <c r="A155" s="1" t="n">
        <v>153</v>
      </c>
      <c r="B155" t="n">
        <v>24</v>
      </c>
      <c r="C155" t="inlineStr">
        <is>
          <t>Galeras</t>
        </is>
      </c>
      <c r="D155" t="inlineStr">
        <is>
          <t>GAL_24</t>
        </is>
      </c>
      <c r="E155" t="n">
        <v>598</v>
      </c>
      <c r="F155" t="inlineStr">
        <is>
          <t>Caryocaraceae</t>
        </is>
      </c>
      <c r="G155" t="inlineStr">
        <is>
          <t>Caryocar</t>
        </is>
      </c>
      <c r="H155" t="inlineStr">
        <is>
          <t>glabrum</t>
        </is>
      </c>
      <c r="I155" s="2" t="n">
        <v>38822</v>
      </c>
      <c r="J155" t="n">
        <v>2069</v>
      </c>
      <c r="K155" t="n">
        <v>1</v>
      </c>
      <c r="L155" t="inlineStr"/>
      <c r="M155" t="inlineStr">
        <is>
          <t>ø</t>
        </is>
      </c>
      <c r="N155" t="n">
        <v>8651</v>
      </c>
    </row>
    <row r="156">
      <c r="A156" s="1" t="n">
        <v>154</v>
      </c>
      <c r="B156" t="n">
        <v>24</v>
      </c>
      <c r="C156" t="inlineStr">
        <is>
          <t>Galeras</t>
        </is>
      </c>
      <c r="D156" t="inlineStr">
        <is>
          <t>GAL_24</t>
        </is>
      </c>
      <c r="E156" t="n">
        <v>599</v>
      </c>
      <c r="F156" t="inlineStr">
        <is>
          <t>Myristicaceae</t>
        </is>
      </c>
      <c r="G156" t="inlineStr">
        <is>
          <t>Otoba</t>
        </is>
      </c>
      <c r="H156" t="inlineStr">
        <is>
          <t>glycycarpa</t>
        </is>
      </c>
      <c r="I156" s="2" t="n">
        <v>38822</v>
      </c>
      <c r="J156" t="inlineStr"/>
      <c r="K156" t="inlineStr"/>
      <c r="L156" t="inlineStr"/>
      <c r="M156" t="inlineStr"/>
      <c r="N156" t="n">
        <v>8650</v>
      </c>
    </row>
    <row r="157">
      <c r="A157" s="1" t="n">
        <v>155</v>
      </c>
      <c r="B157" t="n">
        <v>24</v>
      </c>
      <c r="C157" t="inlineStr">
        <is>
          <t>Galeras</t>
        </is>
      </c>
      <c r="D157" t="inlineStr">
        <is>
          <t>GAL_24</t>
        </is>
      </c>
      <c r="E157" t="n">
        <v>600</v>
      </c>
      <c r="F157" t="inlineStr">
        <is>
          <t>Elaeocarpaceae</t>
        </is>
      </c>
      <c r="G157" t="inlineStr">
        <is>
          <t>Sloanea</t>
        </is>
      </c>
      <c r="H157" t="inlineStr">
        <is>
          <t>grandiflora</t>
        </is>
      </c>
      <c r="I157" s="2" t="n">
        <v>38822</v>
      </c>
      <c r="J157" t="n">
        <v>3665</v>
      </c>
      <c r="K157" t="inlineStr"/>
      <c r="L157" t="inlineStr"/>
      <c r="M157" t="inlineStr">
        <is>
          <t>ø</t>
        </is>
      </c>
      <c r="N157" t="n">
        <v>8649</v>
      </c>
    </row>
    <row r="158">
      <c r="A158" s="1" t="n">
        <v>156</v>
      </c>
      <c r="B158" t="n">
        <v>24</v>
      </c>
      <c r="C158" t="inlineStr">
        <is>
          <t>Galeras</t>
        </is>
      </c>
      <c r="D158" t="inlineStr">
        <is>
          <t>GAL_24</t>
        </is>
      </c>
      <c r="E158" t="n">
        <v>601</v>
      </c>
      <c r="F158" t="inlineStr">
        <is>
          <t>Primulaceae</t>
        </is>
      </c>
      <c r="G158" t="inlineStr">
        <is>
          <t>Myrsine</t>
        </is>
      </c>
      <c r="H158" t="inlineStr">
        <is>
          <t>coriaceae</t>
        </is>
      </c>
      <c r="I158" s="2" t="n">
        <v>38822</v>
      </c>
      <c r="J158" t="inlineStr"/>
      <c r="K158" t="inlineStr"/>
      <c r="L158" t="inlineStr"/>
      <c r="M158" t="inlineStr"/>
      <c r="N158" t="inlineStr"/>
    </row>
    <row r="159">
      <c r="A159" s="1" t="n">
        <v>157</v>
      </c>
      <c r="B159" t="n">
        <v>24</v>
      </c>
      <c r="C159" t="inlineStr">
        <is>
          <t>Galeras</t>
        </is>
      </c>
      <c r="D159" t="inlineStr">
        <is>
          <t>GAL_24</t>
        </is>
      </c>
      <c r="E159" t="n">
        <v>602</v>
      </c>
      <c r="F159" t="inlineStr">
        <is>
          <t>Anacardiaceae</t>
        </is>
      </c>
      <c r="G159" t="inlineStr">
        <is>
          <t>Tapirira</t>
        </is>
      </c>
      <c r="H159" t="inlineStr">
        <is>
          <t>guianensis</t>
        </is>
      </c>
      <c r="I159" s="2" t="n">
        <v>38822</v>
      </c>
      <c r="J159" t="n">
        <v>3687</v>
      </c>
      <c r="K159" t="inlineStr"/>
      <c r="L159" t="inlineStr"/>
      <c r="M159" t="inlineStr"/>
      <c r="N159" t="inlineStr"/>
    </row>
    <row r="160">
      <c r="A160" s="1" t="n">
        <v>158</v>
      </c>
      <c r="B160" t="n">
        <v>24</v>
      </c>
      <c r="C160" t="inlineStr">
        <is>
          <t>Galeras</t>
        </is>
      </c>
      <c r="D160" t="inlineStr">
        <is>
          <t>GAL_24</t>
        </is>
      </c>
      <c r="E160" t="n">
        <v>603</v>
      </c>
      <c r="F160" t="inlineStr">
        <is>
          <t>Vochysiaceae</t>
        </is>
      </c>
      <c r="G160" t="inlineStr">
        <is>
          <t>Vochysia</t>
        </is>
      </c>
      <c r="H160" t="inlineStr">
        <is>
          <t>punctata</t>
        </is>
      </c>
      <c r="I160" s="2" t="n">
        <v>38822</v>
      </c>
      <c r="J160" t="n">
        <v>3690</v>
      </c>
      <c r="K160" t="inlineStr"/>
      <c r="L160" t="inlineStr"/>
      <c r="M160" t="inlineStr"/>
      <c r="N160" t="inlineStr"/>
    </row>
    <row r="161">
      <c r="A161" s="1" t="n">
        <v>159</v>
      </c>
      <c r="B161" t="n">
        <v>24</v>
      </c>
      <c r="C161" t="inlineStr">
        <is>
          <t>Galeras</t>
        </is>
      </c>
      <c r="D161" t="inlineStr">
        <is>
          <t>GAL_24</t>
        </is>
      </c>
      <c r="E161" t="n">
        <v>604</v>
      </c>
      <c r="F161" t="inlineStr">
        <is>
          <t>Fabaceae</t>
        </is>
      </c>
      <c r="G161" t="inlineStr">
        <is>
          <t>Parkia</t>
        </is>
      </c>
      <c r="H161" t="inlineStr">
        <is>
          <t>velutina</t>
        </is>
      </c>
      <c r="I161" s="2" t="n">
        <v>38822</v>
      </c>
      <c r="J161" t="inlineStr"/>
      <c r="K161" t="inlineStr"/>
      <c r="L161" t="inlineStr"/>
      <c r="M161" t="inlineStr"/>
      <c r="N161" t="n">
        <v>8648</v>
      </c>
    </row>
    <row r="162">
      <c r="A162" s="1" t="n">
        <v>160</v>
      </c>
      <c r="B162" t="n">
        <v>24</v>
      </c>
      <c r="C162" t="inlineStr">
        <is>
          <t>Galeras</t>
        </is>
      </c>
      <c r="D162" t="inlineStr">
        <is>
          <t>GAL_24</t>
        </is>
      </c>
      <c r="E162" t="n">
        <v>605</v>
      </c>
      <c r="F162" t="inlineStr">
        <is>
          <t>Myristicaceae</t>
        </is>
      </c>
      <c r="G162" t="inlineStr">
        <is>
          <t>Otoba</t>
        </is>
      </c>
      <c r="H162" t="inlineStr">
        <is>
          <t>glycycarpa</t>
        </is>
      </c>
      <c r="I162" s="2" t="n">
        <v>38822</v>
      </c>
      <c r="J162" t="inlineStr"/>
      <c r="K162" t="inlineStr"/>
      <c r="L162" t="inlineStr"/>
      <c r="M162" t="inlineStr"/>
      <c r="N162" t="n">
        <v>8647</v>
      </c>
    </row>
    <row r="163">
      <c r="A163" s="1" t="n">
        <v>161</v>
      </c>
      <c r="B163" t="n">
        <v>24</v>
      </c>
      <c r="C163" t="inlineStr">
        <is>
          <t>Galeras</t>
        </is>
      </c>
      <c r="D163" t="inlineStr">
        <is>
          <t>GAL_24</t>
        </is>
      </c>
      <c r="E163" t="n">
        <v>606</v>
      </c>
      <c r="F163" t="inlineStr">
        <is>
          <t>Phyllanthaceae</t>
        </is>
      </c>
      <c r="G163" t="inlineStr">
        <is>
          <t>Hieronyma</t>
        </is>
      </c>
      <c r="H163" t="inlineStr">
        <is>
          <t>asperifolia</t>
        </is>
      </c>
      <c r="I163" s="2" t="n">
        <v>38822</v>
      </c>
      <c r="J163" t="n">
        <v>3691</v>
      </c>
      <c r="K163" t="inlineStr"/>
      <c r="L163" t="inlineStr"/>
      <c r="M163" t="inlineStr">
        <is>
          <t>ø</t>
        </is>
      </c>
      <c r="N163" t="n">
        <v>8644</v>
      </c>
    </row>
    <row r="164">
      <c r="A164" s="1" t="n">
        <v>162</v>
      </c>
      <c r="B164" t="n">
        <v>24</v>
      </c>
      <c r="C164" t="inlineStr">
        <is>
          <t>Galeras</t>
        </is>
      </c>
      <c r="D164" t="inlineStr">
        <is>
          <t>GAL_24</t>
        </is>
      </c>
      <c r="E164" t="n">
        <v>607</v>
      </c>
      <c r="F164" t="inlineStr">
        <is>
          <t>Salicaceae</t>
        </is>
      </c>
      <c r="G164" t="inlineStr">
        <is>
          <t>Casearia</t>
        </is>
      </c>
      <c r="H164" t="inlineStr"/>
      <c r="I164" s="2" t="n">
        <v>38822</v>
      </c>
      <c r="J164" t="n">
        <v>3692</v>
      </c>
      <c r="K164" t="inlineStr"/>
      <c r="L164" t="inlineStr"/>
      <c r="M164" t="inlineStr"/>
      <c r="N164" t="inlineStr"/>
    </row>
    <row r="165">
      <c r="A165" s="1" t="n">
        <v>163</v>
      </c>
      <c r="B165" t="n">
        <v>24</v>
      </c>
      <c r="C165" t="inlineStr">
        <is>
          <t>Galeras</t>
        </is>
      </c>
      <c r="D165" t="inlineStr">
        <is>
          <t>GAL_24</t>
        </is>
      </c>
      <c r="E165" t="n">
        <v>608</v>
      </c>
      <c r="F165" t="inlineStr">
        <is>
          <t>Arecaceae</t>
        </is>
      </c>
      <c r="G165" t="inlineStr">
        <is>
          <t>Iriartea</t>
        </is>
      </c>
      <c r="H165" t="inlineStr">
        <is>
          <t>deltoidea</t>
        </is>
      </c>
      <c r="I165" s="2" t="n">
        <v>38822</v>
      </c>
      <c r="J165" t="inlineStr"/>
      <c r="K165" t="inlineStr"/>
      <c r="L165" t="inlineStr"/>
      <c r="M165" t="inlineStr"/>
      <c r="N165" t="inlineStr"/>
    </row>
    <row r="166">
      <c r="A166" s="1" t="n">
        <v>164</v>
      </c>
      <c r="B166" t="n">
        <v>24</v>
      </c>
      <c r="C166" t="inlineStr">
        <is>
          <t>Galeras</t>
        </is>
      </c>
      <c r="D166" t="inlineStr">
        <is>
          <t>GAL_24</t>
        </is>
      </c>
      <c r="E166" t="n">
        <v>609</v>
      </c>
      <c r="F166" t="inlineStr">
        <is>
          <t>Lauraceae</t>
        </is>
      </c>
      <c r="G166" t="inlineStr">
        <is>
          <t>Ocotea</t>
        </is>
      </c>
      <c r="H166" t="inlineStr">
        <is>
          <t>insularis</t>
        </is>
      </c>
      <c r="I166" s="2" t="n">
        <v>38822</v>
      </c>
      <c r="J166" t="n">
        <v>3693</v>
      </c>
      <c r="K166" t="inlineStr"/>
      <c r="L166" t="inlineStr"/>
      <c r="M166" t="inlineStr"/>
      <c r="N166" t="n">
        <v>8645</v>
      </c>
    </row>
    <row r="167">
      <c r="A167" s="1" t="n">
        <v>165</v>
      </c>
      <c r="B167" t="n">
        <v>24</v>
      </c>
      <c r="C167" t="inlineStr">
        <is>
          <t>Galeras</t>
        </is>
      </c>
      <c r="D167" t="inlineStr">
        <is>
          <t>GAL_24</t>
        </is>
      </c>
      <c r="E167" t="inlineStr"/>
      <c r="F167" t="inlineStr">
        <is>
          <t>Lauraceae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s="1" t="n">
        <v>166</v>
      </c>
      <c r="B168" t="n">
        <v>24</v>
      </c>
      <c r="C168" t="inlineStr">
        <is>
          <t>Galeras</t>
        </is>
      </c>
      <c r="D168" t="inlineStr">
        <is>
          <t>GAL_24</t>
        </is>
      </c>
      <c r="E168" t="n">
        <v>610</v>
      </c>
      <c r="F168" t="inlineStr">
        <is>
          <t>Sapotaceae</t>
        </is>
      </c>
      <c r="G168" t="inlineStr">
        <is>
          <t>Micropholis</t>
        </is>
      </c>
      <c r="H168" t="inlineStr">
        <is>
          <t>venulosa</t>
        </is>
      </c>
      <c r="I168" s="2" t="n">
        <v>38822</v>
      </c>
      <c r="J168" t="n">
        <v>3694</v>
      </c>
      <c r="K168" t="inlineStr"/>
      <c r="L168" t="inlineStr"/>
      <c r="M168" t="inlineStr"/>
      <c r="N168" t="inlineStr"/>
    </row>
    <row r="169">
      <c r="A169" s="1" t="n">
        <v>167</v>
      </c>
      <c r="B169" t="n">
        <v>24</v>
      </c>
      <c r="C169" t="inlineStr">
        <is>
          <t>Galeras</t>
        </is>
      </c>
      <c r="D169" t="inlineStr">
        <is>
          <t>GAL_24</t>
        </is>
      </c>
      <c r="E169" t="n">
        <v>611</v>
      </c>
      <c r="F169" t="inlineStr">
        <is>
          <t>Melastomataceae</t>
        </is>
      </c>
      <c r="G169" t="inlineStr"/>
      <c r="H169" t="inlineStr"/>
      <c r="I169" s="2" t="n">
        <v>38822</v>
      </c>
      <c r="J169" t="n">
        <v>2067</v>
      </c>
      <c r="K169" t="n">
        <v>1</v>
      </c>
      <c r="L169" t="inlineStr"/>
      <c r="M169" t="inlineStr">
        <is>
          <t>ø</t>
        </is>
      </c>
      <c r="N169" t="n">
        <v>8643</v>
      </c>
    </row>
    <row r="170">
      <c r="A170" s="1" t="n">
        <v>168</v>
      </c>
      <c r="B170" t="n">
        <v>25</v>
      </c>
      <c r="C170" t="inlineStr">
        <is>
          <t>Galeras</t>
        </is>
      </c>
      <c r="D170" t="inlineStr">
        <is>
          <t>GAL_25</t>
        </is>
      </c>
      <c r="E170" t="n">
        <v>612</v>
      </c>
      <c r="F170" t="inlineStr">
        <is>
          <t>Chrysobalanaceae</t>
        </is>
      </c>
      <c r="G170" t="inlineStr">
        <is>
          <t>Hirtella</t>
        </is>
      </c>
      <c r="H170" t="inlineStr">
        <is>
          <t>americana</t>
        </is>
      </c>
      <c r="I170" s="2" t="n">
        <v>38821</v>
      </c>
      <c r="J170" t="n">
        <v>2091</v>
      </c>
      <c r="K170" t="inlineStr"/>
      <c r="L170" t="inlineStr"/>
      <c r="M170" t="inlineStr"/>
      <c r="N170" t="inlineStr"/>
    </row>
    <row r="171">
      <c r="A171" s="1" t="n">
        <v>169</v>
      </c>
      <c r="B171" t="n">
        <v>25</v>
      </c>
      <c r="C171" t="inlineStr">
        <is>
          <t>Galeras</t>
        </is>
      </c>
      <c r="D171" t="inlineStr">
        <is>
          <t>GAL_25</t>
        </is>
      </c>
      <c r="E171" t="n">
        <v>613</v>
      </c>
      <c r="F171" t="inlineStr">
        <is>
          <t>Chrysobalanaceae</t>
        </is>
      </c>
      <c r="G171" t="inlineStr">
        <is>
          <t>Hirtella</t>
        </is>
      </c>
      <c r="H171" t="inlineStr">
        <is>
          <t>americana</t>
        </is>
      </c>
      <c r="I171" s="2" t="n">
        <v>38821</v>
      </c>
      <c r="J171" t="n">
        <v>2091</v>
      </c>
      <c r="K171" t="inlineStr"/>
      <c r="L171" t="inlineStr"/>
      <c r="M171" t="inlineStr"/>
      <c r="N171" t="inlineStr"/>
    </row>
    <row r="172">
      <c r="A172" s="1" t="n">
        <v>170</v>
      </c>
      <c r="B172" t="n">
        <v>25</v>
      </c>
      <c r="C172" t="inlineStr">
        <is>
          <t>Galeras</t>
        </is>
      </c>
      <c r="D172" t="inlineStr">
        <is>
          <t>GAL_25</t>
        </is>
      </c>
      <c r="E172" t="n">
        <v>614</v>
      </c>
      <c r="F172" t="inlineStr">
        <is>
          <t>Clusiaceae</t>
        </is>
      </c>
      <c r="G172" t="inlineStr">
        <is>
          <t>Chrysochlamys</t>
        </is>
      </c>
      <c r="H172" t="inlineStr"/>
      <c r="I172" s="2" t="n">
        <v>38821</v>
      </c>
      <c r="J172" t="n">
        <v>2090</v>
      </c>
      <c r="K172" t="inlineStr"/>
      <c r="L172" t="inlineStr"/>
      <c r="M172" t="inlineStr"/>
      <c r="N172" t="inlineStr"/>
    </row>
    <row r="173">
      <c r="A173" s="1" t="n">
        <v>171</v>
      </c>
      <c r="B173" t="n">
        <v>25</v>
      </c>
      <c r="C173" t="inlineStr">
        <is>
          <t>Galeras</t>
        </is>
      </c>
      <c r="D173" t="inlineStr">
        <is>
          <t>GAL_25</t>
        </is>
      </c>
      <c r="E173" t="n">
        <v>615</v>
      </c>
      <c r="F173" t="inlineStr">
        <is>
          <t>Sapotaceae</t>
        </is>
      </c>
      <c r="G173" t="inlineStr">
        <is>
          <t>Pouteria</t>
        </is>
      </c>
      <c r="H173" t="inlineStr"/>
      <c r="I173" s="2" t="n">
        <v>38821</v>
      </c>
      <c r="J173" t="n">
        <v>3600</v>
      </c>
      <c r="K173" t="inlineStr"/>
      <c r="L173" t="inlineStr"/>
      <c r="M173" t="inlineStr"/>
      <c r="N173" t="inlineStr"/>
    </row>
    <row r="174">
      <c r="A174" s="1" t="n">
        <v>172</v>
      </c>
      <c r="B174" t="n">
        <v>25</v>
      </c>
      <c r="C174" t="inlineStr">
        <is>
          <t>Galeras</t>
        </is>
      </c>
      <c r="D174" t="inlineStr">
        <is>
          <t>GAL_25</t>
        </is>
      </c>
      <c r="E174" t="n">
        <v>617</v>
      </c>
      <c r="F174" t="inlineStr">
        <is>
          <t>Fabaceae</t>
        </is>
      </c>
      <c r="G174" t="inlineStr">
        <is>
          <t>Inga</t>
        </is>
      </c>
      <c r="H174" t="inlineStr">
        <is>
          <t>cf venusta</t>
        </is>
      </c>
      <c r="I174" s="2" t="n">
        <v>38821</v>
      </c>
      <c r="J174" t="n">
        <v>2097</v>
      </c>
      <c r="K174" t="inlineStr"/>
      <c r="L174" t="inlineStr"/>
      <c r="M174" t="inlineStr"/>
      <c r="N174" t="inlineStr"/>
    </row>
    <row r="175">
      <c r="A175" s="1" t="n">
        <v>173</v>
      </c>
      <c r="B175" t="n">
        <v>25</v>
      </c>
      <c r="C175" t="inlineStr">
        <is>
          <t>Galeras</t>
        </is>
      </c>
      <c r="D175" t="inlineStr">
        <is>
          <t>GAL_25</t>
        </is>
      </c>
      <c r="E175" t="n">
        <v>618</v>
      </c>
      <c r="F175" t="inlineStr">
        <is>
          <t>Lacistemataceae</t>
        </is>
      </c>
      <c r="G175" t="inlineStr">
        <is>
          <t>Lozania</t>
        </is>
      </c>
      <c r="H175" t="inlineStr">
        <is>
          <t>klugii</t>
        </is>
      </c>
      <c r="I175" s="2" t="n">
        <v>38821</v>
      </c>
      <c r="J175" t="n">
        <v>2108</v>
      </c>
      <c r="K175" t="n">
        <v>1</v>
      </c>
      <c r="L175" t="inlineStr"/>
      <c r="M175" t="inlineStr"/>
      <c r="N175" t="inlineStr"/>
    </row>
    <row r="176">
      <c r="A176" s="1" t="n">
        <v>174</v>
      </c>
      <c r="B176" t="n">
        <v>25</v>
      </c>
      <c r="C176" t="inlineStr">
        <is>
          <t>Galeras</t>
        </is>
      </c>
      <c r="D176" t="inlineStr">
        <is>
          <t>GAL_25</t>
        </is>
      </c>
      <c r="E176" t="n">
        <v>619</v>
      </c>
      <c r="F176" t="inlineStr">
        <is>
          <t>indet</t>
        </is>
      </c>
      <c r="G176" t="inlineStr"/>
      <c r="H176" t="inlineStr"/>
      <c r="I176" s="2" t="n">
        <v>38821</v>
      </c>
      <c r="J176" t="inlineStr"/>
      <c r="K176" t="inlineStr"/>
      <c r="L176" t="inlineStr"/>
      <c r="M176" t="inlineStr"/>
      <c r="N176" t="inlineStr"/>
    </row>
    <row r="177">
      <c r="A177" s="1" t="n">
        <v>175</v>
      </c>
      <c r="B177" t="n">
        <v>25</v>
      </c>
      <c r="C177" t="inlineStr">
        <is>
          <t>Galeras</t>
        </is>
      </c>
      <c r="D177" t="inlineStr">
        <is>
          <t>GAL_25</t>
        </is>
      </c>
      <c r="E177" t="n">
        <v>620</v>
      </c>
      <c r="F177" t="inlineStr">
        <is>
          <t>Euphorbiaceae</t>
        </is>
      </c>
      <c r="G177" t="inlineStr">
        <is>
          <t>Croton</t>
        </is>
      </c>
      <c r="H177" t="inlineStr">
        <is>
          <t>tessmannii</t>
        </is>
      </c>
      <c r="I177" s="2" t="n">
        <v>38821</v>
      </c>
      <c r="J177" t="inlineStr"/>
      <c r="K177" t="n">
        <v>1</v>
      </c>
      <c r="L177" t="inlineStr"/>
      <c r="M177" t="inlineStr"/>
      <c r="N177" t="inlineStr"/>
    </row>
    <row r="178">
      <c r="A178" s="1" t="n">
        <v>176</v>
      </c>
      <c r="B178" t="n">
        <v>25</v>
      </c>
      <c r="C178" t="inlineStr">
        <is>
          <t>Galeras</t>
        </is>
      </c>
      <c r="D178" t="inlineStr">
        <is>
          <t>GAL_25</t>
        </is>
      </c>
      <c r="E178" t="n">
        <v>621</v>
      </c>
      <c r="F178" t="inlineStr">
        <is>
          <t>Sapotaceae</t>
        </is>
      </c>
      <c r="G178" t="inlineStr"/>
      <c r="H178" t="inlineStr"/>
      <c r="I178" s="2" t="n">
        <v>38821</v>
      </c>
      <c r="J178" t="inlineStr"/>
      <c r="K178" t="inlineStr"/>
      <c r="L178" t="inlineStr"/>
      <c r="M178" t="inlineStr"/>
      <c r="N178" t="inlineStr"/>
    </row>
    <row r="179">
      <c r="A179" s="1" t="n">
        <v>177</v>
      </c>
      <c r="B179" t="n">
        <v>25</v>
      </c>
      <c r="C179" t="inlineStr">
        <is>
          <t>Galeras</t>
        </is>
      </c>
      <c r="D179" t="inlineStr">
        <is>
          <t>GAL_25</t>
        </is>
      </c>
      <c r="E179" t="n">
        <v>622</v>
      </c>
      <c r="F179" t="inlineStr">
        <is>
          <t>Elaeocarpaceae</t>
        </is>
      </c>
      <c r="G179" t="inlineStr">
        <is>
          <t>Sloanea</t>
        </is>
      </c>
      <c r="H179" t="inlineStr"/>
      <c r="I179" s="2" t="n">
        <v>38821</v>
      </c>
      <c r="J179" t="inlineStr"/>
      <c r="K179" t="inlineStr"/>
      <c r="L179" t="inlineStr"/>
      <c r="M179" t="inlineStr"/>
      <c r="N179" t="inlineStr"/>
    </row>
    <row r="180">
      <c r="A180" s="1" t="n">
        <v>178</v>
      </c>
      <c r="B180" t="n">
        <v>25</v>
      </c>
      <c r="C180" t="inlineStr">
        <is>
          <t>Galeras</t>
        </is>
      </c>
      <c r="D180" t="inlineStr">
        <is>
          <t>GAL_25</t>
        </is>
      </c>
      <c r="E180" t="n">
        <v>623</v>
      </c>
      <c r="F180" t="inlineStr">
        <is>
          <t>Myristicaceae</t>
        </is>
      </c>
      <c r="G180" t="inlineStr">
        <is>
          <t>Otoba</t>
        </is>
      </c>
      <c r="H180" t="inlineStr">
        <is>
          <t>glycycarpa</t>
        </is>
      </c>
      <c r="I180" s="2" t="n">
        <v>38821</v>
      </c>
      <c r="J180" t="n">
        <v>3564</v>
      </c>
      <c r="K180" t="inlineStr"/>
      <c r="L180" t="inlineStr"/>
      <c r="M180" t="inlineStr"/>
      <c r="N180" t="inlineStr"/>
    </row>
    <row r="181">
      <c r="A181" s="1" t="n">
        <v>179</v>
      </c>
      <c r="B181" t="n">
        <v>25</v>
      </c>
      <c r="C181" t="inlineStr">
        <is>
          <t>Galeras</t>
        </is>
      </c>
      <c r="D181" t="inlineStr">
        <is>
          <t>GAL_25</t>
        </is>
      </c>
      <c r="E181" t="n">
        <v>624</v>
      </c>
      <c r="F181" t="inlineStr">
        <is>
          <t>Phyllanthaceae</t>
        </is>
      </c>
      <c r="G181" t="inlineStr">
        <is>
          <t>Hieronyma</t>
        </is>
      </c>
      <c r="H181" t="inlineStr">
        <is>
          <t>oblonga</t>
        </is>
      </c>
      <c r="I181" s="2" t="n">
        <v>38821</v>
      </c>
      <c r="J181" t="inlineStr"/>
      <c r="K181" t="inlineStr"/>
      <c r="L181" t="inlineStr"/>
      <c r="M181" t="inlineStr"/>
      <c r="N181" t="inlineStr"/>
    </row>
    <row r="182">
      <c r="A182" s="1" t="n">
        <v>180</v>
      </c>
      <c r="B182" t="n">
        <v>25</v>
      </c>
      <c r="C182" t="inlineStr">
        <is>
          <t>Galeras</t>
        </is>
      </c>
      <c r="D182" t="inlineStr">
        <is>
          <t>GAL_25</t>
        </is>
      </c>
      <c r="E182" t="n">
        <v>625</v>
      </c>
      <c r="F182" t="inlineStr">
        <is>
          <t>Arecaceae</t>
        </is>
      </c>
      <c r="G182" t="inlineStr">
        <is>
          <t>Dictyocaryum</t>
        </is>
      </c>
      <c r="H182" t="inlineStr">
        <is>
          <t>lamarckianum</t>
        </is>
      </c>
      <c r="I182" s="2" t="n">
        <v>38821</v>
      </c>
      <c r="J182" t="inlineStr"/>
      <c r="K182" t="inlineStr"/>
      <c r="L182" t="inlineStr"/>
      <c r="M182" t="inlineStr"/>
      <c r="N182" t="inlineStr"/>
    </row>
    <row r="183">
      <c r="A183" s="1" t="n">
        <v>181</v>
      </c>
      <c r="B183" t="n">
        <v>25</v>
      </c>
      <c r="C183" t="inlineStr">
        <is>
          <t>Galeras</t>
        </is>
      </c>
      <c r="D183" t="inlineStr">
        <is>
          <t>GAL_25</t>
        </is>
      </c>
      <c r="E183" t="n">
        <v>626</v>
      </c>
      <c r="F183" t="inlineStr">
        <is>
          <t>Arecaceae</t>
        </is>
      </c>
      <c r="G183" t="inlineStr">
        <is>
          <t>Socratea</t>
        </is>
      </c>
      <c r="H183" t="inlineStr">
        <is>
          <t>exorrhiza</t>
        </is>
      </c>
      <c r="I183" s="2" t="n">
        <v>38821</v>
      </c>
      <c r="J183" t="inlineStr"/>
      <c r="K183" t="inlineStr"/>
      <c r="L183" t="inlineStr"/>
      <c r="M183" t="inlineStr"/>
      <c r="N183" t="inlineStr"/>
    </row>
    <row r="184">
      <c r="A184" s="1" t="n">
        <v>182</v>
      </c>
      <c r="B184" t="n">
        <v>25</v>
      </c>
      <c r="C184" t="inlineStr">
        <is>
          <t>Galeras</t>
        </is>
      </c>
      <c r="D184" t="inlineStr">
        <is>
          <t>GAL_25</t>
        </is>
      </c>
      <c r="E184" t="n">
        <v>627</v>
      </c>
      <c r="F184" t="inlineStr">
        <is>
          <t>Sapotaceae</t>
        </is>
      </c>
      <c r="G184" t="inlineStr">
        <is>
          <t>Pouteria</t>
        </is>
      </c>
      <c r="H184" t="inlineStr">
        <is>
          <t>cuspidata</t>
        </is>
      </c>
      <c r="I184" s="2" t="n">
        <v>38821</v>
      </c>
      <c r="J184" t="inlineStr"/>
      <c r="K184" t="inlineStr"/>
      <c r="L184" t="inlineStr"/>
      <c r="M184" t="inlineStr"/>
      <c r="N184" t="inlineStr"/>
    </row>
    <row r="185">
      <c r="A185" s="1" t="n">
        <v>183</v>
      </c>
      <c r="B185" t="n">
        <v>25</v>
      </c>
      <c r="C185" t="inlineStr">
        <is>
          <t>Galeras</t>
        </is>
      </c>
      <c r="D185" t="inlineStr">
        <is>
          <t>GAL_25</t>
        </is>
      </c>
      <c r="E185" t="n">
        <v>628</v>
      </c>
      <c r="F185" t="inlineStr">
        <is>
          <t>Arecaceae</t>
        </is>
      </c>
      <c r="G185" t="inlineStr">
        <is>
          <t>Dictyocaryum</t>
        </is>
      </c>
      <c r="H185" t="inlineStr">
        <is>
          <t>lamarckianum</t>
        </is>
      </c>
      <c r="I185" s="2" t="n">
        <v>38821</v>
      </c>
      <c r="J185" t="inlineStr"/>
      <c r="K185" t="inlineStr"/>
      <c r="L185" t="inlineStr"/>
      <c r="M185" t="inlineStr"/>
      <c r="N185" t="inlineStr"/>
    </row>
    <row r="186">
      <c r="A186" s="1" t="n">
        <v>184</v>
      </c>
      <c r="B186" t="n">
        <v>25</v>
      </c>
      <c r="C186" t="inlineStr">
        <is>
          <t>Galeras</t>
        </is>
      </c>
      <c r="D186" t="inlineStr">
        <is>
          <t>GAL_25</t>
        </is>
      </c>
      <c r="E186" t="n">
        <v>629</v>
      </c>
      <c r="F186" t="inlineStr">
        <is>
          <t>Fabaceae</t>
        </is>
      </c>
      <c r="G186" t="inlineStr">
        <is>
          <t>Inga</t>
        </is>
      </c>
      <c r="H186" t="inlineStr">
        <is>
          <t>umbellifera</t>
        </is>
      </c>
      <c r="I186" s="2" t="n">
        <v>38821</v>
      </c>
      <c r="J186" t="n">
        <v>3649</v>
      </c>
      <c r="K186" t="inlineStr"/>
      <c r="L186" t="inlineStr"/>
      <c r="M186" t="inlineStr"/>
      <c r="N186" t="inlineStr"/>
    </row>
    <row r="187">
      <c r="A187" s="1" t="n">
        <v>185</v>
      </c>
      <c r="B187" t="n">
        <v>25</v>
      </c>
      <c r="C187" t="inlineStr">
        <is>
          <t>Galeras</t>
        </is>
      </c>
      <c r="D187" t="inlineStr">
        <is>
          <t>GAL_25</t>
        </is>
      </c>
      <c r="E187" t="n">
        <v>630</v>
      </c>
      <c r="F187" t="inlineStr">
        <is>
          <t>indet</t>
        </is>
      </c>
      <c r="G187" t="inlineStr"/>
      <c r="H187" t="inlineStr"/>
      <c r="I187" s="2" t="n">
        <v>38821</v>
      </c>
      <c r="J187" t="inlineStr"/>
      <c r="K187" t="inlineStr"/>
      <c r="L187" t="inlineStr"/>
      <c r="M187" t="inlineStr"/>
      <c r="N187" t="inlineStr"/>
    </row>
    <row r="188">
      <c r="A188" s="1" t="n">
        <v>186</v>
      </c>
      <c r="B188" t="n">
        <v>25</v>
      </c>
      <c r="C188" t="inlineStr">
        <is>
          <t>Galeras</t>
        </is>
      </c>
      <c r="D188" t="inlineStr">
        <is>
          <t>GAL_25</t>
        </is>
      </c>
      <c r="E188" t="n">
        <v>631</v>
      </c>
      <c r="F188" t="inlineStr">
        <is>
          <t>Elaeocarpaceae</t>
        </is>
      </c>
      <c r="G188" t="inlineStr">
        <is>
          <t>Sloanea</t>
        </is>
      </c>
      <c r="H188" t="inlineStr">
        <is>
          <t>grandiflora</t>
        </is>
      </c>
      <c r="I188" s="2" t="n">
        <v>38821</v>
      </c>
      <c r="J188" t="n">
        <v>3665</v>
      </c>
      <c r="K188" t="inlineStr"/>
      <c r="L188" t="inlineStr"/>
      <c r="M188" t="inlineStr"/>
      <c r="N188" t="inlineStr"/>
    </row>
    <row r="189">
      <c r="A189" s="1" t="n">
        <v>187</v>
      </c>
      <c r="B189" t="n">
        <v>25</v>
      </c>
      <c r="C189" t="inlineStr">
        <is>
          <t>Galeras</t>
        </is>
      </c>
      <c r="D189" t="inlineStr">
        <is>
          <t>GAL_25</t>
        </is>
      </c>
      <c r="E189" t="n">
        <v>632</v>
      </c>
      <c r="F189" t="inlineStr">
        <is>
          <t>Moraceae</t>
        </is>
      </c>
      <c r="G189" t="inlineStr"/>
      <c r="H189" t="inlineStr"/>
      <c r="I189" s="2" t="n">
        <v>38821</v>
      </c>
      <c r="J189" t="inlineStr"/>
      <c r="K189" t="inlineStr"/>
      <c r="L189" t="inlineStr"/>
      <c r="M189" t="inlineStr"/>
      <c r="N189" t="inlineStr"/>
    </row>
    <row r="190">
      <c r="A190" s="1" t="n">
        <v>188</v>
      </c>
      <c r="B190" t="n">
        <v>25</v>
      </c>
      <c r="C190" t="inlineStr">
        <is>
          <t>Galeras</t>
        </is>
      </c>
      <c r="D190" t="inlineStr">
        <is>
          <t>GAL_25</t>
        </is>
      </c>
      <c r="E190" t="n">
        <v>633</v>
      </c>
      <c r="F190" t="inlineStr">
        <is>
          <t>Simaroubaceae</t>
        </is>
      </c>
      <c r="G190" t="inlineStr">
        <is>
          <t>Simarouba</t>
        </is>
      </c>
      <c r="H190" t="inlineStr">
        <is>
          <t>amara</t>
        </is>
      </c>
      <c r="I190" s="2" t="n">
        <v>38821</v>
      </c>
      <c r="J190" t="n">
        <v>3623</v>
      </c>
      <c r="K190" t="inlineStr"/>
      <c r="L190" t="inlineStr"/>
      <c r="M190" t="inlineStr"/>
      <c r="N190" t="inlineStr"/>
    </row>
    <row r="191">
      <c r="A191" s="1" t="n">
        <v>189</v>
      </c>
      <c r="B191" t="n">
        <v>25</v>
      </c>
      <c r="C191" t="inlineStr">
        <is>
          <t>Galeras</t>
        </is>
      </c>
      <c r="D191" t="inlineStr">
        <is>
          <t>GAL_25</t>
        </is>
      </c>
      <c r="E191" t="n">
        <v>634</v>
      </c>
      <c r="F191" t="inlineStr">
        <is>
          <t>Annonaceae</t>
        </is>
      </c>
      <c r="G191" t="inlineStr">
        <is>
          <t>Guatteria</t>
        </is>
      </c>
      <c r="H191" t="inlineStr">
        <is>
          <t>pastazae</t>
        </is>
      </c>
      <c r="I191" s="2" t="n">
        <v>38821</v>
      </c>
      <c r="J191" t="inlineStr">
        <is>
          <t>3633 &amp; 2098</t>
        </is>
      </c>
      <c r="K191" t="inlineStr"/>
      <c r="L191" t="inlineStr"/>
      <c r="M191" t="inlineStr"/>
      <c r="N191" t="inlineStr"/>
    </row>
    <row r="192">
      <c r="A192" s="1" t="n">
        <v>190</v>
      </c>
      <c r="B192" t="n">
        <v>25</v>
      </c>
      <c r="C192" t="inlineStr">
        <is>
          <t>Galeras</t>
        </is>
      </c>
      <c r="D192" t="inlineStr">
        <is>
          <t>GAL_25</t>
        </is>
      </c>
      <c r="E192" t="n">
        <v>635</v>
      </c>
      <c r="F192" t="inlineStr">
        <is>
          <t>Malvaceae</t>
        </is>
      </c>
      <c r="G192" t="inlineStr">
        <is>
          <t>Matisia</t>
        </is>
      </c>
      <c r="H192" t="inlineStr">
        <is>
          <t>idroboi</t>
        </is>
      </c>
      <c r="I192" s="2" t="n">
        <v>38821</v>
      </c>
      <c r="J192" t="n">
        <v>3650</v>
      </c>
      <c r="K192" t="inlineStr"/>
      <c r="L192" t="inlineStr"/>
      <c r="M192" t="inlineStr"/>
      <c r="N192" t="inlineStr"/>
    </row>
    <row r="193">
      <c r="A193" s="1" t="n">
        <v>191</v>
      </c>
      <c r="B193" t="n">
        <v>25</v>
      </c>
      <c r="C193" t="inlineStr">
        <is>
          <t>Galeras</t>
        </is>
      </c>
      <c r="D193" t="inlineStr">
        <is>
          <t>GAL_25</t>
        </is>
      </c>
      <c r="E193" t="n">
        <v>636</v>
      </c>
      <c r="F193" t="inlineStr">
        <is>
          <t>Arecaceae</t>
        </is>
      </c>
      <c r="G193" t="inlineStr">
        <is>
          <t>Wettinia</t>
        </is>
      </c>
      <c r="H193" t="inlineStr">
        <is>
          <t>anomala</t>
        </is>
      </c>
      <c r="I193" s="2" t="n">
        <v>38821</v>
      </c>
      <c r="J193" t="inlineStr"/>
      <c r="K193" t="inlineStr"/>
      <c r="L193" t="inlineStr"/>
      <c r="M193" t="inlineStr"/>
      <c r="N193" t="inlineStr"/>
    </row>
    <row r="194">
      <c r="A194" s="1" t="n">
        <v>192</v>
      </c>
      <c r="B194" t="n">
        <v>25</v>
      </c>
      <c r="C194" t="inlineStr">
        <is>
          <t>Galeras</t>
        </is>
      </c>
      <c r="D194" t="inlineStr">
        <is>
          <t>GAL_25</t>
        </is>
      </c>
      <c r="E194" t="n">
        <v>637</v>
      </c>
      <c r="F194" t="inlineStr">
        <is>
          <t>Clusiaceae</t>
        </is>
      </c>
      <c r="G194" t="inlineStr">
        <is>
          <t>Tovomita</t>
        </is>
      </c>
      <c r="H194" t="inlineStr">
        <is>
          <t>weddeliana</t>
        </is>
      </c>
      <c r="I194" s="2" t="n">
        <v>38821</v>
      </c>
      <c r="J194" t="inlineStr"/>
      <c r="K194" t="inlineStr"/>
      <c r="L194" t="inlineStr"/>
      <c r="M194" t="inlineStr"/>
      <c r="N194" t="inlineStr"/>
    </row>
    <row r="195">
      <c r="A195" s="1" t="n">
        <v>193</v>
      </c>
      <c r="B195" t="n">
        <v>25</v>
      </c>
      <c r="C195" t="inlineStr">
        <is>
          <t>Galeras</t>
        </is>
      </c>
      <c r="D195" t="inlineStr">
        <is>
          <t>GAL_25</t>
        </is>
      </c>
      <c r="E195" t="n">
        <v>638</v>
      </c>
      <c r="F195" t="inlineStr">
        <is>
          <t>Sapotaceae</t>
        </is>
      </c>
      <c r="G195" t="inlineStr">
        <is>
          <t>Pouteria</t>
        </is>
      </c>
      <c r="H195" t="inlineStr">
        <is>
          <t>cuspidata</t>
        </is>
      </c>
      <c r="I195" s="2" t="n">
        <v>38821</v>
      </c>
      <c r="J195" t="inlineStr"/>
      <c r="K195" t="inlineStr"/>
      <c r="L195" t="inlineStr"/>
      <c r="M195" t="inlineStr"/>
      <c r="N195" t="inlineStr"/>
    </row>
    <row r="196">
      <c r="A196" s="1" t="n">
        <v>194</v>
      </c>
      <c r="B196" t="n">
        <v>25</v>
      </c>
      <c r="C196" t="inlineStr">
        <is>
          <t>Galeras</t>
        </is>
      </c>
      <c r="D196" t="inlineStr">
        <is>
          <t>GAL_25</t>
        </is>
      </c>
      <c r="E196" t="n">
        <v>639</v>
      </c>
      <c r="F196" t="inlineStr">
        <is>
          <t>Fabaceae</t>
        </is>
      </c>
      <c r="G196" t="inlineStr">
        <is>
          <t>Inga</t>
        </is>
      </c>
      <c r="H196" t="inlineStr"/>
      <c r="I196" s="2" t="n">
        <v>38821</v>
      </c>
      <c r="J196">
        <f>3628,2099</f>
        <v/>
      </c>
      <c r="K196" t="n">
        <v>1</v>
      </c>
      <c r="L196" t="inlineStr"/>
      <c r="M196" t="inlineStr"/>
      <c r="N196" t="inlineStr"/>
    </row>
    <row r="197">
      <c r="A197" s="1" t="n">
        <v>195</v>
      </c>
      <c r="B197" t="n">
        <v>25</v>
      </c>
      <c r="C197" t="inlineStr">
        <is>
          <t>Galeras</t>
        </is>
      </c>
      <c r="D197" t="inlineStr">
        <is>
          <t>GAL_25</t>
        </is>
      </c>
      <c r="E197" t="n">
        <v>640</v>
      </c>
      <c r="F197" t="inlineStr">
        <is>
          <t>Arecaceae</t>
        </is>
      </c>
      <c r="G197" t="inlineStr">
        <is>
          <t>Dictyocaryum</t>
        </is>
      </c>
      <c r="H197" t="inlineStr">
        <is>
          <t>lamarckianum</t>
        </is>
      </c>
      <c r="I197" s="2" t="n">
        <v>38821</v>
      </c>
      <c r="J197" t="inlineStr"/>
      <c r="K197" t="inlineStr"/>
      <c r="L197" t="inlineStr"/>
      <c r="M197" t="inlineStr"/>
      <c r="N197" t="inlineStr"/>
    </row>
    <row r="198">
      <c r="A198" s="1" t="n">
        <v>196</v>
      </c>
      <c r="B198" t="n">
        <v>25</v>
      </c>
      <c r="C198" t="inlineStr">
        <is>
          <t>Galeras</t>
        </is>
      </c>
      <c r="D198" t="inlineStr">
        <is>
          <t>GAL_25</t>
        </is>
      </c>
      <c r="E198" t="n">
        <v>641</v>
      </c>
      <c r="F198" t="inlineStr">
        <is>
          <t>Sapotaceae</t>
        </is>
      </c>
      <c r="G198" t="inlineStr">
        <is>
          <t>Pouteria</t>
        </is>
      </c>
      <c r="H198" t="inlineStr">
        <is>
          <t>cuspidata</t>
        </is>
      </c>
      <c r="I198" s="2" t="n">
        <v>38821</v>
      </c>
      <c r="J198" t="n">
        <v>2100</v>
      </c>
      <c r="K198" t="n">
        <v>1</v>
      </c>
      <c r="L198" t="inlineStr"/>
      <c r="M198" t="inlineStr"/>
      <c r="N198" t="inlineStr"/>
    </row>
    <row r="199">
      <c r="A199" s="1" t="n">
        <v>197</v>
      </c>
      <c r="B199" t="n">
        <v>25</v>
      </c>
      <c r="C199" t="inlineStr">
        <is>
          <t>Galeras</t>
        </is>
      </c>
      <c r="D199" t="inlineStr">
        <is>
          <t>GAL_25</t>
        </is>
      </c>
      <c r="E199" t="n">
        <v>642</v>
      </c>
      <c r="F199" t="inlineStr">
        <is>
          <t>indet</t>
        </is>
      </c>
      <c r="G199" t="inlineStr"/>
      <c r="H199" t="inlineStr"/>
      <c r="I199" s="2" t="n">
        <v>38821</v>
      </c>
      <c r="J199" t="inlineStr"/>
      <c r="K199" t="inlineStr"/>
      <c r="L199" t="inlineStr"/>
      <c r="M199" t="inlineStr"/>
      <c r="N199" t="inlineStr"/>
    </row>
    <row r="200">
      <c r="A200" s="1" t="n">
        <v>198</v>
      </c>
      <c r="B200" t="n">
        <v>25</v>
      </c>
      <c r="C200" t="inlineStr">
        <is>
          <t>Galeras</t>
        </is>
      </c>
      <c r="D200" t="inlineStr">
        <is>
          <t>GAL_25</t>
        </is>
      </c>
      <c r="E200" t="n">
        <v>643</v>
      </c>
      <c r="F200" t="inlineStr">
        <is>
          <t>Arecaceae</t>
        </is>
      </c>
      <c r="G200" t="inlineStr">
        <is>
          <t>Dictyocaryum</t>
        </is>
      </c>
      <c r="H200" t="inlineStr">
        <is>
          <t>lamarckianum</t>
        </is>
      </c>
      <c r="I200" s="2" t="n">
        <v>38821</v>
      </c>
      <c r="J200" t="inlineStr"/>
      <c r="K200" t="inlineStr"/>
      <c r="L200" t="inlineStr"/>
      <c r="M200" t="inlineStr"/>
      <c r="N200" t="inlineStr"/>
    </row>
    <row r="201">
      <c r="A201" s="1" t="n">
        <v>199</v>
      </c>
      <c r="B201" t="n">
        <v>25</v>
      </c>
      <c r="C201" t="inlineStr">
        <is>
          <t>Galeras</t>
        </is>
      </c>
      <c r="D201" t="inlineStr">
        <is>
          <t>GAL_25</t>
        </is>
      </c>
      <c r="E201" t="n">
        <v>644</v>
      </c>
      <c r="F201" t="inlineStr">
        <is>
          <t>indet</t>
        </is>
      </c>
      <c r="G201" t="inlineStr"/>
      <c r="H201" t="inlineStr"/>
      <c r="I201" s="2" t="n">
        <v>38821</v>
      </c>
      <c r="J201" t="n">
        <v>2105</v>
      </c>
      <c r="K201" t="n">
        <v>1</v>
      </c>
      <c r="L201" t="inlineStr"/>
      <c r="M201" t="inlineStr"/>
      <c r="N201" t="inlineStr"/>
    </row>
    <row r="202">
      <c r="A202" s="1" t="n">
        <v>200</v>
      </c>
      <c r="B202" t="n">
        <v>25</v>
      </c>
      <c r="C202" t="inlineStr">
        <is>
          <t>Galeras</t>
        </is>
      </c>
      <c r="D202" t="inlineStr">
        <is>
          <t>GAL_25</t>
        </is>
      </c>
      <c r="E202" t="n">
        <v>645</v>
      </c>
      <c r="F202" t="inlineStr">
        <is>
          <t>Rubiaceae</t>
        </is>
      </c>
      <c r="G202" t="inlineStr">
        <is>
          <t>Faramea</t>
        </is>
      </c>
      <c r="H202" t="inlineStr">
        <is>
          <t>cuencana</t>
        </is>
      </c>
      <c r="I202" s="2" t="n">
        <v>38821</v>
      </c>
      <c r="J202" t="n">
        <v>2106</v>
      </c>
      <c r="K202" t="inlineStr"/>
      <c r="L202" t="inlineStr"/>
      <c r="M202" t="inlineStr"/>
      <c r="N202" t="inlineStr"/>
    </row>
    <row r="203">
      <c r="A203" s="1" t="n">
        <v>201</v>
      </c>
      <c r="B203" t="n">
        <v>25</v>
      </c>
      <c r="C203" t="inlineStr">
        <is>
          <t>Galeras</t>
        </is>
      </c>
      <c r="D203" t="inlineStr">
        <is>
          <t>GAL_25</t>
        </is>
      </c>
      <c r="E203" t="n">
        <v>646</v>
      </c>
      <c r="F203" t="inlineStr">
        <is>
          <t>Myristicaceae</t>
        </is>
      </c>
      <c r="G203" t="inlineStr">
        <is>
          <t>Otoba</t>
        </is>
      </c>
      <c r="H203" t="inlineStr">
        <is>
          <t>glycycarpa</t>
        </is>
      </c>
      <c r="I203" s="2" t="n">
        <v>38821</v>
      </c>
      <c r="J203" t="n">
        <v>2107</v>
      </c>
      <c r="K203" t="inlineStr"/>
      <c r="L203" t="inlineStr"/>
      <c r="M203" t="inlineStr"/>
      <c r="N203" t="inlineStr"/>
    </row>
    <row r="204">
      <c r="A204" s="1" t="n">
        <v>202</v>
      </c>
      <c r="B204" t="n">
        <v>25</v>
      </c>
      <c r="C204" t="inlineStr">
        <is>
          <t>Galeras</t>
        </is>
      </c>
      <c r="D204" t="inlineStr">
        <is>
          <t>GAL_25</t>
        </is>
      </c>
      <c r="E204" t="n">
        <v>647</v>
      </c>
      <c r="F204" t="inlineStr">
        <is>
          <t>Arecaceae</t>
        </is>
      </c>
      <c r="G204" t="inlineStr">
        <is>
          <t>Dictyocaryum</t>
        </is>
      </c>
      <c r="H204" t="inlineStr">
        <is>
          <t>lamarckianum</t>
        </is>
      </c>
      <c r="I204" s="2" t="n">
        <v>38821</v>
      </c>
      <c r="J204" t="inlineStr"/>
      <c r="K204" t="inlineStr"/>
      <c r="L204" t="inlineStr"/>
      <c r="M204" t="inlineStr"/>
      <c r="N204" t="inlineStr"/>
    </row>
    <row r="205">
      <c r="A205" s="1" t="n">
        <v>203</v>
      </c>
      <c r="B205" t="n">
        <v>25</v>
      </c>
      <c r="C205" t="inlineStr">
        <is>
          <t>Galeras</t>
        </is>
      </c>
      <c r="D205" t="inlineStr">
        <is>
          <t>GAL_25</t>
        </is>
      </c>
      <c r="E205" t="n">
        <v>648</v>
      </c>
      <c r="F205" t="inlineStr">
        <is>
          <t>Arecaceae</t>
        </is>
      </c>
      <c r="G205" t="inlineStr">
        <is>
          <t>Wettinia</t>
        </is>
      </c>
      <c r="H205" t="inlineStr">
        <is>
          <t>anomala</t>
        </is>
      </c>
      <c r="I205" s="2" t="n">
        <v>38821</v>
      </c>
      <c r="J205" t="inlineStr"/>
      <c r="K205" t="inlineStr"/>
      <c r="L205" t="inlineStr"/>
      <c r="M205" t="inlineStr"/>
      <c r="N205" t="inlineStr"/>
    </row>
    <row r="206">
      <c r="A206" s="1" t="n">
        <v>204</v>
      </c>
      <c r="B206" t="n">
        <v>25</v>
      </c>
      <c r="C206" t="inlineStr">
        <is>
          <t>Galeras</t>
        </is>
      </c>
      <c r="D206" t="inlineStr">
        <is>
          <t>GAL_25</t>
        </is>
      </c>
      <c r="E206" t="n">
        <v>649</v>
      </c>
      <c r="F206" t="inlineStr">
        <is>
          <t>Lecythidaceae</t>
        </is>
      </c>
      <c r="G206" t="inlineStr">
        <is>
          <t>Eschweilera</t>
        </is>
      </c>
      <c r="H206" t="inlineStr">
        <is>
          <t>caudiculata</t>
        </is>
      </c>
      <c r="I206" s="2" t="n">
        <v>38821</v>
      </c>
      <c r="J206" t="inlineStr"/>
      <c r="K206" t="inlineStr"/>
      <c r="L206" t="inlineStr"/>
      <c r="M206" t="inlineStr"/>
      <c r="N206" t="inlineStr"/>
    </row>
    <row r="207">
      <c r="A207" s="1" t="n">
        <v>205</v>
      </c>
      <c r="B207" t="n">
        <v>26</v>
      </c>
      <c r="C207" t="inlineStr">
        <is>
          <t>Galeras</t>
        </is>
      </c>
      <c r="D207" t="inlineStr">
        <is>
          <t>GAL_26</t>
        </is>
      </c>
      <c r="E207" t="n">
        <v>650</v>
      </c>
      <c r="F207" t="inlineStr">
        <is>
          <t>Sapotaceae</t>
        </is>
      </c>
      <c r="G207" t="inlineStr">
        <is>
          <t>Micropholis</t>
        </is>
      </c>
      <c r="H207" t="inlineStr">
        <is>
          <t>guyanensis</t>
        </is>
      </c>
      <c r="I207" s="2" t="n">
        <v>38821</v>
      </c>
      <c r="J207" t="inlineStr"/>
      <c r="K207" t="n">
        <v>1</v>
      </c>
      <c r="L207" t="inlineStr"/>
      <c r="M207" t="inlineStr"/>
      <c r="N207" t="inlineStr"/>
    </row>
    <row r="208">
      <c r="A208" s="1" t="n">
        <v>206</v>
      </c>
      <c r="B208" t="n">
        <v>26</v>
      </c>
      <c r="C208" t="inlineStr">
        <is>
          <t>Galeras</t>
        </is>
      </c>
      <c r="D208" t="inlineStr">
        <is>
          <t>GAL_26</t>
        </is>
      </c>
      <c r="E208" t="n">
        <v>651</v>
      </c>
      <c r="F208" t="inlineStr">
        <is>
          <t>Fabaceae</t>
        </is>
      </c>
      <c r="G208" t="inlineStr">
        <is>
          <t>Dussia</t>
        </is>
      </c>
      <c r="H208" t="inlineStr">
        <is>
          <t>tessmannii</t>
        </is>
      </c>
      <c r="I208" s="2" t="n">
        <v>38821</v>
      </c>
      <c r="J208" t="n">
        <v>3562</v>
      </c>
      <c r="K208" t="inlineStr"/>
      <c r="L208" t="inlineStr"/>
      <c r="M208" t="inlineStr"/>
      <c r="N208" t="inlineStr"/>
    </row>
    <row r="209">
      <c r="A209" s="1" t="n">
        <v>207</v>
      </c>
      <c r="B209" t="n">
        <v>26</v>
      </c>
      <c r="C209" t="inlineStr">
        <is>
          <t>Galeras</t>
        </is>
      </c>
      <c r="D209" t="inlineStr">
        <is>
          <t>GAL_26</t>
        </is>
      </c>
      <c r="E209" t="n">
        <v>652</v>
      </c>
      <c r="F209" t="inlineStr">
        <is>
          <t>Lauraceae</t>
        </is>
      </c>
      <c r="G209" t="inlineStr">
        <is>
          <t>Ocotea</t>
        </is>
      </c>
      <c r="H209" t="inlineStr"/>
      <c r="I209" s="2" t="n">
        <v>38821</v>
      </c>
      <c r="J209" t="n">
        <v>3569</v>
      </c>
      <c r="K209" t="inlineStr"/>
      <c r="L209" t="inlineStr"/>
      <c r="M209" t="inlineStr"/>
      <c r="N209" t="inlineStr"/>
    </row>
    <row r="210">
      <c r="A210" s="1" t="n">
        <v>208</v>
      </c>
      <c r="B210" t="n">
        <v>26</v>
      </c>
      <c r="C210" t="inlineStr">
        <is>
          <t>Galeras</t>
        </is>
      </c>
      <c r="D210" t="inlineStr">
        <is>
          <t>GAL_26</t>
        </is>
      </c>
      <c r="E210" t="n">
        <v>653</v>
      </c>
      <c r="F210" t="inlineStr">
        <is>
          <t>Clusiaceae</t>
        </is>
      </c>
      <c r="G210" t="inlineStr">
        <is>
          <t>Tovomita</t>
        </is>
      </c>
      <c r="H210" t="inlineStr">
        <is>
          <t>weddeliana</t>
        </is>
      </c>
      <c r="I210" s="2" t="n">
        <v>38821</v>
      </c>
      <c r="J210" t="inlineStr"/>
      <c r="K210" t="inlineStr"/>
      <c r="L210" t="inlineStr"/>
      <c r="M210" t="inlineStr"/>
      <c r="N210" t="inlineStr"/>
    </row>
    <row r="211">
      <c r="A211" s="1" t="n">
        <v>209</v>
      </c>
      <c r="B211" t="n">
        <v>26</v>
      </c>
      <c r="C211" t="inlineStr">
        <is>
          <t>Galeras</t>
        </is>
      </c>
      <c r="D211" t="inlineStr">
        <is>
          <t>GAL_26</t>
        </is>
      </c>
      <c r="E211" t="n">
        <v>654</v>
      </c>
      <c r="F211" t="inlineStr">
        <is>
          <t>Arecaceae</t>
        </is>
      </c>
      <c r="G211" t="inlineStr">
        <is>
          <t>Bactris</t>
        </is>
      </c>
      <c r="H211" t="inlineStr">
        <is>
          <t>cf setulosa</t>
        </is>
      </c>
      <c r="I211" s="2" t="n">
        <v>38821</v>
      </c>
      <c r="J211" t="inlineStr"/>
      <c r="K211" t="inlineStr"/>
      <c r="L211" t="inlineStr"/>
      <c r="M211" t="inlineStr"/>
      <c r="N211" t="inlineStr"/>
    </row>
    <row r="212">
      <c r="A212" s="1" t="n">
        <v>210</v>
      </c>
      <c r="B212" t="n">
        <v>26</v>
      </c>
      <c r="C212" t="inlineStr">
        <is>
          <t>Galeras</t>
        </is>
      </c>
      <c r="D212" t="inlineStr">
        <is>
          <t>GAL_26</t>
        </is>
      </c>
      <c r="E212" t="n">
        <v>655</v>
      </c>
      <c r="F212" t="inlineStr">
        <is>
          <t>Arecaceae</t>
        </is>
      </c>
      <c r="G212" t="inlineStr">
        <is>
          <t>Dictyocaryum</t>
        </is>
      </c>
      <c r="H212" t="inlineStr">
        <is>
          <t>lamarckianum</t>
        </is>
      </c>
      <c r="I212" s="2" t="n">
        <v>38821</v>
      </c>
      <c r="J212" t="inlineStr"/>
      <c r="K212" t="inlineStr"/>
      <c r="L212" t="inlineStr"/>
      <c r="M212" t="inlineStr"/>
      <c r="N212" t="inlineStr"/>
    </row>
    <row r="213">
      <c r="A213" s="1" t="n">
        <v>211</v>
      </c>
      <c r="B213" t="n">
        <v>26</v>
      </c>
      <c r="C213" t="inlineStr">
        <is>
          <t>Galeras</t>
        </is>
      </c>
      <c r="D213" t="inlineStr">
        <is>
          <t>GAL_26</t>
        </is>
      </c>
      <c r="E213" t="n">
        <v>656</v>
      </c>
      <c r="F213" t="inlineStr">
        <is>
          <t>Rubiaceae</t>
        </is>
      </c>
      <c r="G213" t="inlineStr">
        <is>
          <t>Alibertia</t>
        </is>
      </c>
      <c r="H213" t="inlineStr">
        <is>
          <t>cf acuminata</t>
        </is>
      </c>
      <c r="I213" s="2" t="n">
        <v>38821</v>
      </c>
      <c r="J213" t="n">
        <v>3563</v>
      </c>
      <c r="K213" t="inlineStr"/>
      <c r="L213" t="inlineStr"/>
      <c r="M213" t="inlineStr"/>
      <c r="N213" t="inlineStr"/>
    </row>
    <row r="214">
      <c r="A214" s="1" t="n">
        <v>212</v>
      </c>
      <c r="B214" t="n">
        <v>26</v>
      </c>
      <c r="C214" t="inlineStr">
        <is>
          <t>Galeras</t>
        </is>
      </c>
      <c r="D214" t="inlineStr">
        <is>
          <t>GAL_26</t>
        </is>
      </c>
      <c r="E214" t="n">
        <v>657</v>
      </c>
      <c r="F214" t="inlineStr">
        <is>
          <t>Urticaceae</t>
        </is>
      </c>
      <c r="G214" t="inlineStr">
        <is>
          <t>Pourouma</t>
        </is>
      </c>
      <c r="H214" t="inlineStr">
        <is>
          <t>minor</t>
        </is>
      </c>
      <c r="I214" s="2" t="n">
        <v>38821</v>
      </c>
      <c r="J214" t="inlineStr"/>
      <c r="K214" t="inlineStr"/>
      <c r="L214" t="inlineStr"/>
      <c r="M214" t="inlineStr"/>
      <c r="N214" t="inlineStr"/>
    </row>
    <row r="215">
      <c r="A215" s="1" t="n">
        <v>213</v>
      </c>
      <c r="B215" t="n">
        <v>26</v>
      </c>
      <c r="C215" t="inlineStr">
        <is>
          <t>Galeras</t>
        </is>
      </c>
      <c r="D215" t="inlineStr">
        <is>
          <t>GAL_26</t>
        </is>
      </c>
      <c r="E215" t="n">
        <v>658</v>
      </c>
      <c r="F215" t="inlineStr">
        <is>
          <t>Nyctaginaceae</t>
        </is>
      </c>
      <c r="G215" t="inlineStr">
        <is>
          <t>Neea</t>
        </is>
      </c>
      <c r="H215" t="inlineStr">
        <is>
          <t>divaricata</t>
        </is>
      </c>
      <c r="I215" s="2" t="n">
        <v>38821</v>
      </c>
      <c r="J215" t="n">
        <v>2314</v>
      </c>
      <c r="K215" t="inlineStr"/>
      <c r="L215" t="inlineStr"/>
      <c r="M215" t="inlineStr"/>
      <c r="N215" t="inlineStr"/>
    </row>
    <row r="216">
      <c r="A216" s="1" t="n">
        <v>214</v>
      </c>
      <c r="B216" t="n">
        <v>26</v>
      </c>
      <c r="C216" t="inlineStr">
        <is>
          <t>Galeras</t>
        </is>
      </c>
      <c r="D216" t="inlineStr">
        <is>
          <t>GAL_26</t>
        </is>
      </c>
      <c r="E216" t="n">
        <v>659</v>
      </c>
      <c r="F216" t="inlineStr">
        <is>
          <t>Myristicaceae</t>
        </is>
      </c>
      <c r="G216" t="inlineStr">
        <is>
          <t>Otoba</t>
        </is>
      </c>
      <c r="H216" t="inlineStr">
        <is>
          <t>glycycarpa</t>
        </is>
      </c>
      <c r="I216" s="2" t="n">
        <v>38821</v>
      </c>
      <c r="J216" t="n">
        <v>3564</v>
      </c>
      <c r="K216" t="inlineStr"/>
      <c r="L216" t="inlineStr"/>
      <c r="M216" t="inlineStr"/>
      <c r="N216" t="inlineStr"/>
    </row>
    <row r="217">
      <c r="A217" s="1" t="n">
        <v>215</v>
      </c>
      <c r="B217" t="n">
        <v>26</v>
      </c>
      <c r="C217" t="inlineStr">
        <is>
          <t>Galeras</t>
        </is>
      </c>
      <c r="D217" t="inlineStr">
        <is>
          <t>GAL_26</t>
        </is>
      </c>
      <c r="E217" t="n">
        <v>660</v>
      </c>
      <c r="F217" t="inlineStr">
        <is>
          <t>Arecaceae</t>
        </is>
      </c>
      <c r="G217" t="inlineStr">
        <is>
          <t>Dictyocaryum</t>
        </is>
      </c>
      <c r="H217" t="inlineStr">
        <is>
          <t>lamarckianum</t>
        </is>
      </c>
      <c r="I217" s="2" t="n">
        <v>38821</v>
      </c>
      <c r="J217" t="inlineStr"/>
      <c r="K217" t="inlineStr"/>
      <c r="L217" t="inlineStr"/>
      <c r="M217" t="inlineStr"/>
      <c r="N217" t="inlineStr"/>
    </row>
    <row r="218">
      <c r="A218" s="1" t="n">
        <v>216</v>
      </c>
      <c r="B218" t="n">
        <v>26</v>
      </c>
      <c r="C218" t="inlineStr">
        <is>
          <t>Galeras</t>
        </is>
      </c>
      <c r="D218" t="inlineStr">
        <is>
          <t>GAL_26</t>
        </is>
      </c>
      <c r="E218" t="n">
        <v>661</v>
      </c>
      <c r="F218" t="inlineStr">
        <is>
          <t>Clusiaceae</t>
        </is>
      </c>
      <c r="G218" t="inlineStr">
        <is>
          <t>Garcinia</t>
        </is>
      </c>
      <c r="H218" t="inlineStr">
        <is>
          <t>madruno</t>
        </is>
      </c>
      <c r="I218" s="2" t="n">
        <v>38821</v>
      </c>
      <c r="J218" t="n">
        <v>3565</v>
      </c>
      <c r="K218" t="inlineStr"/>
      <c r="L218" t="inlineStr"/>
      <c r="M218" t="inlineStr"/>
      <c r="N218" t="inlineStr"/>
    </row>
    <row r="219">
      <c r="A219" s="1" t="n">
        <v>217</v>
      </c>
      <c r="B219" t="n">
        <v>26</v>
      </c>
      <c r="C219" t="inlineStr">
        <is>
          <t>Galeras</t>
        </is>
      </c>
      <c r="D219" t="inlineStr">
        <is>
          <t>GAL_26</t>
        </is>
      </c>
      <c r="E219" t="n">
        <v>662</v>
      </c>
      <c r="F219" t="inlineStr">
        <is>
          <t>Myristicaceae</t>
        </is>
      </c>
      <c r="G219" t="inlineStr">
        <is>
          <t>Compsoneura</t>
        </is>
      </c>
      <c r="H219" t="inlineStr">
        <is>
          <t>capitellata</t>
        </is>
      </c>
      <c r="I219" s="2" t="n">
        <v>38821</v>
      </c>
      <c r="J219" t="n">
        <v>3570</v>
      </c>
      <c r="K219" t="inlineStr"/>
      <c r="L219" t="inlineStr"/>
      <c r="M219" t="inlineStr"/>
      <c r="N219" t="inlineStr"/>
    </row>
    <row r="220">
      <c r="A220" s="1" t="n">
        <v>218</v>
      </c>
      <c r="B220" t="n">
        <v>26</v>
      </c>
      <c r="C220" t="inlineStr">
        <is>
          <t>Galeras</t>
        </is>
      </c>
      <c r="D220" t="inlineStr">
        <is>
          <t>GAL_26</t>
        </is>
      </c>
      <c r="E220" t="n">
        <v>663</v>
      </c>
      <c r="F220" t="inlineStr">
        <is>
          <t>Anacardiaceae</t>
        </is>
      </c>
      <c r="G220" t="inlineStr">
        <is>
          <t>Tapirira</t>
        </is>
      </c>
      <c r="H220" t="inlineStr">
        <is>
          <t>guianensis</t>
        </is>
      </c>
      <c r="I220" s="2" t="n">
        <v>38821</v>
      </c>
      <c r="J220" t="n">
        <v>3572</v>
      </c>
      <c r="K220" t="inlineStr"/>
      <c r="L220" t="inlineStr"/>
      <c r="M220" t="inlineStr"/>
      <c r="N220" t="inlineStr"/>
    </row>
    <row r="221">
      <c r="A221" s="1" t="n">
        <v>219</v>
      </c>
      <c r="B221" t="n">
        <v>26</v>
      </c>
      <c r="C221" t="inlineStr">
        <is>
          <t>Galeras</t>
        </is>
      </c>
      <c r="D221" t="inlineStr">
        <is>
          <t>GAL_26</t>
        </is>
      </c>
      <c r="E221" t="n">
        <v>664</v>
      </c>
      <c r="F221" t="inlineStr">
        <is>
          <t>Chrysobalanaceae</t>
        </is>
      </c>
      <c r="G221" t="inlineStr">
        <is>
          <t>Licania</t>
        </is>
      </c>
      <c r="H221" t="inlineStr">
        <is>
          <t>celiae</t>
        </is>
      </c>
      <c r="I221" s="2" t="n">
        <v>38821</v>
      </c>
      <c r="J221" t="inlineStr">
        <is>
          <t>3567 &amp; 2315</t>
        </is>
      </c>
      <c r="K221" t="inlineStr"/>
      <c r="L221" t="inlineStr"/>
      <c r="M221" t="inlineStr"/>
      <c r="N221" t="inlineStr"/>
    </row>
    <row r="222">
      <c r="A222" s="1" t="n">
        <v>220</v>
      </c>
      <c r="B222" t="n">
        <v>26</v>
      </c>
      <c r="C222" t="inlineStr">
        <is>
          <t>Galeras</t>
        </is>
      </c>
      <c r="D222" t="inlineStr">
        <is>
          <t>GAL_26</t>
        </is>
      </c>
      <c r="E222" t="n">
        <v>665</v>
      </c>
      <c r="F222" t="inlineStr">
        <is>
          <t>Arecaceae</t>
        </is>
      </c>
      <c r="G222" t="inlineStr">
        <is>
          <t>Wettinia</t>
        </is>
      </c>
      <c r="H222" t="inlineStr">
        <is>
          <t>anomala</t>
        </is>
      </c>
      <c r="I222" s="2" t="n">
        <v>38821</v>
      </c>
      <c r="J222" t="inlineStr"/>
      <c r="K222" t="inlineStr"/>
      <c r="L222" t="inlineStr"/>
      <c r="M222" t="inlineStr"/>
      <c r="N222" t="inlineStr"/>
    </row>
    <row r="223">
      <c r="A223" s="1" t="n">
        <v>221</v>
      </c>
      <c r="B223" t="n">
        <v>26</v>
      </c>
      <c r="C223" t="inlineStr">
        <is>
          <t>Galeras</t>
        </is>
      </c>
      <c r="D223" t="inlineStr">
        <is>
          <t>GAL_26</t>
        </is>
      </c>
      <c r="E223" t="n">
        <v>666</v>
      </c>
      <c r="F223" t="inlineStr">
        <is>
          <t>Arecaceae</t>
        </is>
      </c>
      <c r="G223" t="inlineStr">
        <is>
          <t>Dictyocaryum</t>
        </is>
      </c>
      <c r="H223" t="inlineStr">
        <is>
          <t>lamarckianum</t>
        </is>
      </c>
      <c r="I223" s="2" t="n">
        <v>38821</v>
      </c>
      <c r="J223" t="inlineStr"/>
      <c r="K223" t="inlineStr"/>
      <c r="L223" t="inlineStr"/>
      <c r="M223" t="inlineStr"/>
      <c r="N223" t="inlineStr"/>
    </row>
    <row r="224">
      <c r="A224" s="1" t="n">
        <v>222</v>
      </c>
      <c r="B224" t="n">
        <v>26</v>
      </c>
      <c r="C224" t="inlineStr">
        <is>
          <t>Galeras</t>
        </is>
      </c>
      <c r="D224" t="inlineStr">
        <is>
          <t>GAL_26</t>
        </is>
      </c>
      <c r="E224" t="n">
        <v>667</v>
      </c>
      <c r="F224" t="inlineStr">
        <is>
          <t>Urticaceae</t>
        </is>
      </c>
      <c r="G224" t="inlineStr">
        <is>
          <t>Pourouma</t>
        </is>
      </c>
      <c r="H224" t="inlineStr">
        <is>
          <t>minor</t>
        </is>
      </c>
      <c r="I224" s="2" t="n">
        <v>38821</v>
      </c>
      <c r="J224" t="inlineStr"/>
      <c r="K224" t="n">
        <v>1</v>
      </c>
      <c r="L224" t="inlineStr"/>
      <c r="M224" t="inlineStr"/>
      <c r="N224" t="inlineStr"/>
    </row>
    <row r="225">
      <c r="A225" s="1" t="n">
        <v>223</v>
      </c>
      <c r="B225" t="n">
        <v>26</v>
      </c>
      <c r="C225" t="inlineStr">
        <is>
          <t>Galeras</t>
        </is>
      </c>
      <c r="D225" t="inlineStr">
        <is>
          <t>GAL_26</t>
        </is>
      </c>
      <c r="E225" t="n">
        <v>668</v>
      </c>
      <c r="F225" t="inlineStr">
        <is>
          <t>Myrtaceae</t>
        </is>
      </c>
      <c r="G225" t="inlineStr">
        <is>
          <t>Eugenia</t>
        </is>
      </c>
      <c r="H225" t="inlineStr"/>
      <c r="I225" s="2" t="n">
        <v>38821</v>
      </c>
      <c r="J225" t="inlineStr">
        <is>
          <t>2316 &amp; 5006</t>
        </is>
      </c>
      <c r="K225" t="n">
        <v>1</v>
      </c>
      <c r="L225" t="inlineStr"/>
      <c r="M225" t="inlineStr"/>
      <c r="N225" t="inlineStr"/>
    </row>
    <row r="226">
      <c r="A226" s="1" t="n">
        <v>224</v>
      </c>
      <c r="B226" t="n">
        <v>26</v>
      </c>
      <c r="C226" t="inlineStr">
        <is>
          <t>Galeras</t>
        </is>
      </c>
      <c r="D226" t="inlineStr">
        <is>
          <t>GAL_26</t>
        </is>
      </c>
      <c r="E226" t="n">
        <v>669</v>
      </c>
      <c r="F226" t="inlineStr">
        <is>
          <t>Sapotaceae</t>
        </is>
      </c>
      <c r="G226" t="inlineStr">
        <is>
          <t>Micropholis</t>
        </is>
      </c>
      <c r="H226" t="inlineStr">
        <is>
          <t>guyanensis</t>
        </is>
      </c>
      <c r="I226" s="2" t="n">
        <v>38821</v>
      </c>
      <c r="J226" t="inlineStr"/>
      <c r="K226" t="inlineStr"/>
      <c r="L226" t="inlineStr"/>
      <c r="M226" t="inlineStr"/>
      <c r="N226" t="inlineStr"/>
    </row>
    <row r="227">
      <c r="A227" s="1" t="n">
        <v>225</v>
      </c>
      <c r="B227" t="n">
        <v>26</v>
      </c>
      <c r="C227" t="inlineStr">
        <is>
          <t>Galeras</t>
        </is>
      </c>
      <c r="D227" t="inlineStr">
        <is>
          <t>GAL_26</t>
        </is>
      </c>
      <c r="E227" t="n">
        <v>670</v>
      </c>
      <c r="F227" t="inlineStr">
        <is>
          <t>Moraceae</t>
        </is>
      </c>
      <c r="G227" t="inlineStr">
        <is>
          <t>Naucleopsis</t>
        </is>
      </c>
      <c r="H227" t="inlineStr">
        <is>
          <t>ulei</t>
        </is>
      </c>
      <c r="I227" s="2" t="n">
        <v>38821</v>
      </c>
      <c r="J227" t="n">
        <v>2317</v>
      </c>
      <c r="K227" t="inlineStr"/>
      <c r="L227" t="inlineStr"/>
      <c r="M227" t="inlineStr"/>
      <c r="N227" t="inlineStr"/>
    </row>
    <row r="228">
      <c r="A228" s="1" t="n">
        <v>226</v>
      </c>
      <c r="B228" t="n">
        <v>26</v>
      </c>
      <c r="C228" t="inlineStr">
        <is>
          <t>Galeras</t>
        </is>
      </c>
      <c r="D228" t="inlineStr">
        <is>
          <t>GAL_26</t>
        </is>
      </c>
      <c r="E228" t="n">
        <v>671</v>
      </c>
      <c r="F228" t="inlineStr">
        <is>
          <t>Urticaceae</t>
        </is>
      </c>
      <c r="G228" t="inlineStr">
        <is>
          <t>Pourouma</t>
        </is>
      </c>
      <c r="H228" t="inlineStr"/>
      <c r="I228" s="2" t="n">
        <v>38821</v>
      </c>
      <c r="J228" t="inlineStr"/>
      <c r="K228" t="inlineStr"/>
      <c r="L228" t="inlineStr"/>
      <c r="M228" t="inlineStr"/>
      <c r="N228" t="inlineStr"/>
    </row>
    <row r="229">
      <c r="A229" s="1" t="n">
        <v>227</v>
      </c>
      <c r="B229" t="n">
        <v>26</v>
      </c>
      <c r="C229" t="inlineStr">
        <is>
          <t>Galeras</t>
        </is>
      </c>
      <c r="D229" t="inlineStr">
        <is>
          <t>GAL_26</t>
        </is>
      </c>
      <c r="E229" t="n">
        <v>672</v>
      </c>
      <c r="F229" t="inlineStr">
        <is>
          <t>Arecaceae</t>
        </is>
      </c>
      <c r="G229" t="inlineStr">
        <is>
          <t>Dictyocaryum</t>
        </is>
      </c>
      <c r="H229" t="inlineStr">
        <is>
          <t>lamarckianum</t>
        </is>
      </c>
      <c r="I229" s="2" t="n">
        <v>38821</v>
      </c>
      <c r="J229" t="inlineStr"/>
      <c r="K229" t="inlineStr"/>
      <c r="L229" t="inlineStr"/>
      <c r="M229" t="inlineStr"/>
      <c r="N229" t="inlineStr"/>
    </row>
    <row r="230">
      <c r="A230" s="1" t="n">
        <v>228</v>
      </c>
      <c r="B230" t="n">
        <v>26</v>
      </c>
      <c r="C230" t="inlineStr">
        <is>
          <t>Galeras</t>
        </is>
      </c>
      <c r="D230" t="inlineStr">
        <is>
          <t>GAL_26</t>
        </is>
      </c>
      <c r="E230" t="n">
        <v>673</v>
      </c>
      <c r="F230" t="inlineStr">
        <is>
          <t>Moraceae</t>
        </is>
      </c>
      <c r="G230" t="inlineStr">
        <is>
          <t>Ficus</t>
        </is>
      </c>
      <c r="H230" t="inlineStr">
        <is>
          <t>americana</t>
        </is>
      </c>
      <c r="I230" s="2" t="n">
        <v>38821</v>
      </c>
      <c r="J230" t="n">
        <v>3573</v>
      </c>
      <c r="K230" t="inlineStr"/>
      <c r="L230" t="inlineStr"/>
      <c r="M230" t="inlineStr"/>
      <c r="N230" t="inlineStr"/>
    </row>
    <row r="231">
      <c r="A231" s="1" t="n">
        <v>229</v>
      </c>
      <c r="B231" t="n">
        <v>26</v>
      </c>
      <c r="C231" t="inlineStr">
        <is>
          <t>Galeras</t>
        </is>
      </c>
      <c r="D231" t="inlineStr">
        <is>
          <t>GAL_26</t>
        </is>
      </c>
      <c r="E231" t="n">
        <v>674</v>
      </c>
      <c r="F231" t="inlineStr">
        <is>
          <t>Chrysobalanaceae</t>
        </is>
      </c>
      <c r="G231" t="inlineStr">
        <is>
          <t>Licania</t>
        </is>
      </c>
      <c r="H231" t="inlineStr">
        <is>
          <t>celiae</t>
        </is>
      </c>
      <c r="I231" s="2" t="n">
        <v>38821</v>
      </c>
      <c r="J231" t="inlineStr"/>
      <c r="K231" t="inlineStr"/>
      <c r="L231" t="inlineStr"/>
      <c r="M231" t="inlineStr"/>
      <c r="N231" t="inlineStr"/>
    </row>
    <row r="232">
      <c r="A232" s="1" t="n">
        <v>230</v>
      </c>
      <c r="B232" t="n">
        <v>26</v>
      </c>
      <c r="C232" t="inlineStr">
        <is>
          <t>Galeras</t>
        </is>
      </c>
      <c r="D232" t="inlineStr">
        <is>
          <t>GAL_26</t>
        </is>
      </c>
      <c r="E232" t="n">
        <v>675</v>
      </c>
      <c r="F232" t="inlineStr">
        <is>
          <t>Fabaceae</t>
        </is>
      </c>
      <c r="G232" t="inlineStr">
        <is>
          <t>Inga</t>
        </is>
      </c>
      <c r="H232" t="inlineStr">
        <is>
          <t>umbellifera</t>
        </is>
      </c>
      <c r="I232" s="2" t="n">
        <v>38821</v>
      </c>
      <c r="J232" t="n">
        <v>3571</v>
      </c>
      <c r="K232" t="inlineStr"/>
      <c r="L232" t="inlineStr"/>
      <c r="M232" t="inlineStr"/>
      <c r="N232" t="inlineStr"/>
    </row>
    <row r="233">
      <c r="A233" s="1" t="n">
        <v>231</v>
      </c>
      <c r="B233" t="n">
        <v>26</v>
      </c>
      <c r="C233" t="inlineStr">
        <is>
          <t>Galeras</t>
        </is>
      </c>
      <c r="D233" t="inlineStr">
        <is>
          <t>GAL_26</t>
        </is>
      </c>
      <c r="E233" t="n">
        <v>676</v>
      </c>
      <c r="F233" t="inlineStr">
        <is>
          <t>Myristicaceae</t>
        </is>
      </c>
      <c r="G233" t="inlineStr">
        <is>
          <t>Otoba</t>
        </is>
      </c>
      <c r="H233" t="inlineStr">
        <is>
          <t>glycycarpa</t>
        </is>
      </c>
      <c r="I233" s="2" t="n">
        <v>38821</v>
      </c>
      <c r="J233" t="n">
        <v>3564</v>
      </c>
      <c r="K233" t="inlineStr"/>
      <c r="L233" t="inlineStr"/>
      <c r="M233" t="inlineStr"/>
      <c r="N233" t="inlineStr"/>
    </row>
    <row r="234">
      <c r="A234" s="1" t="n">
        <v>232</v>
      </c>
      <c r="B234" t="n">
        <v>26</v>
      </c>
      <c r="C234" t="inlineStr">
        <is>
          <t>Galeras</t>
        </is>
      </c>
      <c r="D234" t="inlineStr">
        <is>
          <t>GAL_26</t>
        </is>
      </c>
      <c r="E234" t="n">
        <v>677</v>
      </c>
      <c r="F234" t="inlineStr">
        <is>
          <t>Rubiaceae</t>
        </is>
      </c>
      <c r="G234" t="inlineStr">
        <is>
          <t>Faramea</t>
        </is>
      </c>
      <c r="H234" t="inlineStr">
        <is>
          <t>cf glandulosa</t>
        </is>
      </c>
      <c r="I234" s="2" t="n">
        <v>38821</v>
      </c>
      <c r="J234" t="n">
        <v>3566</v>
      </c>
      <c r="K234" t="inlineStr"/>
      <c r="L234" t="inlineStr"/>
      <c r="M234" t="inlineStr"/>
      <c r="N234" t="inlineStr"/>
    </row>
    <row r="235">
      <c r="A235" s="1" t="n">
        <v>233</v>
      </c>
      <c r="B235" t="n">
        <v>26</v>
      </c>
      <c r="C235" t="inlineStr">
        <is>
          <t>Galeras</t>
        </is>
      </c>
      <c r="D235" t="inlineStr">
        <is>
          <t>GAL_26</t>
        </is>
      </c>
      <c r="E235" t="n">
        <v>678</v>
      </c>
      <c r="F235" t="inlineStr">
        <is>
          <t>Proteaceae</t>
        </is>
      </c>
      <c r="G235" t="inlineStr">
        <is>
          <t>Roupala</t>
        </is>
      </c>
      <c r="H235" t="inlineStr"/>
      <c r="I235" s="2" t="n">
        <v>38821</v>
      </c>
      <c r="J235" t="inlineStr"/>
      <c r="K235" t="n">
        <v>1</v>
      </c>
      <c r="L235" t="inlineStr"/>
      <c r="M235" t="inlineStr"/>
      <c r="N235" t="inlineStr"/>
    </row>
    <row r="236">
      <c r="A236" s="1" t="n">
        <v>234</v>
      </c>
      <c r="B236" t="n">
        <v>26</v>
      </c>
      <c r="C236" t="inlineStr">
        <is>
          <t>Galeras</t>
        </is>
      </c>
      <c r="D236" t="inlineStr">
        <is>
          <t>GAL_26</t>
        </is>
      </c>
      <c r="E236" t="n">
        <v>679</v>
      </c>
      <c r="F236" t="inlineStr">
        <is>
          <t>Sapotaceae</t>
        </is>
      </c>
      <c r="G236" t="inlineStr">
        <is>
          <t>Micropholis</t>
        </is>
      </c>
      <c r="H236" t="inlineStr">
        <is>
          <t>guyanensis</t>
        </is>
      </c>
      <c r="I236" s="2" t="n">
        <v>38821</v>
      </c>
      <c r="J236" t="n">
        <v>3568</v>
      </c>
      <c r="K236" t="inlineStr"/>
      <c r="L236" t="inlineStr"/>
      <c r="M236" t="inlineStr"/>
      <c r="N236" t="inlineStr"/>
    </row>
    <row r="237">
      <c r="A237" s="1" t="n">
        <v>235</v>
      </c>
      <c r="B237" t="n">
        <v>26</v>
      </c>
      <c r="C237" t="inlineStr">
        <is>
          <t>Galeras</t>
        </is>
      </c>
      <c r="D237" t="inlineStr">
        <is>
          <t>GAL_26</t>
        </is>
      </c>
      <c r="E237" t="n">
        <v>680</v>
      </c>
      <c r="F237" t="inlineStr">
        <is>
          <t>Sapotaceae</t>
        </is>
      </c>
      <c r="G237" t="inlineStr">
        <is>
          <t>Micropholis</t>
        </is>
      </c>
      <c r="H237" t="inlineStr">
        <is>
          <t>guyanensis</t>
        </is>
      </c>
      <c r="I237" s="2" t="n">
        <v>38821</v>
      </c>
      <c r="J237" t="inlineStr"/>
      <c r="K237" t="inlineStr"/>
      <c r="L237" t="inlineStr"/>
      <c r="M237" t="inlineStr"/>
      <c r="N237" t="inlineStr"/>
    </row>
    <row r="238">
      <c r="A238" s="1" t="n">
        <v>236</v>
      </c>
      <c r="B238" t="n">
        <v>26</v>
      </c>
      <c r="C238" t="inlineStr">
        <is>
          <t>Galeras</t>
        </is>
      </c>
      <c r="D238" t="inlineStr">
        <is>
          <t>GAL_26</t>
        </is>
      </c>
      <c r="E238" t="n">
        <v>681</v>
      </c>
      <c r="F238" t="inlineStr">
        <is>
          <t>Proteaceae</t>
        </is>
      </c>
      <c r="G238" t="inlineStr">
        <is>
          <t>Roupala</t>
        </is>
      </c>
      <c r="H238" t="inlineStr"/>
      <c r="I238" s="2" t="n">
        <v>38821</v>
      </c>
      <c r="J238" t="n">
        <v>2527</v>
      </c>
      <c r="K238" t="inlineStr"/>
      <c r="L238" t="inlineStr"/>
      <c r="M238" t="inlineStr"/>
      <c r="N238" t="inlineStr"/>
    </row>
    <row r="239">
      <c r="A239" s="1" t="n">
        <v>237</v>
      </c>
      <c r="B239" t="n">
        <v>26</v>
      </c>
      <c r="C239" t="inlineStr">
        <is>
          <t>Galeras</t>
        </is>
      </c>
      <c r="D239" t="inlineStr">
        <is>
          <t>GAL_26</t>
        </is>
      </c>
      <c r="E239" t="inlineStr">
        <is>
          <t>x</t>
        </is>
      </c>
      <c r="F239" t="inlineStr">
        <is>
          <t>indet</t>
        </is>
      </c>
      <c r="G239" t="inlineStr"/>
      <c r="H239" t="inlineStr"/>
      <c r="I239" s="2" t="n">
        <v>38821</v>
      </c>
      <c r="J239" t="inlineStr"/>
      <c r="K239" t="inlineStr"/>
      <c r="L239" t="inlineStr"/>
      <c r="M239" t="inlineStr"/>
      <c r="N239" t="inlineStr"/>
    </row>
    <row r="240">
      <c r="A240" s="1" t="n">
        <v>238</v>
      </c>
      <c r="B240" t="n">
        <v>28</v>
      </c>
      <c r="C240" t="inlineStr">
        <is>
          <t>Galeras</t>
        </is>
      </c>
      <c r="D240" t="inlineStr">
        <is>
          <t>GAL_28</t>
        </is>
      </c>
      <c r="E240" t="n">
        <v>726</v>
      </c>
      <c r="F240" t="inlineStr">
        <is>
          <t>Sapotaceae</t>
        </is>
      </c>
      <c r="G240" t="inlineStr">
        <is>
          <t>Sapo28</t>
        </is>
      </c>
      <c r="H240" t="inlineStr"/>
      <c r="I240" s="2" t="n">
        <v>38821</v>
      </c>
      <c r="J240" t="inlineStr">
        <is>
          <t>3601</t>
        </is>
      </c>
      <c r="K240" t="inlineStr"/>
      <c r="L240" t="inlineStr">
        <is>
          <t>Ο</t>
        </is>
      </c>
      <c r="M240" t="inlineStr">
        <is>
          <t>Ø</t>
        </is>
      </c>
      <c r="N240" t="n">
        <v>8733</v>
      </c>
    </row>
    <row r="241">
      <c r="A241" s="1" t="n">
        <v>239</v>
      </c>
      <c r="B241" t="n">
        <v>28</v>
      </c>
      <c r="C241" t="inlineStr">
        <is>
          <t>Galeras</t>
        </is>
      </c>
      <c r="D241" t="inlineStr">
        <is>
          <t>GAL_28</t>
        </is>
      </c>
      <c r="E241" t="n">
        <v>715</v>
      </c>
      <c r="F241" t="inlineStr">
        <is>
          <t>Rosaceae</t>
        </is>
      </c>
      <c r="G241" t="inlineStr">
        <is>
          <t>Prunus</t>
        </is>
      </c>
      <c r="H241" t="inlineStr">
        <is>
          <t>opaca</t>
        </is>
      </c>
      <c r="I241" s="2" t="n">
        <v>38821</v>
      </c>
      <c r="J241" t="inlineStr">
        <is>
          <t>3587</t>
        </is>
      </c>
      <c r="K241" t="inlineStr"/>
      <c r="L241" t="inlineStr">
        <is>
          <t>Ο</t>
        </is>
      </c>
      <c r="M241" t="inlineStr">
        <is>
          <t>Ø</t>
        </is>
      </c>
      <c r="N241" t="n">
        <v>8738</v>
      </c>
    </row>
    <row r="242">
      <c r="A242" s="1" t="n">
        <v>240</v>
      </c>
      <c r="B242" t="n">
        <v>28</v>
      </c>
      <c r="C242" t="inlineStr">
        <is>
          <t>Galeras</t>
        </is>
      </c>
      <c r="D242" t="inlineStr">
        <is>
          <t>GAL_28</t>
        </is>
      </c>
      <c r="E242" t="n">
        <v>716</v>
      </c>
      <c r="F242" t="inlineStr">
        <is>
          <t>Chrysobalanaceae</t>
        </is>
      </c>
      <c r="G242" t="inlineStr">
        <is>
          <t>Licania</t>
        </is>
      </c>
      <c r="H242" t="inlineStr">
        <is>
          <t>macrocarpa</t>
        </is>
      </c>
      <c r="I242" s="2" t="n">
        <v>38821</v>
      </c>
      <c r="J242" t="inlineStr">
        <is>
          <t>3589</t>
        </is>
      </c>
      <c r="K242" t="inlineStr"/>
      <c r="L242" t="inlineStr">
        <is>
          <t>Ο</t>
        </is>
      </c>
      <c r="M242" t="inlineStr">
        <is>
          <t>Ø</t>
        </is>
      </c>
      <c r="N242" t="n">
        <v>8736</v>
      </c>
    </row>
    <row r="243">
      <c r="A243" s="1" t="n">
        <v>241</v>
      </c>
      <c r="B243" t="n">
        <v>28</v>
      </c>
      <c r="C243" t="inlineStr">
        <is>
          <t>Galeras</t>
        </is>
      </c>
      <c r="D243" t="inlineStr">
        <is>
          <t>GAL_28</t>
        </is>
      </c>
      <c r="E243" t="n">
        <v>717</v>
      </c>
      <c r="F243" t="inlineStr">
        <is>
          <t>Rubiaceae</t>
        </is>
      </c>
      <c r="G243" t="inlineStr">
        <is>
          <t>Ladenbergia</t>
        </is>
      </c>
      <c r="H243" t="inlineStr"/>
      <c r="I243" s="2" t="n">
        <v>38821</v>
      </c>
      <c r="J243" t="inlineStr">
        <is>
          <t>2293</t>
        </is>
      </c>
      <c r="K243" t="inlineStr"/>
      <c r="L243" t="inlineStr"/>
      <c r="M243" t="inlineStr"/>
      <c r="N243" t="inlineStr"/>
    </row>
    <row r="244">
      <c r="A244" s="1" t="n">
        <v>242</v>
      </c>
      <c r="B244" t="n">
        <v>28</v>
      </c>
      <c r="C244" t="inlineStr">
        <is>
          <t>Galeras</t>
        </is>
      </c>
      <c r="D244" t="inlineStr">
        <is>
          <t>GAL_28</t>
        </is>
      </c>
      <c r="E244" t="n">
        <v>718</v>
      </c>
      <c r="F244" t="inlineStr">
        <is>
          <t>Myrsinaceae</t>
        </is>
      </c>
      <c r="G244" t="inlineStr">
        <is>
          <t>Myrsine</t>
        </is>
      </c>
      <c r="H244" t="inlineStr">
        <is>
          <t>coriaceae</t>
        </is>
      </c>
      <c r="I244" s="2" t="n">
        <v>38821</v>
      </c>
      <c r="J244" t="inlineStr">
        <is>
          <t>2294</t>
        </is>
      </c>
      <c r="K244" t="inlineStr"/>
      <c r="L244" t="inlineStr"/>
      <c r="M244" t="inlineStr"/>
      <c r="N244" t="n">
        <v>8739</v>
      </c>
    </row>
    <row r="245">
      <c r="A245" s="1" t="n">
        <v>243</v>
      </c>
      <c r="B245" t="n">
        <v>28</v>
      </c>
      <c r="C245" t="inlineStr">
        <is>
          <t>Galeras</t>
        </is>
      </c>
      <c r="D245" t="inlineStr">
        <is>
          <t>GAL_28</t>
        </is>
      </c>
      <c r="E245" t="n">
        <v>719</v>
      </c>
      <c r="F245" t="inlineStr">
        <is>
          <t>Fabaceae</t>
        </is>
      </c>
      <c r="G245" t="inlineStr">
        <is>
          <t>Diplotropis</t>
        </is>
      </c>
      <c r="H245" t="inlineStr">
        <is>
          <t>aff purpurea</t>
        </is>
      </c>
      <c r="I245" s="2" t="n">
        <v>38821</v>
      </c>
      <c r="J245" t="inlineStr">
        <is>
          <t>3579,2295</t>
        </is>
      </c>
      <c r="K245" t="inlineStr"/>
      <c r="L245" t="inlineStr">
        <is>
          <t>Ο</t>
        </is>
      </c>
      <c r="M245" t="inlineStr">
        <is>
          <t>Ø</t>
        </is>
      </c>
      <c r="N245" t="n">
        <v>8735</v>
      </c>
    </row>
    <row r="246">
      <c r="A246" s="1" t="n">
        <v>244</v>
      </c>
      <c r="B246" t="n">
        <v>28</v>
      </c>
      <c r="C246" t="inlineStr">
        <is>
          <t>Galeras</t>
        </is>
      </c>
      <c r="D246" t="inlineStr">
        <is>
          <t>GAL_28</t>
        </is>
      </c>
      <c r="E246" t="n">
        <v>720</v>
      </c>
      <c r="F246" t="inlineStr">
        <is>
          <t>Arecaceae</t>
        </is>
      </c>
      <c r="G246" t="inlineStr">
        <is>
          <t>Wettinia</t>
        </is>
      </c>
      <c r="H246" t="inlineStr">
        <is>
          <t>anomala</t>
        </is>
      </c>
      <c r="I246" s="2" t="n">
        <v>38821</v>
      </c>
      <c r="J246" t="inlineStr"/>
      <c r="K246" t="inlineStr"/>
      <c r="L246" t="inlineStr"/>
      <c r="M246" t="inlineStr"/>
      <c r="N246" t="n">
        <v>8728</v>
      </c>
    </row>
    <row r="247">
      <c r="A247" s="1" t="n">
        <v>245</v>
      </c>
      <c r="B247" t="n">
        <v>28</v>
      </c>
      <c r="C247" t="inlineStr">
        <is>
          <t>Galeras</t>
        </is>
      </c>
      <c r="D247" t="inlineStr">
        <is>
          <t>GAL_28</t>
        </is>
      </c>
      <c r="E247" t="n">
        <v>721</v>
      </c>
      <c r="F247" t="inlineStr">
        <is>
          <t>Myrsinaceae</t>
        </is>
      </c>
      <c r="G247" t="inlineStr">
        <is>
          <t>Myrsine</t>
        </is>
      </c>
      <c r="H247" t="inlineStr">
        <is>
          <t>coriaceae</t>
        </is>
      </c>
      <c r="I247" s="2" t="n">
        <v>38821</v>
      </c>
      <c r="J247" t="inlineStr"/>
      <c r="K247" t="inlineStr"/>
      <c r="L247" t="inlineStr"/>
      <c r="M247" t="inlineStr"/>
      <c r="N247" t="n">
        <v>8732</v>
      </c>
    </row>
    <row r="248">
      <c r="A248" s="1" t="n">
        <v>246</v>
      </c>
      <c r="B248" t="n">
        <v>28</v>
      </c>
      <c r="C248" t="inlineStr">
        <is>
          <t>Galeras</t>
        </is>
      </c>
      <c r="D248" t="inlineStr">
        <is>
          <t>GAL_28</t>
        </is>
      </c>
      <c r="E248" t="n">
        <v>722</v>
      </c>
      <c r="F248" t="inlineStr">
        <is>
          <t>Lauraceae</t>
        </is>
      </c>
      <c r="G248" t="inlineStr">
        <is>
          <t>Ocotea</t>
        </is>
      </c>
      <c r="H248" t="inlineStr">
        <is>
          <t>quixos</t>
        </is>
      </c>
      <c r="I248" s="2" t="n">
        <v>38821</v>
      </c>
      <c r="J248" t="inlineStr">
        <is>
          <t>3576</t>
        </is>
      </c>
      <c r="K248" t="inlineStr"/>
      <c r="L248" t="inlineStr"/>
      <c r="M248" t="inlineStr"/>
      <c r="N248" t="inlineStr"/>
    </row>
    <row r="249">
      <c r="A249" s="1" t="n">
        <v>247</v>
      </c>
      <c r="B249" t="n">
        <v>28</v>
      </c>
      <c r="C249" t="inlineStr">
        <is>
          <t>Galeras</t>
        </is>
      </c>
      <c r="D249" t="inlineStr">
        <is>
          <t>GAL_28</t>
        </is>
      </c>
      <c r="E249" t="n">
        <v>723</v>
      </c>
      <c r="F249" t="inlineStr">
        <is>
          <t>Myrsinaceae</t>
        </is>
      </c>
      <c r="G249" t="inlineStr">
        <is>
          <t>Myrsine</t>
        </is>
      </c>
      <c r="H249" t="inlineStr">
        <is>
          <t>coriaceae</t>
        </is>
      </c>
      <c r="I249" s="2" t="n">
        <v>38821</v>
      </c>
      <c r="J249" t="inlineStr"/>
      <c r="K249" t="inlineStr"/>
      <c r="L249" t="inlineStr"/>
      <c r="M249" t="inlineStr"/>
      <c r="N249" t="n">
        <v>8730</v>
      </c>
    </row>
    <row r="250">
      <c r="A250" s="1" t="n">
        <v>248</v>
      </c>
      <c r="B250" t="n">
        <v>28</v>
      </c>
      <c r="C250" t="inlineStr">
        <is>
          <t>Galeras</t>
        </is>
      </c>
      <c r="D250" t="inlineStr">
        <is>
          <t>GAL_28</t>
        </is>
      </c>
      <c r="E250" t="n">
        <v>724</v>
      </c>
      <c r="F250" t="inlineStr">
        <is>
          <t>Olacaceae</t>
        </is>
      </c>
      <c r="G250" t="inlineStr"/>
      <c r="H250" t="inlineStr"/>
      <c r="I250" s="2" t="n">
        <v>38821</v>
      </c>
      <c r="J250" t="inlineStr">
        <is>
          <t>3600</t>
        </is>
      </c>
      <c r="K250" t="inlineStr"/>
      <c r="L250" t="inlineStr"/>
      <c r="M250" t="inlineStr"/>
      <c r="N250" t="inlineStr"/>
    </row>
    <row r="251">
      <c r="A251" s="1" t="n">
        <v>249</v>
      </c>
      <c r="B251" t="n">
        <v>28</v>
      </c>
      <c r="C251" t="inlineStr">
        <is>
          <t>Galeras</t>
        </is>
      </c>
      <c r="D251" t="inlineStr">
        <is>
          <t>GAL_28</t>
        </is>
      </c>
      <c r="E251" t="n">
        <v>725</v>
      </c>
      <c r="F251" t="inlineStr">
        <is>
          <t>Myrsinaceae</t>
        </is>
      </c>
      <c r="G251" t="inlineStr">
        <is>
          <t>Myrsine</t>
        </is>
      </c>
      <c r="H251" t="inlineStr">
        <is>
          <t>coriaceae</t>
        </is>
      </c>
      <c r="I251" s="2" t="n">
        <v>38821</v>
      </c>
      <c r="J251" t="inlineStr"/>
      <c r="K251" t="inlineStr"/>
      <c r="L251" t="inlineStr"/>
      <c r="M251" t="inlineStr"/>
      <c r="N251" t="inlineStr"/>
    </row>
    <row r="252">
      <c r="A252" s="1" t="n">
        <v>250</v>
      </c>
      <c r="B252" t="n">
        <v>28</v>
      </c>
      <c r="C252" t="inlineStr">
        <is>
          <t>Galeras</t>
        </is>
      </c>
      <c r="D252" t="inlineStr">
        <is>
          <t>GAL_28</t>
        </is>
      </c>
      <c r="E252" t="n">
        <v>727</v>
      </c>
      <c r="F252" t="inlineStr">
        <is>
          <t>Arecaceae</t>
        </is>
      </c>
      <c r="G252" t="inlineStr">
        <is>
          <t>Dictyocaryum</t>
        </is>
      </c>
      <c r="H252" t="inlineStr">
        <is>
          <t>lamarckianum</t>
        </is>
      </c>
      <c r="I252" s="2" t="n">
        <v>38821</v>
      </c>
      <c r="J252" t="inlineStr"/>
      <c r="K252" t="inlineStr"/>
      <c r="L252" t="inlineStr"/>
      <c r="M252" t="inlineStr"/>
      <c r="N252" t="n">
        <v>8705</v>
      </c>
    </row>
    <row r="253">
      <c r="A253" s="1" t="n">
        <v>251</v>
      </c>
      <c r="B253" t="n">
        <v>28</v>
      </c>
      <c r="C253" t="inlineStr">
        <is>
          <t>Galeras</t>
        </is>
      </c>
      <c r="D253" t="inlineStr">
        <is>
          <t>GAL_28</t>
        </is>
      </c>
      <c r="E253" t="n">
        <v>728</v>
      </c>
      <c r="F253" t="inlineStr">
        <is>
          <t>Arecaceae</t>
        </is>
      </c>
      <c r="G253" t="inlineStr">
        <is>
          <t>Dictyocaryum</t>
        </is>
      </c>
      <c r="H253" t="inlineStr">
        <is>
          <t>lamarckianum</t>
        </is>
      </c>
      <c r="I253" s="2" t="n">
        <v>38821</v>
      </c>
      <c r="J253" t="inlineStr"/>
      <c r="K253" t="inlineStr"/>
      <c r="L253" t="inlineStr"/>
      <c r="M253" t="inlineStr"/>
      <c r="N253" t="n">
        <v>8704</v>
      </c>
    </row>
    <row r="254">
      <c r="A254" s="1" t="n">
        <v>252</v>
      </c>
      <c r="B254" t="n">
        <v>28</v>
      </c>
      <c r="C254" t="inlineStr">
        <is>
          <t>Galeras</t>
        </is>
      </c>
      <c r="D254" t="inlineStr">
        <is>
          <t>GAL_28</t>
        </is>
      </c>
      <c r="E254" t="n">
        <v>729</v>
      </c>
      <c r="F254" t="inlineStr">
        <is>
          <t>Arecaceae</t>
        </is>
      </c>
      <c r="G254" t="inlineStr">
        <is>
          <t>Dictyocaryum</t>
        </is>
      </c>
      <c r="H254" t="inlineStr">
        <is>
          <t>lamarckianum</t>
        </is>
      </c>
      <c r="I254" s="2" t="n">
        <v>38821</v>
      </c>
      <c r="J254" t="inlineStr"/>
      <c r="K254" t="inlineStr"/>
      <c r="L254" t="inlineStr"/>
      <c r="M254" t="inlineStr"/>
      <c r="N254" t="n">
        <v>8706</v>
      </c>
    </row>
    <row r="255">
      <c r="A255" s="1" t="n">
        <v>253</v>
      </c>
      <c r="B255" t="n">
        <v>28</v>
      </c>
      <c r="C255" t="inlineStr">
        <is>
          <t>Galeras</t>
        </is>
      </c>
      <c r="D255" t="inlineStr">
        <is>
          <t>GAL_28</t>
        </is>
      </c>
      <c r="E255" t="n">
        <v>730</v>
      </c>
      <c r="F255" t="inlineStr">
        <is>
          <t>Fabaceae</t>
        </is>
      </c>
      <c r="G255" t="inlineStr">
        <is>
          <t>Inga</t>
        </is>
      </c>
      <c r="H255" t="inlineStr">
        <is>
          <t>aff. acrocephala</t>
        </is>
      </c>
      <c r="I255" s="2" t="n">
        <v>38821</v>
      </c>
      <c r="J255" t="inlineStr">
        <is>
          <t>3575</t>
        </is>
      </c>
      <c r="K255" t="inlineStr"/>
      <c r="L255" t="inlineStr"/>
      <c r="M255" t="inlineStr"/>
      <c r="N255" t="inlineStr"/>
    </row>
    <row r="256">
      <c r="A256" s="1" t="n">
        <v>254</v>
      </c>
      <c r="B256" t="n">
        <v>28</v>
      </c>
      <c r="C256" t="inlineStr">
        <is>
          <t>Galeras</t>
        </is>
      </c>
      <c r="D256" t="inlineStr">
        <is>
          <t>GAL_28</t>
        </is>
      </c>
      <c r="E256" t="n">
        <v>731</v>
      </c>
      <c r="F256" t="inlineStr">
        <is>
          <t>Myristicaceae</t>
        </is>
      </c>
      <c r="G256" t="inlineStr">
        <is>
          <t>Virola</t>
        </is>
      </c>
      <c r="H256" t="inlineStr">
        <is>
          <t>obovata</t>
        </is>
      </c>
      <c r="I256" s="2" t="n">
        <v>38821</v>
      </c>
      <c r="J256" t="inlineStr">
        <is>
          <t>3578</t>
        </is>
      </c>
      <c r="K256" t="inlineStr"/>
      <c r="L256" t="inlineStr"/>
      <c r="M256" t="inlineStr"/>
      <c r="N256" t="inlineStr"/>
    </row>
    <row r="257">
      <c r="A257" s="1" t="n">
        <v>255</v>
      </c>
      <c r="B257" t="n">
        <v>28</v>
      </c>
      <c r="C257" t="inlineStr">
        <is>
          <t>Galeras</t>
        </is>
      </c>
      <c r="D257" t="inlineStr">
        <is>
          <t>GAL_28</t>
        </is>
      </c>
      <c r="E257" t="n">
        <v>732</v>
      </c>
      <c r="F257" t="inlineStr">
        <is>
          <t>Sapindaceae</t>
        </is>
      </c>
      <c r="G257" t="inlineStr">
        <is>
          <t>Matayba</t>
        </is>
      </c>
      <c r="H257" t="inlineStr"/>
      <c r="I257" s="2" t="n">
        <v>38821</v>
      </c>
      <c r="J257" t="inlineStr">
        <is>
          <t>3588</t>
        </is>
      </c>
      <c r="K257" t="inlineStr"/>
      <c r="L257" t="inlineStr"/>
      <c r="M257" t="inlineStr"/>
      <c r="N257" t="inlineStr"/>
    </row>
    <row r="258">
      <c r="A258" s="1" t="n">
        <v>256</v>
      </c>
      <c r="B258" t="n">
        <v>28</v>
      </c>
      <c r="C258" t="inlineStr">
        <is>
          <t>Galeras</t>
        </is>
      </c>
      <c r="D258" t="inlineStr">
        <is>
          <t>GAL_28</t>
        </is>
      </c>
      <c r="E258" t="n">
        <v>733</v>
      </c>
      <c r="F258" t="inlineStr"/>
      <c r="G258" t="inlineStr"/>
      <c r="H258" t="inlineStr"/>
      <c r="I258" s="2" t="n">
        <v>38821</v>
      </c>
      <c r="J258" t="inlineStr"/>
      <c r="K258" t="inlineStr"/>
      <c r="L258" t="inlineStr"/>
      <c r="M258" t="inlineStr"/>
      <c r="N258" t="inlineStr"/>
    </row>
    <row r="259">
      <c r="A259" s="1" t="n">
        <v>257</v>
      </c>
      <c r="B259" t="n">
        <v>28</v>
      </c>
      <c r="C259" t="inlineStr">
        <is>
          <t>Galeras</t>
        </is>
      </c>
      <c r="D259" t="inlineStr">
        <is>
          <t>GAL_28</t>
        </is>
      </c>
      <c r="E259" t="n">
        <v>734</v>
      </c>
      <c r="F259" t="inlineStr">
        <is>
          <t>Arecaceae</t>
        </is>
      </c>
      <c r="G259" t="inlineStr">
        <is>
          <t>Dictyocaryum</t>
        </is>
      </c>
      <c r="H259" t="inlineStr">
        <is>
          <t>lamarckianum</t>
        </is>
      </c>
      <c r="I259" s="2" t="n">
        <v>38821</v>
      </c>
      <c r="J259" t="inlineStr"/>
      <c r="K259" t="inlineStr"/>
      <c r="L259" t="inlineStr"/>
      <c r="M259" t="inlineStr"/>
      <c r="N259" t="n">
        <v>8724</v>
      </c>
    </row>
    <row r="260">
      <c r="A260" s="1" t="n">
        <v>258</v>
      </c>
      <c r="B260" t="n">
        <v>28</v>
      </c>
      <c r="C260" t="inlineStr">
        <is>
          <t>Galeras</t>
        </is>
      </c>
      <c r="D260" t="inlineStr">
        <is>
          <t>GAL_28</t>
        </is>
      </c>
      <c r="E260" t="n">
        <v>735</v>
      </c>
      <c r="F260" t="inlineStr">
        <is>
          <t>Chloranthaceae</t>
        </is>
      </c>
      <c r="G260" t="inlineStr">
        <is>
          <t>Hedyosmum</t>
        </is>
      </c>
      <c r="H260" t="inlineStr">
        <is>
          <t>anisodorum</t>
        </is>
      </c>
      <c r="I260" s="2" t="n">
        <v>38821</v>
      </c>
      <c r="J260" t="inlineStr"/>
      <c r="K260" t="inlineStr"/>
      <c r="L260" t="inlineStr"/>
      <c r="M260" t="inlineStr"/>
      <c r="N260" t="inlineStr"/>
    </row>
    <row r="261">
      <c r="A261" s="1" t="n">
        <v>259</v>
      </c>
      <c r="B261" t="n">
        <v>28</v>
      </c>
      <c r="C261" t="inlineStr">
        <is>
          <t>Galeras</t>
        </is>
      </c>
      <c r="D261" t="inlineStr">
        <is>
          <t>GAL_28</t>
        </is>
      </c>
      <c r="E261" t="n">
        <v>736</v>
      </c>
      <c r="F261" t="inlineStr">
        <is>
          <t>Burseraceae</t>
        </is>
      </c>
      <c r="G261" t="inlineStr">
        <is>
          <t>Protium</t>
        </is>
      </c>
      <c r="H261" t="inlineStr">
        <is>
          <t>sp. nov. #4</t>
        </is>
      </c>
      <c r="I261" s="2" t="n">
        <v>38821</v>
      </c>
      <c r="J261" t="inlineStr">
        <is>
          <t>3590</t>
        </is>
      </c>
      <c r="K261" t="inlineStr"/>
      <c r="L261" t="inlineStr"/>
      <c r="M261" t="inlineStr"/>
      <c r="N261" t="inlineStr"/>
    </row>
    <row r="262">
      <c r="A262" s="1" t="n">
        <v>260</v>
      </c>
      <c r="B262" t="n">
        <v>28</v>
      </c>
      <c r="C262" t="inlineStr">
        <is>
          <t>Galeras</t>
        </is>
      </c>
      <c r="D262" t="inlineStr">
        <is>
          <t>GAL_28</t>
        </is>
      </c>
      <c r="E262" t="n">
        <v>737</v>
      </c>
      <c r="F262" t="inlineStr">
        <is>
          <t>Moraceae</t>
        </is>
      </c>
      <c r="G262" t="inlineStr">
        <is>
          <t>Helicostylis</t>
        </is>
      </c>
      <c r="H262" t="inlineStr">
        <is>
          <t>tovariensis</t>
        </is>
      </c>
      <c r="I262" s="2" t="n">
        <v>38821</v>
      </c>
      <c r="J262" t="inlineStr">
        <is>
          <t>2311</t>
        </is>
      </c>
      <c r="K262" t="inlineStr"/>
      <c r="L262" t="inlineStr">
        <is>
          <t>Ο</t>
        </is>
      </c>
      <c r="M262" t="inlineStr">
        <is>
          <t>Ø</t>
        </is>
      </c>
      <c r="N262" t="n">
        <v>8721</v>
      </c>
    </row>
    <row r="263">
      <c r="A263" s="1" t="n">
        <v>261</v>
      </c>
      <c r="B263" t="n">
        <v>28</v>
      </c>
      <c r="C263" t="inlineStr">
        <is>
          <t>Galeras</t>
        </is>
      </c>
      <c r="D263" t="inlineStr">
        <is>
          <t>GAL_28</t>
        </is>
      </c>
      <c r="E263" t="n">
        <v>738</v>
      </c>
      <c r="F263" t="inlineStr">
        <is>
          <t>Rubiaceae</t>
        </is>
      </c>
      <c r="G263" t="inlineStr">
        <is>
          <t>Rubi28</t>
        </is>
      </c>
      <c r="H263" t="inlineStr"/>
      <c r="I263" s="2" t="n">
        <v>38821</v>
      </c>
      <c r="J263" t="inlineStr">
        <is>
          <t>2312</t>
        </is>
      </c>
      <c r="K263" t="inlineStr"/>
      <c r="L263" t="inlineStr"/>
      <c r="M263" t="inlineStr"/>
      <c r="N263" t="n">
        <v>8723</v>
      </c>
    </row>
    <row r="264">
      <c r="A264" s="1" t="n">
        <v>262</v>
      </c>
      <c r="B264" t="n">
        <v>28</v>
      </c>
      <c r="C264" t="inlineStr">
        <is>
          <t>Galeras</t>
        </is>
      </c>
      <c r="D264" t="inlineStr">
        <is>
          <t>GAL_28</t>
        </is>
      </c>
      <c r="E264" t="n">
        <v>739</v>
      </c>
      <c r="F264" t="inlineStr">
        <is>
          <t>Rubiaceae</t>
        </is>
      </c>
      <c r="G264" t="inlineStr">
        <is>
          <t>Elaeagia</t>
        </is>
      </c>
      <c r="H264" t="inlineStr">
        <is>
          <t>mariae</t>
        </is>
      </c>
      <c r="I264" s="2" t="n">
        <v>38821</v>
      </c>
      <c r="J264" t="inlineStr">
        <is>
          <t>3581</t>
        </is>
      </c>
      <c r="K264" t="inlineStr"/>
      <c r="L264" t="inlineStr">
        <is>
          <t>Ο</t>
        </is>
      </c>
      <c r="M264" t="inlineStr">
        <is>
          <t>Ø</t>
        </is>
      </c>
      <c r="N264" t="n">
        <v>8726</v>
      </c>
    </row>
    <row r="265">
      <c r="A265" s="1" t="n">
        <v>263</v>
      </c>
      <c r="B265" t="n">
        <v>28</v>
      </c>
      <c r="C265" t="inlineStr">
        <is>
          <t>Galeras</t>
        </is>
      </c>
      <c r="D265" t="inlineStr">
        <is>
          <t>GAL_28</t>
        </is>
      </c>
      <c r="E265" t="n">
        <v>740</v>
      </c>
      <c r="F265" t="inlineStr">
        <is>
          <t>Theaceae</t>
        </is>
      </c>
      <c r="G265" t="inlineStr">
        <is>
          <t>Gordonia</t>
        </is>
      </c>
      <c r="H265" t="inlineStr">
        <is>
          <t>fruticosa</t>
        </is>
      </c>
      <c r="I265" s="2" t="n">
        <v>38821</v>
      </c>
      <c r="J265" t="inlineStr">
        <is>
          <t>2296</t>
        </is>
      </c>
      <c r="K265" t="inlineStr"/>
      <c r="L265" t="inlineStr">
        <is>
          <t>Ο</t>
        </is>
      </c>
      <c r="M265" t="inlineStr">
        <is>
          <t>Ø</t>
        </is>
      </c>
      <c r="N265" t="n">
        <v>8716</v>
      </c>
    </row>
    <row r="266">
      <c r="A266" s="1" t="n">
        <v>264</v>
      </c>
      <c r="B266" t="n">
        <v>28</v>
      </c>
      <c r="C266" t="inlineStr">
        <is>
          <t>Galeras</t>
        </is>
      </c>
      <c r="D266" t="inlineStr">
        <is>
          <t>GAL_28</t>
        </is>
      </c>
      <c r="E266" t="n">
        <v>741</v>
      </c>
      <c r="F266" t="inlineStr">
        <is>
          <t>Arecaceae</t>
        </is>
      </c>
      <c r="G266" t="inlineStr">
        <is>
          <t>Dictyocaryum</t>
        </is>
      </c>
      <c r="H266" t="inlineStr">
        <is>
          <t>lamarckianum</t>
        </is>
      </c>
      <c r="I266" s="2" t="n">
        <v>38821</v>
      </c>
      <c r="J266" t="inlineStr"/>
      <c r="K266" t="inlineStr"/>
      <c r="L266" t="inlineStr"/>
      <c r="M266" t="inlineStr"/>
      <c r="N266" t="n">
        <v>8712</v>
      </c>
    </row>
    <row r="267">
      <c r="A267" s="1" t="n">
        <v>265</v>
      </c>
      <c r="B267" t="n">
        <v>28</v>
      </c>
      <c r="C267" t="inlineStr">
        <is>
          <t>Galeras</t>
        </is>
      </c>
      <c r="D267" t="inlineStr">
        <is>
          <t>GAL_28</t>
        </is>
      </c>
      <c r="E267" t="n">
        <v>742</v>
      </c>
      <c r="F267" t="inlineStr"/>
      <c r="G267" t="inlineStr"/>
      <c r="H267" t="inlineStr"/>
      <c r="I267" s="2" t="n">
        <v>38821</v>
      </c>
      <c r="J267" t="inlineStr">
        <is>
          <t>3586</t>
        </is>
      </c>
      <c r="K267" t="inlineStr"/>
      <c r="L267" t="inlineStr"/>
      <c r="M267" t="inlineStr"/>
      <c r="N267" t="n">
        <v>8719</v>
      </c>
    </row>
    <row r="268">
      <c r="A268" s="1" t="n">
        <v>266</v>
      </c>
      <c r="B268" t="n">
        <v>28</v>
      </c>
      <c r="C268" t="inlineStr">
        <is>
          <t>Galeras</t>
        </is>
      </c>
      <c r="D268" t="inlineStr">
        <is>
          <t>GAL_28</t>
        </is>
      </c>
      <c r="E268" t="n">
        <v>743</v>
      </c>
      <c r="F268" t="inlineStr">
        <is>
          <t>Urticaceae</t>
        </is>
      </c>
      <c r="G268" t="inlineStr">
        <is>
          <t>Pourouma</t>
        </is>
      </c>
      <c r="H268" t="inlineStr">
        <is>
          <t>minor</t>
        </is>
      </c>
      <c r="I268" s="2" t="n">
        <v>38821</v>
      </c>
      <c r="J268" t="inlineStr"/>
      <c r="K268" t="inlineStr"/>
      <c r="L268" t="inlineStr"/>
      <c r="M268" t="inlineStr"/>
      <c r="N268" t="inlineStr"/>
    </row>
    <row r="269">
      <c r="A269" s="1" t="n">
        <v>267</v>
      </c>
      <c r="B269" t="n">
        <v>28</v>
      </c>
      <c r="C269" t="inlineStr">
        <is>
          <t>Galeras</t>
        </is>
      </c>
      <c r="D269" t="inlineStr">
        <is>
          <t>GAL_28</t>
        </is>
      </c>
      <c r="E269" t="n">
        <v>744</v>
      </c>
      <c r="F269" t="inlineStr">
        <is>
          <t>Lauraceae</t>
        </is>
      </c>
      <c r="G269" t="inlineStr"/>
      <c r="H269" t="inlineStr"/>
      <c r="I269" s="2" t="n">
        <v>38821</v>
      </c>
      <c r="J269">
        <f>3577</f>
        <v/>
      </c>
      <c r="K269" t="inlineStr"/>
      <c r="L269" t="inlineStr"/>
      <c r="M269" t="inlineStr"/>
      <c r="N269" t="inlineStr"/>
    </row>
    <row r="270">
      <c r="A270" s="1" t="n">
        <v>268</v>
      </c>
      <c r="B270" t="n">
        <v>28</v>
      </c>
      <c r="C270" t="inlineStr">
        <is>
          <t>Galeras</t>
        </is>
      </c>
      <c r="D270" t="inlineStr">
        <is>
          <t>GAL_28</t>
        </is>
      </c>
      <c r="E270" t="n">
        <v>745</v>
      </c>
      <c r="F270" t="inlineStr">
        <is>
          <t>Clusiaceae</t>
        </is>
      </c>
      <c r="G270" t="inlineStr">
        <is>
          <t>Tovomita</t>
        </is>
      </c>
      <c r="H270" t="inlineStr">
        <is>
          <t>weddeliana</t>
        </is>
      </c>
      <c r="I270" s="2" t="n">
        <v>38821</v>
      </c>
      <c r="J270" t="inlineStr"/>
      <c r="K270" t="inlineStr"/>
      <c r="L270" t="inlineStr"/>
      <c r="M270" t="inlineStr"/>
      <c r="N270" t="inlineStr"/>
    </row>
    <row r="271">
      <c r="A271" s="1" t="n">
        <v>269</v>
      </c>
      <c r="B271" t="n">
        <v>28</v>
      </c>
      <c r="C271" t="inlineStr">
        <is>
          <t>Galeras</t>
        </is>
      </c>
      <c r="D271" t="inlineStr">
        <is>
          <t>GAL_28</t>
        </is>
      </c>
      <c r="E271" t="n">
        <v>746</v>
      </c>
      <c r="F271" t="inlineStr">
        <is>
          <t>Myristicaceae</t>
        </is>
      </c>
      <c r="G271" t="inlineStr">
        <is>
          <t>Virola</t>
        </is>
      </c>
      <c r="H271" t="inlineStr">
        <is>
          <t>obovata</t>
        </is>
      </c>
      <c r="I271" s="2" t="n">
        <v>38821</v>
      </c>
      <c r="J271">
        <f>3578</f>
        <v/>
      </c>
      <c r="K271" t="inlineStr"/>
      <c r="L271" t="inlineStr"/>
      <c r="M271" t="inlineStr"/>
      <c r="N271" t="n">
        <v>8718</v>
      </c>
    </row>
    <row r="272">
      <c r="A272" s="1" t="n">
        <v>270</v>
      </c>
      <c r="B272" t="n">
        <v>28</v>
      </c>
      <c r="C272" t="inlineStr">
        <is>
          <t>Galeras</t>
        </is>
      </c>
      <c r="D272" t="inlineStr">
        <is>
          <t>GAL_28</t>
        </is>
      </c>
      <c r="E272" t="n">
        <v>747</v>
      </c>
      <c r="F272" t="inlineStr">
        <is>
          <t>Arecaceae</t>
        </is>
      </c>
      <c r="G272" t="inlineStr">
        <is>
          <t>Wettinia</t>
        </is>
      </c>
      <c r="H272" t="inlineStr">
        <is>
          <t>anomala</t>
        </is>
      </c>
      <c r="I272" s="2" t="n">
        <v>38821</v>
      </c>
      <c r="J272" t="inlineStr"/>
      <c r="K272" t="inlineStr"/>
      <c r="L272" t="inlineStr"/>
      <c r="M272" t="inlineStr"/>
      <c r="N272" t="inlineStr"/>
    </row>
    <row r="273">
      <c r="A273" s="1" t="n">
        <v>271</v>
      </c>
      <c r="B273" t="n">
        <v>28</v>
      </c>
      <c r="C273" t="inlineStr">
        <is>
          <t>Galeras</t>
        </is>
      </c>
      <c r="D273" t="inlineStr">
        <is>
          <t>GAL_28</t>
        </is>
      </c>
      <c r="E273" t="n">
        <v>748</v>
      </c>
      <c r="F273" t="inlineStr">
        <is>
          <t>Fabaceae</t>
        </is>
      </c>
      <c r="G273" t="inlineStr">
        <is>
          <t>Diplotropis</t>
        </is>
      </c>
      <c r="H273" t="inlineStr">
        <is>
          <t>aff purpurea</t>
        </is>
      </c>
      <c r="I273" s="2" t="n">
        <v>38821</v>
      </c>
      <c r="J273">
        <f>3579</f>
        <v/>
      </c>
      <c r="K273" t="inlineStr"/>
      <c r="L273" t="inlineStr">
        <is>
          <t>Ο</t>
        </is>
      </c>
      <c r="M273" t="inlineStr">
        <is>
          <t>Ø</t>
        </is>
      </c>
      <c r="N273" t="n">
        <v>8711</v>
      </c>
    </row>
    <row r="274">
      <c r="A274" s="1" t="n">
        <v>272</v>
      </c>
      <c r="B274" t="n">
        <v>28</v>
      </c>
      <c r="C274" t="inlineStr">
        <is>
          <t>Galeras</t>
        </is>
      </c>
      <c r="D274" t="inlineStr">
        <is>
          <t>GAL_28</t>
        </is>
      </c>
      <c r="E274" t="n">
        <v>749</v>
      </c>
      <c r="F274" t="inlineStr">
        <is>
          <t>Lauraceae</t>
        </is>
      </c>
      <c r="G274" t="inlineStr"/>
      <c r="H274" t="inlineStr"/>
      <c r="I274" s="2" t="n">
        <v>38821</v>
      </c>
      <c r="J274" t="inlineStr">
        <is>
          <t>3577</t>
        </is>
      </c>
      <c r="K274" t="inlineStr"/>
      <c r="L274" t="inlineStr"/>
      <c r="M274" t="inlineStr"/>
      <c r="N274" t="inlineStr"/>
    </row>
    <row r="275">
      <c r="A275" s="1" t="n">
        <v>273</v>
      </c>
      <c r="B275" t="n">
        <v>28</v>
      </c>
      <c r="C275" t="inlineStr">
        <is>
          <t>Galeras</t>
        </is>
      </c>
      <c r="D275" t="inlineStr">
        <is>
          <t>GAL_28</t>
        </is>
      </c>
      <c r="E275" t="n">
        <v>750</v>
      </c>
      <c r="F275" t="inlineStr">
        <is>
          <t>Arecaceae</t>
        </is>
      </c>
      <c r="G275" t="inlineStr">
        <is>
          <t>Dictyocaryum</t>
        </is>
      </c>
      <c r="H275" t="inlineStr">
        <is>
          <t>lamarckianum</t>
        </is>
      </c>
      <c r="I275" s="2" t="n">
        <v>38821</v>
      </c>
      <c r="J275" t="inlineStr"/>
      <c r="K275" t="inlineStr"/>
      <c r="L275" t="inlineStr"/>
      <c r="M275" t="inlineStr"/>
      <c r="N275" t="n">
        <v>8710</v>
      </c>
    </row>
    <row r="276">
      <c r="A276" s="1" t="n">
        <v>274</v>
      </c>
      <c r="B276" t="n">
        <v>28</v>
      </c>
      <c r="C276" t="inlineStr">
        <is>
          <t>Galeras</t>
        </is>
      </c>
      <c r="D276" t="inlineStr">
        <is>
          <t>GAL_28</t>
        </is>
      </c>
      <c r="E276" t="n">
        <v>751</v>
      </c>
      <c r="F276" t="inlineStr">
        <is>
          <t>Urticaceae</t>
        </is>
      </c>
      <c r="G276" t="inlineStr">
        <is>
          <t>Pourouma</t>
        </is>
      </c>
      <c r="H276" t="inlineStr">
        <is>
          <t>minor</t>
        </is>
      </c>
      <c r="I276" s="2" t="n">
        <v>38821</v>
      </c>
      <c r="J276" t="inlineStr"/>
      <c r="K276" t="inlineStr"/>
      <c r="L276" t="inlineStr"/>
      <c r="M276" t="inlineStr"/>
      <c r="N276" t="n">
        <v>8709</v>
      </c>
    </row>
    <row r="277">
      <c r="A277" s="1" t="n">
        <v>275</v>
      </c>
      <c r="B277" t="n">
        <v>28</v>
      </c>
      <c r="C277" t="inlineStr">
        <is>
          <t>Galeras</t>
        </is>
      </c>
      <c r="D277" t="inlineStr">
        <is>
          <t>GAL_28</t>
        </is>
      </c>
      <c r="E277" t="n">
        <v>752</v>
      </c>
      <c r="F277" t="inlineStr">
        <is>
          <t>Rubiaceae</t>
        </is>
      </c>
      <c r="G277" t="inlineStr">
        <is>
          <t>Ladenbergia</t>
        </is>
      </c>
      <c r="H277" t="inlineStr">
        <is>
          <t>cf acutifolia</t>
        </is>
      </c>
      <c r="I277" s="2" t="n">
        <v>38821</v>
      </c>
      <c r="J277" t="inlineStr">
        <is>
          <t>3583</t>
        </is>
      </c>
      <c r="K277" t="inlineStr"/>
      <c r="L277" t="inlineStr"/>
      <c r="M277" t="inlineStr"/>
      <c r="N277" t="inlineStr"/>
    </row>
    <row r="278">
      <c r="A278" s="1" t="n">
        <v>276</v>
      </c>
      <c r="B278" t="n">
        <v>28</v>
      </c>
      <c r="C278" t="inlineStr">
        <is>
          <t>Galeras</t>
        </is>
      </c>
      <c r="D278" t="inlineStr">
        <is>
          <t>GAL_28</t>
        </is>
      </c>
      <c r="E278" t="n">
        <v>753</v>
      </c>
      <c r="F278" t="inlineStr">
        <is>
          <t>Rubiaceae</t>
        </is>
      </c>
      <c r="G278" t="inlineStr">
        <is>
          <t>Ladenbergia</t>
        </is>
      </c>
      <c r="H278" t="inlineStr">
        <is>
          <t>cf acutifolia</t>
        </is>
      </c>
      <c r="I278" s="2" t="n">
        <v>38821</v>
      </c>
      <c r="J278">
        <f>3583</f>
        <v/>
      </c>
      <c r="K278" t="inlineStr"/>
      <c r="L278" t="inlineStr"/>
      <c r="M278" t="inlineStr"/>
      <c r="N278" t="inlineStr"/>
    </row>
    <row r="279">
      <c r="A279" s="1" t="n">
        <v>277</v>
      </c>
      <c r="B279" t="n">
        <v>28</v>
      </c>
      <c r="C279" t="inlineStr">
        <is>
          <t>Galeras</t>
        </is>
      </c>
      <c r="D279" t="inlineStr">
        <is>
          <t>GAL_28</t>
        </is>
      </c>
      <c r="E279" t="n">
        <v>754</v>
      </c>
      <c r="F279" t="inlineStr">
        <is>
          <t>Arecaceae</t>
        </is>
      </c>
      <c r="G279" t="inlineStr">
        <is>
          <t>Dictyocaryum</t>
        </is>
      </c>
      <c r="H279" t="inlineStr">
        <is>
          <t>lamarckianum</t>
        </is>
      </c>
      <c r="I279" s="2" t="n">
        <v>38821</v>
      </c>
      <c r="J279" t="inlineStr"/>
      <c r="K279" t="inlineStr"/>
      <c r="L279" t="inlineStr"/>
      <c r="M279" t="inlineStr"/>
      <c r="N279" t="n">
        <v>8707</v>
      </c>
    </row>
    <row r="280">
      <c r="A280" s="1" t="n">
        <v>278</v>
      </c>
      <c r="B280" t="n">
        <v>28</v>
      </c>
      <c r="C280" t="inlineStr">
        <is>
          <t>Galeras</t>
        </is>
      </c>
      <c r="D280" t="inlineStr">
        <is>
          <t>GAL_28</t>
        </is>
      </c>
      <c r="E280" t="n">
        <v>755</v>
      </c>
      <c r="F280" t="inlineStr">
        <is>
          <t>Lauraceae</t>
        </is>
      </c>
      <c r="G280" t="inlineStr">
        <is>
          <t>Ocotea</t>
        </is>
      </c>
      <c r="H280" t="inlineStr">
        <is>
          <t>subrutilans</t>
        </is>
      </c>
      <c r="I280" s="2" t="n">
        <v>38821</v>
      </c>
      <c r="J280" t="inlineStr">
        <is>
          <t>3582</t>
        </is>
      </c>
      <c r="K280" t="inlineStr"/>
      <c r="L280" t="inlineStr">
        <is>
          <t>Ο</t>
        </is>
      </c>
      <c r="M280" t="inlineStr">
        <is>
          <t>Ø</t>
        </is>
      </c>
      <c r="N280" t="n">
        <v>8708</v>
      </c>
    </row>
    <row r="281">
      <c r="A281" s="1" t="n">
        <v>279</v>
      </c>
      <c r="B281" t="n">
        <v>28</v>
      </c>
      <c r="C281" t="inlineStr">
        <is>
          <t>Galeras</t>
        </is>
      </c>
      <c r="D281" t="inlineStr">
        <is>
          <t>GAL_28</t>
        </is>
      </c>
      <c r="E281" t="n">
        <v>756</v>
      </c>
      <c r="F281" t="inlineStr">
        <is>
          <t>Clusiaceae</t>
        </is>
      </c>
      <c r="G281" t="inlineStr">
        <is>
          <t>Garcinia</t>
        </is>
      </c>
      <c r="H281" t="inlineStr">
        <is>
          <t>madruno</t>
        </is>
      </c>
      <c r="I281" s="2" t="n">
        <v>38821</v>
      </c>
      <c r="J281">
        <f>3565</f>
        <v/>
      </c>
      <c r="K281" t="inlineStr"/>
      <c r="L281" t="inlineStr"/>
      <c r="M281" t="inlineStr"/>
      <c r="N281" t="n">
        <v>8701</v>
      </c>
    </row>
    <row r="282">
      <c r="A282" s="1" t="n">
        <v>280</v>
      </c>
      <c r="B282" t="n">
        <v>28</v>
      </c>
      <c r="C282" t="inlineStr">
        <is>
          <t>Galeras</t>
        </is>
      </c>
      <c r="D282" t="inlineStr">
        <is>
          <t>GAL_28</t>
        </is>
      </c>
      <c r="E282" t="n">
        <v>757</v>
      </c>
      <c r="F282" t="inlineStr">
        <is>
          <t>Euphorbiaceae</t>
        </is>
      </c>
      <c r="G282" t="inlineStr">
        <is>
          <t>Chaetocarpus</t>
        </is>
      </c>
      <c r="H282" t="inlineStr"/>
      <c r="I282" s="2" t="n">
        <v>38821</v>
      </c>
      <c r="J282" t="inlineStr">
        <is>
          <t>3580</t>
        </is>
      </c>
      <c r="K282" t="inlineStr"/>
      <c r="L282" t="inlineStr">
        <is>
          <t>Ο</t>
        </is>
      </c>
      <c r="M282" t="inlineStr">
        <is>
          <t>Ø</t>
        </is>
      </c>
      <c r="N282" t="n">
        <v>8702</v>
      </c>
    </row>
    <row r="283">
      <c r="A283" s="1" t="n">
        <v>281</v>
      </c>
      <c r="B283" t="n">
        <v>28</v>
      </c>
      <c r="C283" t="inlineStr">
        <is>
          <t>Galeras</t>
        </is>
      </c>
      <c r="D283" t="inlineStr">
        <is>
          <t>GAL_28</t>
        </is>
      </c>
      <c r="E283" t="n">
        <v>758</v>
      </c>
      <c r="F283" t="inlineStr">
        <is>
          <t>Chloranthaceae</t>
        </is>
      </c>
      <c r="G283" t="inlineStr">
        <is>
          <t>Hedyosmum</t>
        </is>
      </c>
      <c r="H283" t="inlineStr">
        <is>
          <t>anisodorum</t>
        </is>
      </c>
      <c r="I283" s="2" t="n">
        <v>38821</v>
      </c>
      <c r="J283">
        <f>2303</f>
        <v/>
      </c>
      <c r="K283" t="inlineStr"/>
      <c r="L283" t="inlineStr"/>
      <c r="M283" t="inlineStr"/>
      <c r="N283" t="inlineStr"/>
    </row>
    <row r="284">
      <c r="A284" s="1" t="n">
        <v>282</v>
      </c>
      <c r="B284" t="n">
        <v>28</v>
      </c>
      <c r="C284" t="inlineStr">
        <is>
          <t>Galeras</t>
        </is>
      </c>
      <c r="D284" t="inlineStr">
        <is>
          <t>GAL_28</t>
        </is>
      </c>
      <c r="E284" t="n">
        <v>759</v>
      </c>
      <c r="F284" t="inlineStr">
        <is>
          <t>Myrsinaceae</t>
        </is>
      </c>
      <c r="G284" t="inlineStr">
        <is>
          <t>Myrsine</t>
        </is>
      </c>
      <c r="H284" t="inlineStr">
        <is>
          <t>coriaceae</t>
        </is>
      </c>
      <c r="I284" s="2" t="n">
        <v>38821</v>
      </c>
      <c r="J284" t="inlineStr"/>
      <c r="K284" t="inlineStr"/>
      <c r="L284" t="inlineStr"/>
      <c r="M284" t="inlineStr"/>
      <c r="N284" t="n">
        <v>8703</v>
      </c>
    </row>
    <row r="285">
      <c r="A285" s="1" t="n">
        <v>283</v>
      </c>
      <c r="B285" t="n">
        <v>28</v>
      </c>
      <c r="C285" t="inlineStr">
        <is>
          <t>Galeras</t>
        </is>
      </c>
      <c r="D285" t="inlineStr">
        <is>
          <t>GAL_28</t>
        </is>
      </c>
      <c r="E285" t="inlineStr"/>
      <c r="F285" t="inlineStr">
        <is>
          <t>Urticaceae</t>
        </is>
      </c>
      <c r="G285" t="inlineStr">
        <is>
          <t>Pourouma</t>
        </is>
      </c>
      <c r="H285" t="inlineStr">
        <is>
          <t>minor</t>
        </is>
      </c>
      <c r="I285" t="inlineStr"/>
      <c r="J285" t="inlineStr"/>
      <c r="K285" t="inlineStr"/>
      <c r="L285" t="inlineStr">
        <is>
          <t>Ο</t>
        </is>
      </c>
      <c r="M285" t="inlineStr">
        <is>
          <t>Ø</t>
        </is>
      </c>
      <c r="N285" t="n">
        <v>8713</v>
      </c>
    </row>
    <row r="286">
      <c r="A286" s="1" t="n">
        <v>284</v>
      </c>
      <c r="B286" t="n">
        <v>28</v>
      </c>
      <c r="C286" t="inlineStr">
        <is>
          <t>Galeras</t>
        </is>
      </c>
      <c r="D286" t="inlineStr">
        <is>
          <t>GAL_28</t>
        </is>
      </c>
      <c r="E286" t="inlineStr"/>
      <c r="F286" t="inlineStr">
        <is>
          <t>Cunnoniaceae</t>
        </is>
      </c>
      <c r="G286" t="inlineStr">
        <is>
          <t>Weinmannia</t>
        </is>
      </c>
      <c r="H286" t="inlineStr">
        <is>
          <t>cf fagaroides</t>
        </is>
      </c>
      <c r="I286" t="inlineStr"/>
      <c r="J286" t="inlineStr"/>
      <c r="K286" t="inlineStr"/>
      <c r="L286" t="inlineStr"/>
      <c r="M286" t="inlineStr"/>
      <c r="N286" t="n">
        <v>8714</v>
      </c>
    </row>
    <row r="287">
      <c r="A287" s="1" t="n">
        <v>285</v>
      </c>
      <c r="B287" t="n">
        <v>28</v>
      </c>
      <c r="C287" t="inlineStr">
        <is>
          <t>Galeras</t>
        </is>
      </c>
      <c r="D287" t="inlineStr">
        <is>
          <t>GAL_28</t>
        </is>
      </c>
      <c r="E287" t="inlineStr"/>
      <c r="F287" t="inlineStr">
        <is>
          <t>Rubiaceae</t>
        </is>
      </c>
      <c r="G287" t="inlineStr">
        <is>
          <t>Rubi28</t>
        </is>
      </c>
      <c r="H287" t="inlineStr"/>
      <c r="I287" t="inlineStr"/>
      <c r="J287" t="inlineStr"/>
      <c r="K287" t="inlineStr"/>
      <c r="L287" t="inlineStr"/>
      <c r="M287" t="inlineStr"/>
      <c r="N287" t="n">
        <v>8715</v>
      </c>
    </row>
    <row r="288">
      <c r="A288" s="1" t="n">
        <v>286</v>
      </c>
      <c r="B288" t="n">
        <v>28</v>
      </c>
      <c r="C288" t="inlineStr">
        <is>
          <t>Galeras</t>
        </is>
      </c>
      <c r="D288" t="inlineStr">
        <is>
          <t>GAL_28</t>
        </is>
      </c>
      <c r="E288" t="inlineStr"/>
      <c r="F288" t="inlineStr">
        <is>
          <t>Lauraceae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n">
        <v>8717</v>
      </c>
    </row>
    <row r="289">
      <c r="A289" s="1" t="n">
        <v>287</v>
      </c>
      <c r="B289" t="n">
        <v>28</v>
      </c>
      <c r="C289" t="inlineStr">
        <is>
          <t>Galeras</t>
        </is>
      </c>
      <c r="D289" t="inlineStr">
        <is>
          <t>GAL_28</t>
        </is>
      </c>
      <c r="E289" t="inlineStr"/>
      <c r="F289" t="inlineStr">
        <is>
          <t>Anacardiaceae</t>
        </is>
      </c>
      <c r="G289" t="inlineStr">
        <is>
          <t>Tapirira</t>
        </is>
      </c>
      <c r="H289" t="inlineStr"/>
      <c r="I289" t="inlineStr"/>
      <c r="J289" t="inlineStr"/>
      <c r="K289" t="inlineStr"/>
      <c r="L289" t="inlineStr"/>
      <c r="M289" t="inlineStr"/>
      <c r="N289" t="n">
        <v>8720</v>
      </c>
    </row>
    <row r="290">
      <c r="A290" s="1" t="n">
        <v>288</v>
      </c>
      <c r="B290" t="n">
        <v>28</v>
      </c>
      <c r="C290" t="inlineStr">
        <is>
          <t>Galeras</t>
        </is>
      </c>
      <c r="D290" t="inlineStr">
        <is>
          <t>GAL_28</t>
        </is>
      </c>
      <c r="E290" t="inlineStr"/>
      <c r="F290" t="inlineStr">
        <is>
          <t>Chrysobalanaceae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n">
        <v>8721</v>
      </c>
    </row>
    <row r="291">
      <c r="A291" s="1" t="n">
        <v>289</v>
      </c>
      <c r="B291" t="n">
        <v>28</v>
      </c>
      <c r="C291" t="inlineStr">
        <is>
          <t>Galeras</t>
        </is>
      </c>
      <c r="D291" t="inlineStr">
        <is>
          <t>GAL_28</t>
        </is>
      </c>
      <c r="E291" t="inlineStr"/>
      <c r="F291" t="inlineStr">
        <is>
          <t>Fabaceae</t>
        </is>
      </c>
      <c r="G291" t="inlineStr">
        <is>
          <t>Diplotropis</t>
        </is>
      </c>
      <c r="H291" t="inlineStr"/>
      <c r="I291" t="inlineStr"/>
      <c r="J291" t="inlineStr"/>
      <c r="K291" t="inlineStr"/>
      <c r="L291" t="inlineStr"/>
      <c r="M291" t="inlineStr"/>
      <c r="N291" t="n">
        <v>8725</v>
      </c>
    </row>
    <row r="292">
      <c r="A292" s="1" t="n">
        <v>290</v>
      </c>
      <c r="B292" t="n">
        <v>28</v>
      </c>
      <c r="C292" t="inlineStr">
        <is>
          <t>Galeras</t>
        </is>
      </c>
      <c r="D292" t="inlineStr">
        <is>
          <t>GAL_28</t>
        </is>
      </c>
      <c r="E292" t="inlineStr"/>
      <c r="F292" t="inlineStr">
        <is>
          <t>indet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n">
        <v>8727</v>
      </c>
    </row>
    <row r="293">
      <c r="A293" s="1" t="n">
        <v>291</v>
      </c>
      <c r="B293" t="n">
        <v>28</v>
      </c>
      <c r="C293" t="inlineStr">
        <is>
          <t>Galeras</t>
        </is>
      </c>
      <c r="D293" t="inlineStr">
        <is>
          <t>GAL_28</t>
        </is>
      </c>
      <c r="E293" t="inlineStr"/>
      <c r="F293" t="inlineStr">
        <is>
          <t>Lauraceae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n">
        <v>8729</v>
      </c>
    </row>
    <row r="294">
      <c r="A294" s="1" t="n">
        <v>292</v>
      </c>
      <c r="B294" t="n">
        <v>28</v>
      </c>
      <c r="C294" t="inlineStr">
        <is>
          <t>Galeras</t>
        </is>
      </c>
      <c r="D294" t="inlineStr">
        <is>
          <t>GAL_28</t>
        </is>
      </c>
      <c r="E294" t="inlineStr"/>
      <c r="F294" t="inlineStr">
        <is>
          <t>Myrsinaceae</t>
        </is>
      </c>
      <c r="G294" t="inlineStr">
        <is>
          <t>Myrsine</t>
        </is>
      </c>
      <c r="H294" t="inlineStr"/>
      <c r="I294" t="inlineStr"/>
      <c r="J294" t="inlineStr"/>
      <c r="K294" t="inlineStr"/>
      <c r="L294" t="inlineStr"/>
      <c r="M294" t="inlineStr"/>
      <c r="N294" t="n">
        <v>8732</v>
      </c>
    </row>
    <row r="295">
      <c r="A295" s="1" t="n">
        <v>293</v>
      </c>
      <c r="B295" t="n">
        <v>28</v>
      </c>
      <c r="C295" t="inlineStr">
        <is>
          <t>Galeras</t>
        </is>
      </c>
      <c r="D295" t="inlineStr">
        <is>
          <t>GAL_28</t>
        </is>
      </c>
      <c r="E295" t="inlineStr"/>
      <c r="F295" t="inlineStr">
        <is>
          <t>indet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n">
        <v>8731</v>
      </c>
    </row>
    <row r="296">
      <c r="A296" s="1" t="n">
        <v>294</v>
      </c>
      <c r="B296" t="n">
        <v>28</v>
      </c>
      <c r="C296" t="inlineStr">
        <is>
          <t>Galeras</t>
        </is>
      </c>
      <c r="D296" t="inlineStr">
        <is>
          <t>GAL_28</t>
        </is>
      </c>
      <c r="E296" t="inlineStr"/>
      <c r="F296" t="inlineStr">
        <is>
          <t>Apocynaceae</t>
        </is>
      </c>
      <c r="G296" t="inlineStr">
        <is>
          <t>Apo28</t>
        </is>
      </c>
      <c r="H296" t="inlineStr"/>
      <c r="I296" t="inlineStr"/>
      <c r="J296" t="inlineStr"/>
      <c r="K296" t="inlineStr"/>
      <c r="L296" t="inlineStr"/>
      <c r="M296" t="inlineStr"/>
      <c r="N296" t="n">
        <v>8734</v>
      </c>
    </row>
    <row r="297">
      <c r="A297" s="1" t="n">
        <v>295</v>
      </c>
      <c r="B297" t="n">
        <v>28</v>
      </c>
      <c r="C297" t="inlineStr">
        <is>
          <t>Galeras</t>
        </is>
      </c>
      <c r="D297" t="inlineStr">
        <is>
          <t>GAL_28</t>
        </is>
      </c>
      <c r="E297" t="inlineStr"/>
      <c r="F297" t="inlineStr">
        <is>
          <t>Rubiaceae</t>
        </is>
      </c>
      <c r="G297" t="inlineStr">
        <is>
          <t>Rubi28</t>
        </is>
      </c>
      <c r="H297" t="inlineStr"/>
      <c r="I297" t="inlineStr"/>
      <c r="J297" t="inlineStr"/>
      <c r="K297" t="inlineStr"/>
      <c r="L297" t="inlineStr"/>
      <c r="M297" t="inlineStr"/>
      <c r="N297" t="n">
        <v>8737</v>
      </c>
    </row>
    <row r="298">
      <c r="A298" s="1" t="n">
        <v>296</v>
      </c>
      <c r="B298" t="n">
        <v>28</v>
      </c>
      <c r="C298" t="inlineStr">
        <is>
          <t>Galeras</t>
        </is>
      </c>
      <c r="D298" t="inlineStr">
        <is>
          <t>GAL_28</t>
        </is>
      </c>
      <c r="E298" t="inlineStr"/>
      <c r="F298" t="inlineStr">
        <is>
          <t>Rubiaceae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n">
        <v>8740</v>
      </c>
    </row>
    <row r="299">
      <c r="A299" s="1" t="n">
        <v>297</v>
      </c>
      <c r="B299" t="n">
        <v>28</v>
      </c>
      <c r="C299" t="inlineStr">
        <is>
          <t>Galeras</t>
        </is>
      </c>
      <c r="D299" t="inlineStr">
        <is>
          <t>GAL_28</t>
        </is>
      </c>
      <c r="E299" t="inlineStr"/>
      <c r="F299" t="inlineStr">
        <is>
          <t>Arecaceae</t>
        </is>
      </c>
      <c r="G299" t="inlineStr">
        <is>
          <t>Dictyocaryum</t>
        </is>
      </c>
      <c r="H299" t="inlineStr">
        <is>
          <t>lamarckianum</t>
        </is>
      </c>
      <c r="I299" t="inlineStr"/>
      <c r="J299" t="inlineStr"/>
      <c r="K299" t="inlineStr"/>
      <c r="L299" t="inlineStr"/>
      <c r="M299" t="inlineStr"/>
      <c r="N299" t="n">
        <v>8722</v>
      </c>
    </row>
    <row r="300">
      <c r="A300" s="1" t="n">
        <v>298</v>
      </c>
      <c r="B300" t="n">
        <v>29</v>
      </c>
      <c r="C300" t="inlineStr">
        <is>
          <t>Galeras</t>
        </is>
      </c>
      <c r="D300" t="inlineStr">
        <is>
          <t>GAL_29</t>
        </is>
      </c>
      <c r="E300" t="n">
        <v>760</v>
      </c>
      <c r="F300" t="inlineStr">
        <is>
          <t>Lecythidaceae</t>
        </is>
      </c>
      <c r="G300" t="inlineStr">
        <is>
          <t>Grias</t>
        </is>
      </c>
      <c r="H300" t="inlineStr">
        <is>
          <t>peruviana</t>
        </is>
      </c>
      <c r="I300" s="2" t="n">
        <v>38823</v>
      </c>
      <c r="J300">
        <f>3739</f>
        <v/>
      </c>
      <c r="K300" t="inlineStr"/>
      <c r="L300" t="inlineStr"/>
      <c r="M300" t="inlineStr"/>
      <c r="N300" t="inlineStr"/>
    </row>
    <row r="301">
      <c r="A301" s="1" t="n">
        <v>299</v>
      </c>
      <c r="B301" t="n">
        <v>29</v>
      </c>
      <c r="C301" t="inlineStr">
        <is>
          <t>Galeras</t>
        </is>
      </c>
      <c r="D301" t="inlineStr">
        <is>
          <t>GAL_29</t>
        </is>
      </c>
      <c r="E301" t="n">
        <v>761</v>
      </c>
      <c r="F301" t="inlineStr">
        <is>
          <t>Sapotaceae</t>
        </is>
      </c>
      <c r="G301" t="inlineStr">
        <is>
          <t>Micropholis</t>
        </is>
      </c>
      <c r="H301" t="inlineStr">
        <is>
          <t>melinoniana</t>
        </is>
      </c>
      <c r="I301" s="2" t="n">
        <v>38823</v>
      </c>
      <c r="J301" t="inlineStr">
        <is>
          <t>3783</t>
        </is>
      </c>
      <c r="K301" t="inlineStr"/>
      <c r="L301" t="inlineStr"/>
      <c r="M301" t="inlineStr"/>
      <c r="N301" t="inlineStr"/>
    </row>
    <row r="302">
      <c r="A302" s="1" t="n">
        <v>300</v>
      </c>
      <c r="B302" t="n">
        <v>29</v>
      </c>
      <c r="C302" t="inlineStr">
        <is>
          <t>Galeras</t>
        </is>
      </c>
      <c r="D302" t="inlineStr">
        <is>
          <t>GAL_29</t>
        </is>
      </c>
      <c r="E302" t="n">
        <v>762</v>
      </c>
      <c r="F302" t="inlineStr">
        <is>
          <t>Lacistemataceae</t>
        </is>
      </c>
      <c r="G302" t="inlineStr">
        <is>
          <t>Lozania</t>
        </is>
      </c>
      <c r="H302" t="inlineStr">
        <is>
          <t>mutisiana</t>
        </is>
      </c>
      <c r="I302" s="2" t="n">
        <v>38823</v>
      </c>
      <c r="J302" t="inlineStr">
        <is>
          <t>3784</t>
        </is>
      </c>
      <c r="K302" t="n">
        <v>1</v>
      </c>
      <c r="L302" t="inlineStr"/>
      <c r="M302" t="inlineStr"/>
      <c r="N302" t="inlineStr"/>
    </row>
    <row r="303">
      <c r="A303" s="1" t="n">
        <v>301</v>
      </c>
      <c r="B303" t="n">
        <v>29</v>
      </c>
      <c r="C303" t="inlineStr">
        <is>
          <t>Galeras</t>
        </is>
      </c>
      <c r="D303" t="inlineStr">
        <is>
          <t>GAL_29</t>
        </is>
      </c>
      <c r="E303" t="n">
        <v>763</v>
      </c>
      <c r="F303" t="inlineStr">
        <is>
          <t>Myrtaceae</t>
        </is>
      </c>
      <c r="G303" t="inlineStr">
        <is>
          <t>Eugenia</t>
        </is>
      </c>
      <c r="H303" t="inlineStr"/>
      <c r="I303" s="2" t="n">
        <v>38823</v>
      </c>
      <c r="J303" t="inlineStr">
        <is>
          <t>3785</t>
        </is>
      </c>
      <c r="K303" t="n">
        <v>1</v>
      </c>
      <c r="L303" t="inlineStr"/>
      <c r="M303" t="inlineStr"/>
      <c r="N303" t="inlineStr"/>
    </row>
    <row r="304">
      <c r="A304" s="1" t="n">
        <v>302</v>
      </c>
      <c r="B304" t="n">
        <v>29</v>
      </c>
      <c r="C304" t="inlineStr">
        <is>
          <t>Galeras</t>
        </is>
      </c>
      <c r="D304" t="inlineStr">
        <is>
          <t>GAL_29</t>
        </is>
      </c>
      <c r="E304" t="n">
        <v>764</v>
      </c>
      <c r="F304" t="inlineStr">
        <is>
          <t>Meliaceae</t>
        </is>
      </c>
      <c r="G304" t="inlineStr">
        <is>
          <t>Guarea</t>
        </is>
      </c>
      <c r="H304" t="inlineStr">
        <is>
          <t>pterorhachis</t>
        </is>
      </c>
      <c r="I304" s="2" t="n">
        <v>38823</v>
      </c>
      <c r="J304" t="inlineStr"/>
      <c r="K304" t="inlineStr"/>
      <c r="L304" t="inlineStr"/>
      <c r="M304" t="inlineStr"/>
      <c r="N304" t="inlineStr"/>
    </row>
    <row r="305">
      <c r="A305" s="1" t="n">
        <v>303</v>
      </c>
      <c r="B305" t="n">
        <v>29</v>
      </c>
      <c r="C305" t="inlineStr">
        <is>
          <t>Galeras</t>
        </is>
      </c>
      <c r="D305" t="inlineStr">
        <is>
          <t>GAL_29</t>
        </is>
      </c>
      <c r="E305" t="n">
        <v>765</v>
      </c>
      <c r="F305" t="inlineStr">
        <is>
          <t>Meliaceae</t>
        </is>
      </c>
      <c r="G305" t="inlineStr">
        <is>
          <t>Trichilia</t>
        </is>
      </c>
      <c r="H305" t="inlineStr"/>
      <c r="I305" s="2" t="n">
        <v>38823</v>
      </c>
      <c r="J305" t="inlineStr">
        <is>
          <t>3786</t>
        </is>
      </c>
      <c r="K305" t="inlineStr"/>
      <c r="L305" t="inlineStr"/>
      <c r="M305" t="inlineStr"/>
      <c r="N305" t="inlineStr"/>
    </row>
    <row r="306">
      <c r="A306" s="1" t="n">
        <v>304</v>
      </c>
      <c r="B306" t="n">
        <v>29</v>
      </c>
      <c r="C306" t="inlineStr">
        <is>
          <t>Galeras</t>
        </is>
      </c>
      <c r="D306" t="inlineStr">
        <is>
          <t>GAL_29</t>
        </is>
      </c>
      <c r="E306" t="n">
        <v>766</v>
      </c>
      <c r="F306" t="inlineStr">
        <is>
          <t>Fabaceae</t>
        </is>
      </c>
      <c r="G306" t="inlineStr">
        <is>
          <t>Inga</t>
        </is>
      </c>
      <c r="H306" t="inlineStr">
        <is>
          <t>aff. acrocephala</t>
        </is>
      </c>
      <c r="I306" s="2" t="n">
        <v>38823</v>
      </c>
      <c r="J306">
        <f>3777</f>
        <v/>
      </c>
      <c r="K306" t="inlineStr"/>
      <c r="L306" t="inlineStr"/>
      <c r="M306" t="inlineStr"/>
      <c r="N306" t="inlineStr"/>
    </row>
    <row r="307">
      <c r="A307" s="1" t="n">
        <v>305</v>
      </c>
      <c r="B307" t="n">
        <v>29</v>
      </c>
      <c r="C307" t="inlineStr">
        <is>
          <t>Galeras</t>
        </is>
      </c>
      <c r="D307" t="inlineStr">
        <is>
          <t>GAL_29</t>
        </is>
      </c>
      <c r="E307" t="n">
        <v>767</v>
      </c>
      <c r="F307" t="inlineStr">
        <is>
          <t>Sapotaceae</t>
        </is>
      </c>
      <c r="G307" t="inlineStr">
        <is>
          <t>Chrysophyllum</t>
        </is>
      </c>
      <c r="H307" t="inlineStr">
        <is>
          <t>venezuelanense</t>
        </is>
      </c>
      <c r="I307" s="2" t="n">
        <v>38823</v>
      </c>
      <c r="J307" t="inlineStr">
        <is>
          <t>3787</t>
        </is>
      </c>
      <c r="K307" t="inlineStr"/>
      <c r="L307" t="inlineStr"/>
      <c r="M307" t="inlineStr"/>
      <c r="N307" t="inlineStr"/>
    </row>
    <row r="308">
      <c r="A308" s="1" t="n">
        <v>306</v>
      </c>
      <c r="B308" t="n">
        <v>29</v>
      </c>
      <c r="C308" t="inlineStr">
        <is>
          <t>Galeras</t>
        </is>
      </c>
      <c r="D308" t="inlineStr">
        <is>
          <t>GAL_29</t>
        </is>
      </c>
      <c r="E308" t="n">
        <v>768</v>
      </c>
      <c r="F308" t="inlineStr">
        <is>
          <t>Violaceae</t>
        </is>
      </c>
      <c r="G308" t="inlineStr">
        <is>
          <t>Leonia</t>
        </is>
      </c>
      <c r="H308" t="inlineStr">
        <is>
          <t>glycycarpa</t>
        </is>
      </c>
      <c r="I308" s="2" t="n">
        <v>38823</v>
      </c>
      <c r="J308">
        <f>3762</f>
        <v/>
      </c>
      <c r="K308" t="n">
        <v>1</v>
      </c>
      <c r="L308" t="inlineStr"/>
      <c r="M308" t="inlineStr"/>
      <c r="N308" t="inlineStr"/>
    </row>
    <row r="309">
      <c r="A309" s="1" t="n">
        <v>307</v>
      </c>
      <c r="B309" t="n">
        <v>29</v>
      </c>
      <c r="C309" t="inlineStr">
        <is>
          <t>Galeras</t>
        </is>
      </c>
      <c r="D309" t="inlineStr">
        <is>
          <t>GAL_29</t>
        </is>
      </c>
      <c r="E309" t="n">
        <v>769</v>
      </c>
      <c r="F309" t="inlineStr">
        <is>
          <t>Fabaceae</t>
        </is>
      </c>
      <c r="G309" t="inlineStr">
        <is>
          <t>Inga</t>
        </is>
      </c>
      <c r="H309" t="inlineStr">
        <is>
          <t>marginata</t>
        </is>
      </c>
      <c r="I309" s="2" t="n">
        <v>38823</v>
      </c>
      <c r="J309">
        <f>3736</f>
        <v/>
      </c>
      <c r="K309" t="inlineStr"/>
      <c r="L309" t="inlineStr"/>
      <c r="M309" t="inlineStr"/>
      <c r="N309" t="inlineStr"/>
    </row>
    <row r="310">
      <c r="A310" s="1" t="n">
        <v>308</v>
      </c>
      <c r="B310" t="n">
        <v>29</v>
      </c>
      <c r="C310" t="inlineStr">
        <is>
          <t>Galeras</t>
        </is>
      </c>
      <c r="D310" t="inlineStr">
        <is>
          <t>GAL_29</t>
        </is>
      </c>
      <c r="E310" t="n">
        <v>770</v>
      </c>
      <c r="F310" t="inlineStr">
        <is>
          <t>Meliaceae</t>
        </is>
      </c>
      <c r="G310" t="inlineStr">
        <is>
          <t>Guarea</t>
        </is>
      </c>
      <c r="H310" t="inlineStr">
        <is>
          <t>kunthiana</t>
        </is>
      </c>
      <c r="I310" s="2" t="n">
        <v>38823</v>
      </c>
      <c r="J310" t="inlineStr"/>
      <c r="K310" t="inlineStr"/>
      <c r="L310" t="inlineStr"/>
      <c r="M310" t="inlineStr"/>
      <c r="N310" t="inlineStr"/>
    </row>
    <row r="311">
      <c r="A311" s="1" t="n">
        <v>309</v>
      </c>
      <c r="B311" t="n">
        <v>29</v>
      </c>
      <c r="C311" t="inlineStr">
        <is>
          <t>Galeras</t>
        </is>
      </c>
      <c r="D311" t="inlineStr">
        <is>
          <t>GAL_29</t>
        </is>
      </c>
      <c r="E311" t="n">
        <v>771</v>
      </c>
      <c r="F311" t="inlineStr">
        <is>
          <t>Salicaceae</t>
        </is>
      </c>
      <c r="G311" t="inlineStr">
        <is>
          <t>Neosprucea</t>
        </is>
      </c>
      <c r="H311" t="inlineStr">
        <is>
          <t>cf grandiflora</t>
        </is>
      </c>
      <c r="I311" s="2" t="n">
        <v>38823</v>
      </c>
      <c r="J311" t="inlineStr"/>
      <c r="K311" t="inlineStr"/>
      <c r="L311" t="inlineStr"/>
      <c r="M311" t="inlineStr"/>
      <c r="N311" t="inlineStr"/>
    </row>
    <row r="312">
      <c r="A312" s="1" t="n">
        <v>310</v>
      </c>
      <c r="B312" t="n">
        <v>29</v>
      </c>
      <c r="C312" t="inlineStr">
        <is>
          <t>Galeras</t>
        </is>
      </c>
      <c r="D312" t="inlineStr">
        <is>
          <t>GAL_29</t>
        </is>
      </c>
      <c r="E312" t="n">
        <v>772</v>
      </c>
      <c r="F312" t="inlineStr">
        <is>
          <t>Myristicaceae</t>
        </is>
      </c>
      <c r="G312" t="inlineStr">
        <is>
          <t>Virola</t>
        </is>
      </c>
      <c r="H312" t="inlineStr">
        <is>
          <t>pavonis</t>
        </is>
      </c>
      <c r="I312" s="2" t="n">
        <v>38823</v>
      </c>
      <c r="J312" t="inlineStr"/>
      <c r="K312" t="inlineStr"/>
      <c r="L312" t="inlineStr"/>
      <c r="M312" t="inlineStr"/>
      <c r="N312" t="inlineStr"/>
    </row>
    <row r="313">
      <c r="A313" s="1" t="n">
        <v>311</v>
      </c>
      <c r="B313" t="n">
        <v>29</v>
      </c>
      <c r="C313" t="inlineStr">
        <is>
          <t>Galeras</t>
        </is>
      </c>
      <c r="D313" t="inlineStr">
        <is>
          <t>GAL_29</t>
        </is>
      </c>
      <c r="E313" t="n">
        <v>773</v>
      </c>
      <c r="F313" t="inlineStr">
        <is>
          <t>Arecaceae</t>
        </is>
      </c>
      <c r="G313" t="inlineStr">
        <is>
          <t>Iriartea</t>
        </is>
      </c>
      <c r="H313" t="inlineStr">
        <is>
          <t>deltoidea</t>
        </is>
      </c>
      <c r="I313" s="2" t="n">
        <v>38823</v>
      </c>
      <c r="J313" t="inlineStr"/>
      <c r="K313" t="inlineStr"/>
      <c r="L313" t="inlineStr"/>
      <c r="M313" t="inlineStr"/>
      <c r="N313" t="inlineStr"/>
    </row>
    <row r="314">
      <c r="A314" s="1" t="n">
        <v>312</v>
      </c>
      <c r="B314" t="n">
        <v>29</v>
      </c>
      <c r="C314" t="inlineStr">
        <is>
          <t>Galeras</t>
        </is>
      </c>
      <c r="D314" t="inlineStr">
        <is>
          <t>GAL_29</t>
        </is>
      </c>
      <c r="E314" t="n">
        <v>774</v>
      </c>
      <c r="F314" t="inlineStr">
        <is>
          <t>Cardiopteridaceae</t>
        </is>
      </c>
      <c r="G314" t="inlineStr">
        <is>
          <t>Dendrobangia</t>
        </is>
      </c>
      <c r="H314" t="inlineStr">
        <is>
          <t>boliviana</t>
        </is>
      </c>
      <c r="I314" s="2" t="n">
        <v>38823</v>
      </c>
      <c r="J314" t="inlineStr">
        <is>
          <t>3788</t>
        </is>
      </c>
      <c r="K314" t="inlineStr"/>
      <c r="L314" t="inlineStr"/>
      <c r="M314" t="inlineStr"/>
      <c r="N314" t="inlineStr"/>
    </row>
    <row r="315">
      <c r="A315" s="1" t="n">
        <v>313</v>
      </c>
      <c r="B315" t="n">
        <v>29</v>
      </c>
      <c r="C315" t="inlineStr">
        <is>
          <t>Galeras</t>
        </is>
      </c>
      <c r="D315" t="inlineStr">
        <is>
          <t>GAL_29</t>
        </is>
      </c>
      <c r="E315" t="n">
        <v>775</v>
      </c>
      <c r="F315" t="inlineStr">
        <is>
          <t>Fabaceae</t>
        </is>
      </c>
      <c r="G315" t="inlineStr">
        <is>
          <t>Inga</t>
        </is>
      </c>
      <c r="H315" t="inlineStr">
        <is>
          <t>capitata</t>
        </is>
      </c>
      <c r="I315" s="2" t="n">
        <v>38823</v>
      </c>
      <c r="J315" t="inlineStr">
        <is>
          <t>3789</t>
        </is>
      </c>
      <c r="K315" t="inlineStr"/>
      <c r="L315" t="inlineStr"/>
      <c r="M315" t="inlineStr"/>
      <c r="N315" t="inlineStr"/>
    </row>
    <row r="316">
      <c r="A316" s="1" t="n">
        <v>314</v>
      </c>
      <c r="B316" t="n">
        <v>29</v>
      </c>
      <c r="C316" t="inlineStr">
        <is>
          <t>Galeras</t>
        </is>
      </c>
      <c r="D316" t="inlineStr">
        <is>
          <t>GAL_29</t>
        </is>
      </c>
      <c r="E316" t="n">
        <v>776</v>
      </c>
      <c r="F316" t="inlineStr">
        <is>
          <t>Anacardiaceae</t>
        </is>
      </c>
      <c r="G316" t="inlineStr">
        <is>
          <t>Tapirira</t>
        </is>
      </c>
      <c r="H316" t="inlineStr">
        <is>
          <t>guianensis</t>
        </is>
      </c>
      <c r="I316" s="2" t="n">
        <v>38823</v>
      </c>
      <c r="J316">
        <f>3793</f>
        <v/>
      </c>
      <c r="K316" t="inlineStr"/>
      <c r="L316" t="inlineStr"/>
      <c r="M316" t="inlineStr"/>
      <c r="N316" t="inlineStr"/>
    </row>
    <row r="317">
      <c r="A317" s="1" t="n">
        <v>315</v>
      </c>
      <c r="B317" t="n">
        <v>29</v>
      </c>
      <c r="C317" t="inlineStr">
        <is>
          <t>Galeras</t>
        </is>
      </c>
      <c r="D317" t="inlineStr">
        <is>
          <t>GAL_29</t>
        </is>
      </c>
      <c r="E317" t="n">
        <v>777</v>
      </c>
      <c r="F317" t="inlineStr">
        <is>
          <t>Anacardiaceae</t>
        </is>
      </c>
      <c r="G317" t="inlineStr">
        <is>
          <t>Tapirira</t>
        </is>
      </c>
      <c r="H317" t="inlineStr">
        <is>
          <t>guianensis</t>
        </is>
      </c>
      <c r="I317" s="2" t="n">
        <v>38823</v>
      </c>
      <c r="J317" t="inlineStr">
        <is>
          <t>3790</t>
        </is>
      </c>
      <c r="K317" t="n">
        <v>1</v>
      </c>
      <c r="L317" t="inlineStr"/>
      <c r="M317" t="inlineStr"/>
      <c r="N317" t="inlineStr"/>
    </row>
    <row r="318">
      <c r="A318" s="1" t="n">
        <v>316</v>
      </c>
      <c r="B318" t="n">
        <v>29</v>
      </c>
      <c r="C318" t="inlineStr">
        <is>
          <t>Galeras</t>
        </is>
      </c>
      <c r="D318" t="inlineStr">
        <is>
          <t>GAL_29</t>
        </is>
      </c>
      <c r="E318" t="n">
        <v>778</v>
      </c>
      <c r="F318" t="inlineStr"/>
      <c r="G318" t="inlineStr"/>
      <c r="H318" t="inlineStr"/>
      <c r="I318" s="2" t="n">
        <v>38823</v>
      </c>
      <c r="J318" t="inlineStr"/>
      <c r="K318" t="inlineStr"/>
      <c r="L318" t="inlineStr"/>
      <c r="M318" t="inlineStr"/>
      <c r="N318" t="inlineStr"/>
    </row>
    <row r="319">
      <c r="A319" s="1" t="n">
        <v>317</v>
      </c>
      <c r="B319" t="n">
        <v>29</v>
      </c>
      <c r="C319" t="inlineStr">
        <is>
          <t>Galeras</t>
        </is>
      </c>
      <c r="D319" t="inlineStr">
        <is>
          <t>GAL_29</t>
        </is>
      </c>
      <c r="E319" t="n">
        <v>779</v>
      </c>
      <c r="F319" t="inlineStr">
        <is>
          <t>Fabaceae</t>
        </is>
      </c>
      <c r="G319" t="inlineStr">
        <is>
          <t>Inga</t>
        </is>
      </c>
      <c r="H319" t="inlineStr"/>
      <c r="I319" s="2" t="n">
        <v>38823</v>
      </c>
      <c r="J319" t="inlineStr">
        <is>
          <t>3791</t>
        </is>
      </c>
      <c r="K319" t="n">
        <v>1</v>
      </c>
      <c r="L319" t="inlineStr"/>
      <c r="M319" t="inlineStr"/>
      <c r="N319" t="inlineStr"/>
    </row>
    <row r="320">
      <c r="A320" s="1" t="n">
        <v>318</v>
      </c>
      <c r="B320" t="n">
        <v>29</v>
      </c>
      <c r="C320" t="inlineStr">
        <is>
          <t>Galeras</t>
        </is>
      </c>
      <c r="D320" t="inlineStr">
        <is>
          <t>GAL_29</t>
        </is>
      </c>
      <c r="E320" t="n">
        <v>780</v>
      </c>
      <c r="F320" t="inlineStr">
        <is>
          <t>Sapotaceae</t>
        </is>
      </c>
      <c r="G320" t="inlineStr">
        <is>
          <t>Chrysophyllum</t>
        </is>
      </c>
      <c r="H320" t="inlineStr">
        <is>
          <t>venezuelanense</t>
        </is>
      </c>
      <c r="I320" s="2" t="n">
        <v>38823</v>
      </c>
      <c r="J320">
        <f>3787</f>
        <v/>
      </c>
      <c r="K320" t="inlineStr"/>
      <c r="L320" t="inlineStr"/>
      <c r="M320" t="inlineStr"/>
      <c r="N320" t="inlineStr"/>
    </row>
    <row r="321">
      <c r="A321" s="1" t="n">
        <v>319</v>
      </c>
      <c r="B321" t="n">
        <v>29</v>
      </c>
      <c r="C321" t="inlineStr">
        <is>
          <t>Galeras</t>
        </is>
      </c>
      <c r="D321" t="inlineStr">
        <is>
          <t>GAL_29</t>
        </is>
      </c>
      <c r="E321" t="n">
        <v>781</v>
      </c>
      <c r="F321" t="inlineStr">
        <is>
          <t>Phyllanthaceae</t>
        </is>
      </c>
      <c r="G321" t="inlineStr">
        <is>
          <t>Margaritaria</t>
        </is>
      </c>
      <c r="H321" t="inlineStr">
        <is>
          <t>nobilis</t>
        </is>
      </c>
      <c r="I321" s="2" t="n">
        <v>38823</v>
      </c>
      <c r="J321" t="inlineStr">
        <is>
          <t>3792</t>
        </is>
      </c>
      <c r="K321" t="n">
        <v>1</v>
      </c>
      <c r="L321" t="inlineStr"/>
      <c r="M321" t="inlineStr"/>
      <c r="N321" t="inlineStr"/>
    </row>
    <row r="322">
      <c r="A322" s="1" t="n">
        <v>320</v>
      </c>
      <c r="B322" t="n">
        <v>29</v>
      </c>
      <c r="C322" t="inlineStr">
        <is>
          <t>Galeras</t>
        </is>
      </c>
      <c r="D322" t="inlineStr">
        <is>
          <t>GAL_29</t>
        </is>
      </c>
      <c r="E322" t="n">
        <v>782</v>
      </c>
      <c r="F322" t="inlineStr">
        <is>
          <t>Anacardiaceae</t>
        </is>
      </c>
      <c r="G322" t="inlineStr">
        <is>
          <t>Tapirira</t>
        </is>
      </c>
      <c r="H322" t="inlineStr">
        <is>
          <t>guianensis</t>
        </is>
      </c>
      <c r="I322" s="2" t="n">
        <v>38823</v>
      </c>
      <c r="J322" t="inlineStr">
        <is>
          <t>3793</t>
        </is>
      </c>
      <c r="K322" t="inlineStr"/>
      <c r="L322" t="inlineStr"/>
      <c r="M322" t="inlineStr"/>
      <c r="N322" t="inlineStr"/>
    </row>
    <row r="323">
      <c r="A323" s="1" t="n">
        <v>321</v>
      </c>
      <c r="B323" t="n">
        <v>29</v>
      </c>
      <c r="C323" t="inlineStr">
        <is>
          <t>Galeras</t>
        </is>
      </c>
      <c r="D323" t="inlineStr">
        <is>
          <t>GAL_29</t>
        </is>
      </c>
      <c r="E323" t="n">
        <v>783</v>
      </c>
      <c r="F323" t="inlineStr">
        <is>
          <t>Meliaceae</t>
        </is>
      </c>
      <c r="G323" t="inlineStr">
        <is>
          <t>Guarea</t>
        </is>
      </c>
      <c r="H323" t="inlineStr">
        <is>
          <t>pterorhachis</t>
        </is>
      </c>
      <c r="I323" s="2" t="n">
        <v>38823</v>
      </c>
      <c r="J323" t="inlineStr"/>
      <c r="K323" t="inlineStr"/>
      <c r="L323" t="inlineStr"/>
      <c r="M323" t="inlineStr"/>
      <c r="N323" t="inlineStr"/>
    </row>
    <row r="324">
      <c r="A324" s="1" t="n">
        <v>322</v>
      </c>
      <c r="B324" t="n">
        <v>29</v>
      </c>
      <c r="C324" t="inlineStr">
        <is>
          <t>Galeras</t>
        </is>
      </c>
      <c r="D324" t="inlineStr">
        <is>
          <t>GAL_29</t>
        </is>
      </c>
      <c r="E324" t="n">
        <v>784</v>
      </c>
      <c r="F324" t="inlineStr">
        <is>
          <t>Anacardiaceae</t>
        </is>
      </c>
      <c r="G324" t="inlineStr">
        <is>
          <t>Tapirira</t>
        </is>
      </c>
      <c r="H324" t="inlineStr">
        <is>
          <t>guianensis</t>
        </is>
      </c>
      <c r="I324" s="2" t="n">
        <v>38823</v>
      </c>
      <c r="J324">
        <f>3790</f>
        <v/>
      </c>
      <c r="K324" t="inlineStr"/>
      <c r="L324" t="inlineStr"/>
      <c r="M324" t="inlineStr"/>
      <c r="N324" t="inlineStr"/>
    </row>
    <row r="325">
      <c r="A325" s="1" t="n">
        <v>323</v>
      </c>
      <c r="B325" t="n">
        <v>29</v>
      </c>
      <c r="C325" t="inlineStr">
        <is>
          <t>Galeras</t>
        </is>
      </c>
      <c r="D325" t="inlineStr">
        <is>
          <t>GAL_29</t>
        </is>
      </c>
      <c r="E325" t="n">
        <v>785</v>
      </c>
      <c r="F325" t="inlineStr">
        <is>
          <t>Arecaceae</t>
        </is>
      </c>
      <c r="G325" t="inlineStr">
        <is>
          <t>Iriartea</t>
        </is>
      </c>
      <c r="H325" t="inlineStr">
        <is>
          <t>deltoidea</t>
        </is>
      </c>
      <c r="I325" s="2" t="n">
        <v>38823</v>
      </c>
      <c r="J325" t="inlineStr"/>
      <c r="K325" t="inlineStr"/>
      <c r="L325" t="inlineStr"/>
      <c r="M325" t="inlineStr"/>
      <c r="N325" t="inlineStr"/>
    </row>
    <row r="326">
      <c r="A326" s="1" t="n">
        <v>324</v>
      </c>
      <c r="B326" t="n">
        <v>29</v>
      </c>
      <c r="C326" t="inlineStr">
        <is>
          <t>Galeras</t>
        </is>
      </c>
      <c r="D326" t="inlineStr">
        <is>
          <t>GAL_29</t>
        </is>
      </c>
      <c r="E326" t="n">
        <v>786</v>
      </c>
      <c r="F326" t="inlineStr">
        <is>
          <t>Arecaceae</t>
        </is>
      </c>
      <c r="G326" t="inlineStr">
        <is>
          <t>Iriartea</t>
        </is>
      </c>
      <c r="H326" t="inlineStr">
        <is>
          <t>deltoidea</t>
        </is>
      </c>
      <c r="I326" s="2" t="n">
        <v>38823</v>
      </c>
      <c r="J326" t="inlineStr"/>
      <c r="K326" t="inlineStr"/>
      <c r="L326" t="inlineStr"/>
      <c r="M326" t="inlineStr"/>
      <c r="N326" t="inlineStr"/>
    </row>
    <row r="327">
      <c r="A327" s="1" t="n">
        <v>325</v>
      </c>
      <c r="B327" t="n">
        <v>29</v>
      </c>
      <c r="C327" t="inlineStr">
        <is>
          <t>Galeras</t>
        </is>
      </c>
      <c r="D327" t="inlineStr">
        <is>
          <t>GAL_29</t>
        </is>
      </c>
      <c r="E327" t="n">
        <v>787</v>
      </c>
      <c r="F327" t="inlineStr">
        <is>
          <t>Fabaceae</t>
        </is>
      </c>
      <c r="G327" t="inlineStr">
        <is>
          <t>Inga</t>
        </is>
      </c>
      <c r="H327" t="inlineStr"/>
      <c r="I327" s="2" t="n">
        <v>38823</v>
      </c>
      <c r="J327" t="inlineStr"/>
      <c r="K327" t="inlineStr"/>
      <c r="L327" t="inlineStr"/>
      <c r="M327" t="inlineStr"/>
      <c r="N327" t="inlineStr"/>
    </row>
    <row r="328">
      <c r="A328" s="1" t="n">
        <v>326</v>
      </c>
      <c r="B328" t="n">
        <v>29</v>
      </c>
      <c r="C328" t="inlineStr">
        <is>
          <t>Galeras</t>
        </is>
      </c>
      <c r="D328" t="inlineStr">
        <is>
          <t>GAL_29</t>
        </is>
      </c>
      <c r="E328" t="n">
        <v>788</v>
      </c>
      <c r="F328" t="inlineStr">
        <is>
          <t>Burseraceae</t>
        </is>
      </c>
      <c r="G328" t="inlineStr">
        <is>
          <t>Tetragastris</t>
        </is>
      </c>
      <c r="H328" t="inlineStr">
        <is>
          <t>panamensis</t>
        </is>
      </c>
      <c r="I328" s="2" t="n">
        <v>38823</v>
      </c>
      <c r="J328" t="inlineStr">
        <is>
          <t>3794</t>
        </is>
      </c>
      <c r="K328" t="inlineStr"/>
      <c r="L328" t="inlineStr"/>
      <c r="M328" t="inlineStr"/>
      <c r="N328" t="inlineStr"/>
    </row>
    <row r="329">
      <c r="A329" s="1" t="n">
        <v>327</v>
      </c>
      <c r="B329" t="n">
        <v>29</v>
      </c>
      <c r="C329" t="inlineStr">
        <is>
          <t>Galeras</t>
        </is>
      </c>
      <c r="D329" t="inlineStr">
        <is>
          <t>GAL_29</t>
        </is>
      </c>
      <c r="E329" t="n">
        <v>789</v>
      </c>
      <c r="F329" t="inlineStr">
        <is>
          <t>Cecropiaceae</t>
        </is>
      </c>
      <c r="G329" t="inlineStr">
        <is>
          <t>Cecropia</t>
        </is>
      </c>
      <c r="H329" t="inlineStr">
        <is>
          <t>sciadophylla</t>
        </is>
      </c>
      <c r="I329" s="2" t="n">
        <v>38823</v>
      </c>
      <c r="J329" t="inlineStr"/>
      <c r="K329" t="inlineStr"/>
      <c r="L329" t="inlineStr"/>
      <c r="M329" t="inlineStr"/>
      <c r="N329" t="inlineStr"/>
    </row>
    <row r="330">
      <c r="A330" s="1" t="n">
        <v>328</v>
      </c>
      <c r="B330" t="n">
        <v>29</v>
      </c>
      <c r="C330" t="inlineStr">
        <is>
          <t>Galeras</t>
        </is>
      </c>
      <c r="D330" t="inlineStr">
        <is>
          <t>GAL_29</t>
        </is>
      </c>
      <c r="E330" t="n">
        <v>790</v>
      </c>
      <c r="F330" t="inlineStr">
        <is>
          <t>Vochysiaceae</t>
        </is>
      </c>
      <c r="G330" t="inlineStr">
        <is>
          <t>Vochysia</t>
        </is>
      </c>
      <c r="H330" t="inlineStr">
        <is>
          <t>ferruginea</t>
        </is>
      </c>
      <c r="I330" s="2" t="n">
        <v>38823</v>
      </c>
      <c r="J330" t="inlineStr">
        <is>
          <t>3795</t>
        </is>
      </c>
      <c r="K330" t="inlineStr"/>
      <c r="L330" t="inlineStr"/>
      <c r="M330" t="inlineStr"/>
      <c r="N330" t="inlineStr"/>
    </row>
    <row r="331">
      <c r="A331" s="1" t="n">
        <v>329</v>
      </c>
      <c r="B331" t="n">
        <v>29</v>
      </c>
      <c r="C331" t="inlineStr">
        <is>
          <t>Galeras</t>
        </is>
      </c>
      <c r="D331" t="inlineStr">
        <is>
          <t>GAL_29</t>
        </is>
      </c>
      <c r="E331" t="n">
        <v>791</v>
      </c>
      <c r="F331" t="inlineStr">
        <is>
          <t>Arecaceae</t>
        </is>
      </c>
      <c r="G331" t="inlineStr">
        <is>
          <t>Iriartea</t>
        </is>
      </c>
      <c r="H331" t="inlineStr">
        <is>
          <t>deltoidea</t>
        </is>
      </c>
      <c r="I331" s="2" t="n">
        <v>38823</v>
      </c>
      <c r="J331" t="inlineStr"/>
      <c r="K331" t="inlineStr"/>
      <c r="L331" t="inlineStr"/>
      <c r="M331" t="inlineStr"/>
      <c r="N331" t="inlineStr"/>
    </row>
    <row r="332">
      <c r="A332" s="1" t="n">
        <v>330</v>
      </c>
      <c r="B332" t="n">
        <v>29</v>
      </c>
      <c r="C332" t="inlineStr">
        <is>
          <t>Galeras</t>
        </is>
      </c>
      <c r="D332" t="inlineStr">
        <is>
          <t>GAL_29</t>
        </is>
      </c>
      <c r="E332" t="n">
        <v>792</v>
      </c>
      <c r="F332" t="inlineStr">
        <is>
          <t>Chrysobalanaceae</t>
        </is>
      </c>
      <c r="G332" t="inlineStr">
        <is>
          <t>Hirtella</t>
        </is>
      </c>
      <c r="H332" t="inlineStr">
        <is>
          <t>cf. schultesii</t>
        </is>
      </c>
      <c r="I332" s="2" t="n">
        <v>38823</v>
      </c>
      <c r="J332" t="inlineStr">
        <is>
          <t>3796,2501</t>
        </is>
      </c>
      <c r="K332" t="n">
        <v>1</v>
      </c>
      <c r="L332" t="inlineStr"/>
      <c r="M332" t="inlineStr"/>
      <c r="N332" t="inlineStr"/>
    </row>
    <row r="333">
      <c r="A333" s="1" t="n">
        <v>331</v>
      </c>
      <c r="B333" t="n">
        <v>29</v>
      </c>
      <c r="C333" t="inlineStr">
        <is>
          <t>Galeras</t>
        </is>
      </c>
      <c r="D333" t="inlineStr">
        <is>
          <t>GAL_29</t>
        </is>
      </c>
      <c r="E333" t="n">
        <v>793</v>
      </c>
      <c r="F333" t="inlineStr">
        <is>
          <t>Fabaceae</t>
        </is>
      </c>
      <c r="G333" t="inlineStr">
        <is>
          <t>Inga</t>
        </is>
      </c>
      <c r="H333" t="inlineStr">
        <is>
          <t>capitata</t>
        </is>
      </c>
      <c r="I333" s="2" t="n">
        <v>38823</v>
      </c>
      <c r="J333">
        <f>3789</f>
        <v/>
      </c>
      <c r="K333" t="n">
        <v>1</v>
      </c>
      <c r="L333" t="inlineStr"/>
      <c r="M333" t="inlineStr"/>
      <c r="N333" t="inlineStr"/>
    </row>
    <row r="334">
      <c r="A334" s="1" t="n">
        <v>332</v>
      </c>
      <c r="B334" t="n">
        <v>29</v>
      </c>
      <c r="C334" t="inlineStr">
        <is>
          <t>Galeras</t>
        </is>
      </c>
      <c r="D334" t="inlineStr">
        <is>
          <t>GAL_29</t>
        </is>
      </c>
      <c r="E334" t="n">
        <v>794</v>
      </c>
      <c r="F334" t="inlineStr">
        <is>
          <t>Moraceae</t>
        </is>
      </c>
      <c r="G334" t="inlineStr">
        <is>
          <t>Sorocea</t>
        </is>
      </c>
      <c r="H334" t="inlineStr">
        <is>
          <t>trophoides</t>
        </is>
      </c>
      <c r="I334" s="2" t="n">
        <v>38823</v>
      </c>
      <c r="J334" t="inlineStr">
        <is>
          <t>2502</t>
        </is>
      </c>
      <c r="K334" t="n">
        <v>1</v>
      </c>
      <c r="L334" t="inlineStr"/>
      <c r="M334" t="inlineStr"/>
      <c r="N334" t="inlineStr"/>
    </row>
    <row r="335">
      <c r="A335" s="1" t="n">
        <v>333</v>
      </c>
      <c r="B335" t="n">
        <v>29</v>
      </c>
      <c r="C335" t="inlineStr">
        <is>
          <t>Galeras</t>
        </is>
      </c>
      <c r="D335" t="inlineStr">
        <is>
          <t>GAL_29</t>
        </is>
      </c>
      <c r="E335" t="n">
        <v>795</v>
      </c>
      <c r="F335" t="inlineStr">
        <is>
          <t>Annonaceae</t>
        </is>
      </c>
      <c r="G335" t="inlineStr">
        <is>
          <t>Guatteria</t>
        </is>
      </c>
      <c r="H335" t="inlineStr">
        <is>
          <t>cf multivenia</t>
        </is>
      </c>
      <c r="I335" s="2" t="n">
        <v>38823</v>
      </c>
      <c r="J335" t="inlineStr">
        <is>
          <t>3797</t>
        </is>
      </c>
      <c r="K335" t="n">
        <v>1</v>
      </c>
      <c r="L335" t="inlineStr"/>
      <c r="M335" t="inlineStr"/>
      <c r="N335" t="inlineStr"/>
    </row>
    <row r="336">
      <c r="A336" s="1" t="n">
        <v>334</v>
      </c>
      <c r="B336" t="n">
        <v>47</v>
      </c>
      <c r="C336" t="inlineStr">
        <is>
          <t>Galeras</t>
        </is>
      </c>
      <c r="D336" t="inlineStr">
        <is>
          <t>GAL_47</t>
        </is>
      </c>
      <c r="E336" t="n">
        <v>1365</v>
      </c>
      <c r="F336" t="inlineStr">
        <is>
          <t>Lecythidaceae</t>
        </is>
      </c>
      <c r="G336" t="inlineStr">
        <is>
          <t>Eschweilera</t>
        </is>
      </c>
      <c r="H336" t="inlineStr">
        <is>
          <t>caudiculata</t>
        </is>
      </c>
      <c r="I336" s="2" t="n">
        <v>38870</v>
      </c>
      <c r="J336" t="inlineStr">
        <is>
          <t>3724, David</t>
        </is>
      </c>
      <c r="K336" t="inlineStr"/>
      <c r="L336" t="inlineStr"/>
      <c r="M336" t="inlineStr"/>
      <c r="N336" t="inlineStr"/>
    </row>
    <row r="337">
      <c r="A337" s="1" t="n">
        <v>335</v>
      </c>
      <c r="B337" t="n">
        <v>47</v>
      </c>
      <c r="C337" t="inlineStr">
        <is>
          <t>Galeras</t>
        </is>
      </c>
      <c r="D337" t="inlineStr">
        <is>
          <t>GAL_47</t>
        </is>
      </c>
      <c r="E337" t="n">
        <v>1366</v>
      </c>
      <c r="F337" t="inlineStr">
        <is>
          <t>Euphorbiaceae</t>
        </is>
      </c>
      <c r="G337" t="inlineStr">
        <is>
          <t>Croton</t>
        </is>
      </c>
      <c r="H337" t="inlineStr">
        <is>
          <t>tessmannii</t>
        </is>
      </c>
      <c r="I337" s="2" t="n">
        <v>38870</v>
      </c>
      <c r="J337" t="inlineStr">
        <is>
          <t>3723</t>
        </is>
      </c>
      <c r="K337" t="inlineStr"/>
      <c r="L337" t="inlineStr"/>
      <c r="M337" t="inlineStr"/>
      <c r="N337" t="inlineStr"/>
    </row>
    <row r="338">
      <c r="A338" s="1" t="n">
        <v>336</v>
      </c>
      <c r="B338" t="n">
        <v>47</v>
      </c>
      <c r="C338" t="inlineStr">
        <is>
          <t>Galeras</t>
        </is>
      </c>
      <c r="D338" t="inlineStr">
        <is>
          <t>GAL_47</t>
        </is>
      </c>
      <c r="E338" t="n">
        <v>1367</v>
      </c>
      <c r="F338" t="inlineStr">
        <is>
          <t>Euphorbiaceae</t>
        </is>
      </c>
      <c r="G338" t="inlineStr">
        <is>
          <t>Sapium</t>
        </is>
      </c>
      <c r="H338" t="inlineStr">
        <is>
          <t>glandulosum</t>
        </is>
      </c>
      <c r="I338" s="2" t="n">
        <v>38870</v>
      </c>
      <c r="J338" t="inlineStr">
        <is>
          <t>3722</t>
        </is>
      </c>
      <c r="K338" t="inlineStr"/>
      <c r="L338" t="inlineStr"/>
      <c r="M338" t="inlineStr"/>
      <c r="N338" t="inlineStr"/>
    </row>
    <row r="339">
      <c r="A339" s="1" t="n">
        <v>337</v>
      </c>
      <c r="B339" t="n">
        <v>47</v>
      </c>
      <c r="C339" t="inlineStr">
        <is>
          <t>Galeras</t>
        </is>
      </c>
      <c r="D339" t="inlineStr">
        <is>
          <t>GAL_47</t>
        </is>
      </c>
      <c r="E339" t="n">
        <v>1368</v>
      </c>
      <c r="F339" t="inlineStr">
        <is>
          <t>Urticaceae</t>
        </is>
      </c>
      <c r="G339" t="inlineStr">
        <is>
          <t>Pourouma</t>
        </is>
      </c>
      <c r="H339" t="inlineStr">
        <is>
          <t>cecropifolia</t>
        </is>
      </c>
      <c r="I339" s="2" t="n">
        <v>38870</v>
      </c>
      <c r="J339" t="inlineStr">
        <is>
          <t>3719</t>
        </is>
      </c>
      <c r="K339" t="inlineStr"/>
      <c r="L339" t="inlineStr"/>
      <c r="M339" t="inlineStr"/>
      <c r="N339" t="inlineStr"/>
    </row>
    <row r="340">
      <c r="A340" s="1" t="n">
        <v>338</v>
      </c>
      <c r="B340" t="n">
        <v>47</v>
      </c>
      <c r="C340" t="inlineStr">
        <is>
          <t>Galeras</t>
        </is>
      </c>
      <c r="D340" t="inlineStr">
        <is>
          <t>GAL_47</t>
        </is>
      </c>
      <c r="E340" t="n">
        <v>1369</v>
      </c>
      <c r="F340" t="inlineStr">
        <is>
          <t>Phyllanthaceae</t>
        </is>
      </c>
      <c r="G340" t="inlineStr">
        <is>
          <t>Hieronyma</t>
        </is>
      </c>
      <c r="H340" t="inlineStr">
        <is>
          <t>oblonga</t>
        </is>
      </c>
      <c r="I340" s="2" t="n">
        <v>38870</v>
      </c>
      <c r="J340" t="inlineStr"/>
      <c r="K340" t="inlineStr"/>
      <c r="L340" t="inlineStr"/>
      <c r="M340" t="inlineStr"/>
      <c r="N340" t="inlineStr"/>
    </row>
    <row r="341">
      <c r="A341" s="1" t="n">
        <v>339</v>
      </c>
      <c r="B341" t="n">
        <v>47</v>
      </c>
      <c r="C341" t="inlineStr">
        <is>
          <t>Galeras</t>
        </is>
      </c>
      <c r="D341" t="inlineStr">
        <is>
          <t>GAL_47</t>
        </is>
      </c>
      <c r="E341" t="n">
        <v>1370</v>
      </c>
      <c r="F341" t="inlineStr">
        <is>
          <t>Myristicaceae</t>
        </is>
      </c>
      <c r="G341" t="inlineStr">
        <is>
          <t>Compsoneura</t>
        </is>
      </c>
      <c r="H341" t="inlineStr">
        <is>
          <t>capitellata</t>
        </is>
      </c>
      <c r="I341" s="2" t="n">
        <v>38870</v>
      </c>
      <c r="J341">
        <f>3715</f>
        <v/>
      </c>
      <c r="K341" t="inlineStr"/>
      <c r="L341" t="inlineStr"/>
      <c r="M341" t="inlineStr"/>
      <c r="N341" t="inlineStr"/>
    </row>
    <row r="342">
      <c r="A342" s="1" t="n">
        <v>340</v>
      </c>
      <c r="B342" t="n">
        <v>47</v>
      </c>
      <c r="C342" t="inlineStr">
        <is>
          <t>Galeras</t>
        </is>
      </c>
      <c r="D342" t="inlineStr">
        <is>
          <t>GAL_47</t>
        </is>
      </c>
      <c r="E342" t="n">
        <v>1371</v>
      </c>
      <c r="F342" t="inlineStr">
        <is>
          <t>Fabaceae</t>
        </is>
      </c>
      <c r="G342" t="inlineStr">
        <is>
          <t>Inga</t>
        </is>
      </c>
      <c r="H342" t="inlineStr">
        <is>
          <t>aff. umbratica</t>
        </is>
      </c>
      <c r="I342" s="2" t="n">
        <v>38870</v>
      </c>
      <c r="J342" t="inlineStr">
        <is>
          <t>3727</t>
        </is>
      </c>
      <c r="K342" t="inlineStr"/>
      <c r="L342" t="inlineStr"/>
      <c r="M342" t="inlineStr"/>
      <c r="N342" t="inlineStr"/>
    </row>
    <row r="343">
      <c r="A343" s="1" t="n">
        <v>341</v>
      </c>
      <c r="B343" t="n">
        <v>47</v>
      </c>
      <c r="C343" t="inlineStr">
        <is>
          <t>Galeras</t>
        </is>
      </c>
      <c r="D343" t="inlineStr">
        <is>
          <t>GAL_47</t>
        </is>
      </c>
      <c r="E343" t="n">
        <v>1372</v>
      </c>
      <c r="F343" t="inlineStr">
        <is>
          <t>Fabaceae</t>
        </is>
      </c>
      <c r="G343" t="inlineStr">
        <is>
          <t>Inga</t>
        </is>
      </c>
      <c r="H343" t="inlineStr">
        <is>
          <t>multinervis</t>
        </is>
      </c>
      <c r="I343" s="2" t="n">
        <v>38870</v>
      </c>
      <c r="J343" t="inlineStr">
        <is>
          <t>3746</t>
        </is>
      </c>
      <c r="K343" t="inlineStr"/>
      <c r="L343" t="inlineStr"/>
      <c r="M343" t="inlineStr"/>
      <c r="N343" t="inlineStr"/>
    </row>
    <row r="344">
      <c r="A344" s="1" t="n">
        <v>342</v>
      </c>
      <c r="B344" t="n">
        <v>47</v>
      </c>
      <c r="C344" t="inlineStr">
        <is>
          <t>Galeras</t>
        </is>
      </c>
      <c r="D344" t="inlineStr">
        <is>
          <t>GAL_47</t>
        </is>
      </c>
      <c r="E344" t="n">
        <v>1373</v>
      </c>
      <c r="F344" t="inlineStr">
        <is>
          <t>Myristicaceae</t>
        </is>
      </c>
      <c r="G344" t="inlineStr">
        <is>
          <t>Otoba</t>
        </is>
      </c>
      <c r="H344" t="inlineStr">
        <is>
          <t>glycycarpa</t>
        </is>
      </c>
      <c r="I344" s="2" t="n">
        <v>38870</v>
      </c>
      <c r="J344" t="inlineStr"/>
      <c r="K344" t="inlineStr"/>
      <c r="L344" t="inlineStr"/>
      <c r="M344" t="inlineStr"/>
      <c r="N344" t="inlineStr"/>
    </row>
    <row r="345">
      <c r="A345" s="1" t="n">
        <v>343</v>
      </c>
      <c r="B345" t="n">
        <v>47</v>
      </c>
      <c r="C345" t="inlineStr">
        <is>
          <t>Galeras</t>
        </is>
      </c>
      <c r="D345" t="inlineStr">
        <is>
          <t>GAL_47</t>
        </is>
      </c>
      <c r="E345" t="n">
        <v>1374</v>
      </c>
      <c r="F345" t="inlineStr">
        <is>
          <t>Annonaceae</t>
        </is>
      </c>
      <c r="G345" t="inlineStr">
        <is>
          <t>Guatteria</t>
        </is>
      </c>
      <c r="H345" t="inlineStr">
        <is>
          <t>alutacea</t>
        </is>
      </c>
      <c r="I345" s="2" t="n">
        <v>38870</v>
      </c>
      <c r="J345" t="inlineStr">
        <is>
          <t>3725</t>
        </is>
      </c>
      <c r="K345" t="inlineStr"/>
      <c r="L345" t="inlineStr"/>
      <c r="M345" t="inlineStr"/>
      <c r="N345" t="inlineStr"/>
    </row>
    <row r="346">
      <c r="A346" s="1" t="n">
        <v>344</v>
      </c>
      <c r="B346" t="n">
        <v>47</v>
      </c>
      <c r="C346" t="inlineStr">
        <is>
          <t>Galeras</t>
        </is>
      </c>
      <c r="D346" t="inlineStr">
        <is>
          <t>GAL_47</t>
        </is>
      </c>
      <c r="E346" t="n">
        <v>1375</v>
      </c>
      <c r="F346" t="inlineStr">
        <is>
          <t>Euphorbiaceae</t>
        </is>
      </c>
      <c r="G346" t="inlineStr">
        <is>
          <t>Croton</t>
        </is>
      </c>
      <c r="H346" t="inlineStr">
        <is>
          <t>tessmannii</t>
        </is>
      </c>
      <c r="I346" s="2" t="n">
        <v>38870</v>
      </c>
      <c r="J346" t="inlineStr"/>
      <c r="K346" t="inlineStr"/>
      <c r="L346" t="inlineStr"/>
      <c r="M346" t="inlineStr"/>
      <c r="N346" t="inlineStr"/>
    </row>
    <row r="347">
      <c r="A347" s="1" t="n">
        <v>345</v>
      </c>
      <c r="B347" t="n">
        <v>47</v>
      </c>
      <c r="C347" t="inlineStr">
        <is>
          <t>Galeras</t>
        </is>
      </c>
      <c r="D347" t="inlineStr">
        <is>
          <t>GAL_47</t>
        </is>
      </c>
      <c r="E347" t="n">
        <v>1376</v>
      </c>
      <c r="F347" t="inlineStr">
        <is>
          <t>Sterculiaceae</t>
        </is>
      </c>
      <c r="G347" t="inlineStr">
        <is>
          <t>Sterculia</t>
        </is>
      </c>
      <c r="H347" t="inlineStr">
        <is>
          <t>colombiana</t>
        </is>
      </c>
      <c r="I347" s="2" t="n">
        <v>38870</v>
      </c>
      <c r="J347">
        <f>3751</f>
        <v/>
      </c>
      <c r="K347" t="inlineStr"/>
      <c r="L347" t="inlineStr"/>
      <c r="M347" t="inlineStr"/>
      <c r="N347" t="inlineStr"/>
    </row>
    <row r="348">
      <c r="A348" s="1" t="n">
        <v>346</v>
      </c>
      <c r="B348" t="n">
        <v>47</v>
      </c>
      <c r="C348" t="inlineStr">
        <is>
          <t>Galeras</t>
        </is>
      </c>
      <c r="D348" t="inlineStr">
        <is>
          <t>GAL_47</t>
        </is>
      </c>
      <c r="E348" t="n">
        <v>1377</v>
      </c>
      <c r="F348" t="inlineStr">
        <is>
          <t>Fabaceae</t>
        </is>
      </c>
      <c r="G348" t="inlineStr">
        <is>
          <t>Inga</t>
        </is>
      </c>
      <c r="H348" t="inlineStr">
        <is>
          <t>multinervis</t>
        </is>
      </c>
      <c r="I348" s="2" t="n">
        <v>38870</v>
      </c>
      <c r="J348" t="inlineStr"/>
      <c r="K348" t="inlineStr"/>
      <c r="L348" t="inlineStr"/>
      <c r="M348" t="inlineStr"/>
      <c r="N348" t="inlineStr"/>
    </row>
    <row r="349">
      <c r="A349" s="1" t="n">
        <v>347</v>
      </c>
      <c r="B349" t="n">
        <v>47</v>
      </c>
      <c r="C349" t="inlineStr">
        <is>
          <t>Galeras</t>
        </is>
      </c>
      <c r="D349" t="inlineStr">
        <is>
          <t>GAL_47</t>
        </is>
      </c>
      <c r="E349" t="n">
        <v>1378</v>
      </c>
      <c r="F349" t="inlineStr">
        <is>
          <t>Arecaceae</t>
        </is>
      </c>
      <c r="G349" t="inlineStr">
        <is>
          <t>Socratea</t>
        </is>
      </c>
      <c r="H349" t="inlineStr">
        <is>
          <t>exorrhiza</t>
        </is>
      </c>
      <c r="I349" s="2" t="n">
        <v>38870</v>
      </c>
      <c r="J349" t="inlineStr"/>
      <c r="K349" t="inlineStr"/>
      <c r="L349" t="inlineStr"/>
      <c r="M349" t="inlineStr"/>
      <c r="N349" t="inlineStr"/>
    </row>
    <row r="350">
      <c r="A350" s="1" t="n">
        <v>348</v>
      </c>
      <c r="B350" t="n">
        <v>47</v>
      </c>
      <c r="C350" t="inlineStr">
        <is>
          <t>Galeras</t>
        </is>
      </c>
      <c r="D350" t="inlineStr">
        <is>
          <t>GAL_47</t>
        </is>
      </c>
      <c r="E350" t="n">
        <v>1379</v>
      </c>
      <c r="F350" t="inlineStr">
        <is>
          <t>Polygonaceae</t>
        </is>
      </c>
      <c r="G350" t="inlineStr">
        <is>
          <t>Coccoloba</t>
        </is>
      </c>
      <c r="H350" t="inlineStr">
        <is>
          <t>densifrons</t>
        </is>
      </c>
      <c r="I350" s="2" t="n">
        <v>38870</v>
      </c>
      <c r="J350" t="inlineStr">
        <is>
          <t>3720</t>
        </is>
      </c>
      <c r="K350" t="inlineStr"/>
      <c r="L350" t="inlineStr"/>
      <c r="M350" t="inlineStr"/>
      <c r="N350" t="inlineStr"/>
    </row>
    <row r="351">
      <c r="A351" s="1" t="n">
        <v>349</v>
      </c>
      <c r="B351" t="n">
        <v>47</v>
      </c>
      <c r="C351" t="inlineStr">
        <is>
          <t>Galeras</t>
        </is>
      </c>
      <c r="D351" t="inlineStr">
        <is>
          <t>GAL_47</t>
        </is>
      </c>
      <c r="E351" t="n">
        <v>1380</v>
      </c>
      <c r="F351" t="inlineStr">
        <is>
          <t>Lauraceae</t>
        </is>
      </c>
      <c r="G351" t="inlineStr">
        <is>
          <t>Aniba</t>
        </is>
      </c>
      <c r="H351" t="inlineStr">
        <is>
          <t>guianensis</t>
        </is>
      </c>
      <c r="I351" s="2" t="n">
        <v>38870</v>
      </c>
      <c r="J351" t="inlineStr">
        <is>
          <t>3726</t>
        </is>
      </c>
      <c r="K351" t="inlineStr"/>
      <c r="L351" t="inlineStr"/>
      <c r="M351" t="inlineStr"/>
      <c r="N351" t="inlineStr"/>
    </row>
    <row r="352">
      <c r="A352" s="1" t="n">
        <v>350</v>
      </c>
      <c r="B352" t="n">
        <v>47</v>
      </c>
      <c r="C352" t="inlineStr">
        <is>
          <t>Galeras</t>
        </is>
      </c>
      <c r="D352" t="inlineStr">
        <is>
          <t>GAL_47</t>
        </is>
      </c>
      <c r="E352" t="n">
        <v>1381</v>
      </c>
      <c r="F352" t="inlineStr">
        <is>
          <t>Myristicaceae</t>
        </is>
      </c>
      <c r="G352" t="inlineStr">
        <is>
          <t>Compsoneura</t>
        </is>
      </c>
      <c r="H352" t="inlineStr">
        <is>
          <t>capitellata</t>
        </is>
      </c>
      <c r="I352" s="2" t="n">
        <v>38870</v>
      </c>
      <c r="J352" t="inlineStr"/>
      <c r="K352" t="inlineStr"/>
      <c r="L352" t="inlineStr"/>
      <c r="M352" t="inlineStr"/>
      <c r="N352" t="inlineStr"/>
    </row>
    <row r="353">
      <c r="A353" s="1" t="n">
        <v>351</v>
      </c>
      <c r="B353" t="n">
        <v>47</v>
      </c>
      <c r="C353" t="inlineStr">
        <is>
          <t>Galeras</t>
        </is>
      </c>
      <c r="D353" t="inlineStr">
        <is>
          <t>GAL_47</t>
        </is>
      </c>
      <c r="E353" t="n">
        <v>1382</v>
      </c>
      <c r="F353" t="inlineStr"/>
      <c r="G353" t="inlineStr"/>
      <c r="H353" t="inlineStr"/>
      <c r="I353" s="2" t="n">
        <v>38870</v>
      </c>
      <c r="J353" t="inlineStr"/>
      <c r="K353" t="inlineStr"/>
      <c r="L353" t="inlineStr"/>
      <c r="M353" t="inlineStr"/>
      <c r="N353" t="inlineStr"/>
    </row>
    <row r="354">
      <c r="A354" s="1" t="n">
        <v>352</v>
      </c>
      <c r="B354" t="n">
        <v>47</v>
      </c>
      <c r="C354" t="inlineStr">
        <is>
          <t>Galeras</t>
        </is>
      </c>
      <c r="D354" t="inlineStr">
        <is>
          <t>GAL_47</t>
        </is>
      </c>
      <c r="E354" t="n">
        <v>1383</v>
      </c>
      <c r="F354" t="inlineStr">
        <is>
          <t>Melastomataceae</t>
        </is>
      </c>
      <c r="G354" t="inlineStr">
        <is>
          <t>Conostegia</t>
        </is>
      </c>
      <c r="H354" t="inlineStr">
        <is>
          <t>superba</t>
        </is>
      </c>
      <c r="I354" s="2" t="n">
        <v>38870</v>
      </c>
      <c r="J354" t="inlineStr"/>
      <c r="K354" t="inlineStr"/>
      <c r="L354" t="inlineStr"/>
      <c r="M354" t="inlineStr"/>
      <c r="N354" t="inlineStr"/>
    </row>
    <row r="355">
      <c r="A355" s="1" t="n">
        <v>353</v>
      </c>
      <c r="B355" t="n">
        <v>47</v>
      </c>
      <c r="C355" t="inlineStr">
        <is>
          <t>Galeras</t>
        </is>
      </c>
      <c r="D355" t="inlineStr">
        <is>
          <t>GAL_47</t>
        </is>
      </c>
      <c r="E355" t="n">
        <v>1384</v>
      </c>
      <c r="F355" t="inlineStr">
        <is>
          <t>Arecaceae</t>
        </is>
      </c>
      <c r="G355" t="inlineStr">
        <is>
          <t>Iriartea</t>
        </is>
      </c>
      <c r="H355" t="inlineStr">
        <is>
          <t>deltoidea</t>
        </is>
      </c>
      <c r="I355" s="2" t="n">
        <v>38870</v>
      </c>
      <c r="J355" t="inlineStr"/>
      <c r="K355" t="inlineStr"/>
      <c r="L355" t="inlineStr"/>
      <c r="M355" t="inlineStr"/>
      <c r="N355" t="inlineStr"/>
    </row>
    <row r="356">
      <c r="A356" s="1" t="n">
        <v>354</v>
      </c>
      <c r="B356" t="n">
        <v>47</v>
      </c>
      <c r="C356" t="inlineStr">
        <is>
          <t>Galeras</t>
        </is>
      </c>
      <c r="D356" t="inlineStr">
        <is>
          <t>GAL_47</t>
        </is>
      </c>
      <c r="E356" t="n">
        <v>1385</v>
      </c>
      <c r="F356" t="inlineStr"/>
      <c r="G356" t="inlineStr"/>
      <c r="H356" t="inlineStr"/>
      <c r="I356" s="2" t="n">
        <v>38870</v>
      </c>
      <c r="J356" t="inlineStr"/>
      <c r="K356" t="inlineStr"/>
      <c r="L356" t="inlineStr"/>
      <c r="M356" t="inlineStr"/>
      <c r="N356" t="inlineStr"/>
    </row>
    <row r="357">
      <c r="A357" s="1" t="n">
        <v>355</v>
      </c>
      <c r="B357" t="n">
        <v>47</v>
      </c>
      <c r="C357" t="inlineStr">
        <is>
          <t>Galeras</t>
        </is>
      </c>
      <c r="D357" t="inlineStr">
        <is>
          <t>GAL_47</t>
        </is>
      </c>
      <c r="E357" t="n">
        <v>1386</v>
      </c>
      <c r="F357" t="inlineStr">
        <is>
          <t>Myrtaceae</t>
        </is>
      </c>
      <c r="G357" t="inlineStr">
        <is>
          <t>Eugenia</t>
        </is>
      </c>
      <c r="H357" t="inlineStr"/>
      <c r="I357" s="2" t="n">
        <v>38870</v>
      </c>
      <c r="J357" t="inlineStr">
        <is>
          <t>3721</t>
        </is>
      </c>
      <c r="K357" t="inlineStr"/>
      <c r="L357" t="inlineStr"/>
      <c r="M357" t="inlineStr"/>
      <c r="N357" t="inlineStr"/>
    </row>
    <row r="358">
      <c r="A358" s="1" t="n">
        <v>356</v>
      </c>
      <c r="B358" t="n">
        <v>47</v>
      </c>
      <c r="C358" t="inlineStr">
        <is>
          <t>Galeras</t>
        </is>
      </c>
      <c r="D358" t="inlineStr">
        <is>
          <t>GAL_47</t>
        </is>
      </c>
      <c r="E358" t="n">
        <v>1387</v>
      </c>
      <c r="F358" t="inlineStr">
        <is>
          <t>Myristicaceae</t>
        </is>
      </c>
      <c r="G358" t="inlineStr">
        <is>
          <t>Compsoneura</t>
        </is>
      </c>
      <c r="H358" t="inlineStr">
        <is>
          <t>capitellata</t>
        </is>
      </c>
      <c r="I358" s="2" t="n">
        <v>38870</v>
      </c>
      <c r="J358" t="inlineStr"/>
      <c r="K358" t="inlineStr"/>
      <c r="L358" t="inlineStr"/>
      <c r="M358" t="inlineStr"/>
      <c r="N358" t="inlineStr"/>
    </row>
    <row r="359">
      <c r="A359" s="1" t="n">
        <v>357</v>
      </c>
      <c r="B359" t="n">
        <v>47</v>
      </c>
      <c r="C359" t="inlineStr">
        <is>
          <t>Galeras</t>
        </is>
      </c>
      <c r="D359" t="inlineStr">
        <is>
          <t>GAL_47</t>
        </is>
      </c>
      <c r="E359" t="n">
        <v>1388</v>
      </c>
      <c r="F359" t="inlineStr">
        <is>
          <t>Meliaceae</t>
        </is>
      </c>
      <c r="G359" t="inlineStr">
        <is>
          <t>Ruagea</t>
        </is>
      </c>
      <c r="H359" t="inlineStr">
        <is>
          <t>glabra</t>
        </is>
      </c>
      <c r="I359" s="2" t="n">
        <v>38870</v>
      </c>
      <c r="J359" t="inlineStr"/>
      <c r="K359" t="inlineStr"/>
      <c r="L359" t="inlineStr"/>
      <c r="M359" t="inlineStr"/>
      <c r="N359" t="inlineStr"/>
    </row>
    <row r="360">
      <c r="A360" s="1" t="n">
        <v>358</v>
      </c>
      <c r="B360" t="n">
        <v>24</v>
      </c>
      <c r="C360" t="inlineStr">
        <is>
          <t>Galeras</t>
        </is>
      </c>
      <c r="D360" t="inlineStr">
        <is>
          <t>GAL_24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>
        <is>
          <t>ø</t>
        </is>
      </c>
      <c r="N360" t="n">
        <v>8640</v>
      </c>
    </row>
    <row r="361">
      <c r="A361" s="1" t="n">
        <v>359</v>
      </c>
      <c r="B361" t="n">
        <v>48</v>
      </c>
      <c r="C361" t="inlineStr">
        <is>
          <t>Galeras</t>
        </is>
      </c>
      <c r="D361" t="inlineStr">
        <is>
          <t>GAL_48</t>
        </is>
      </c>
      <c r="E361" t="n">
        <v>1389</v>
      </c>
      <c r="F361" t="inlineStr">
        <is>
          <t>Chrysobalanaceae</t>
        </is>
      </c>
      <c r="G361" t="inlineStr">
        <is>
          <t>Parinari</t>
        </is>
      </c>
      <c r="H361" t="inlineStr">
        <is>
          <t>klugii</t>
        </is>
      </c>
      <c r="I361" s="2" t="n">
        <v>38871</v>
      </c>
      <c r="J361" t="inlineStr">
        <is>
          <t>3709,2455</t>
        </is>
      </c>
      <c r="K361" t="inlineStr"/>
      <c r="L361" t="inlineStr"/>
      <c r="M361" t="inlineStr">
        <is>
          <t>ø</t>
        </is>
      </c>
      <c r="N361" t="n">
        <v>8685</v>
      </c>
    </row>
    <row r="362">
      <c r="A362" s="1" t="n">
        <v>360</v>
      </c>
      <c r="B362" t="n">
        <v>48</v>
      </c>
      <c r="C362" t="inlineStr">
        <is>
          <t>Galeras</t>
        </is>
      </c>
      <c r="D362" t="inlineStr">
        <is>
          <t>GAL_48</t>
        </is>
      </c>
      <c r="E362" t="n">
        <v>1390</v>
      </c>
      <c r="F362" t="inlineStr">
        <is>
          <t>Annonaceae</t>
        </is>
      </c>
      <c r="G362" t="inlineStr">
        <is>
          <t>Guatteria</t>
        </is>
      </c>
      <c r="H362" t="inlineStr">
        <is>
          <t>gentryi</t>
        </is>
      </c>
      <c r="I362" s="2" t="n">
        <v>38871</v>
      </c>
      <c r="J362" t="inlineStr">
        <is>
          <t>3707,2456</t>
        </is>
      </c>
      <c r="K362" t="inlineStr"/>
      <c r="L362" t="inlineStr"/>
      <c r="M362" t="inlineStr">
        <is>
          <t>ø</t>
        </is>
      </c>
      <c r="N362" t="n">
        <v>8686</v>
      </c>
    </row>
    <row r="363">
      <c r="A363" s="1" t="n">
        <v>361</v>
      </c>
      <c r="B363" t="n">
        <v>48</v>
      </c>
      <c r="C363" t="inlineStr">
        <is>
          <t>Galeras</t>
        </is>
      </c>
      <c r="D363" t="inlineStr">
        <is>
          <t>GAL_48</t>
        </is>
      </c>
      <c r="E363" t="n">
        <v>1391</v>
      </c>
      <c r="F363" t="inlineStr">
        <is>
          <t>Bombacaceae</t>
        </is>
      </c>
      <c r="G363" t="inlineStr">
        <is>
          <t>Ceiba</t>
        </is>
      </c>
      <c r="H363" t="inlineStr"/>
      <c r="I363" s="2" t="n">
        <v>38871</v>
      </c>
      <c r="J363" t="inlineStr">
        <is>
          <t>3708</t>
        </is>
      </c>
      <c r="K363" t="inlineStr"/>
      <c r="L363" t="inlineStr"/>
      <c r="M363" t="inlineStr"/>
      <c r="N363" t="n">
        <v>8687</v>
      </c>
    </row>
    <row r="364">
      <c r="A364" s="1" t="n">
        <v>362</v>
      </c>
      <c r="B364" t="n">
        <v>48</v>
      </c>
      <c r="C364" t="inlineStr">
        <is>
          <t>Galeras</t>
        </is>
      </c>
      <c r="D364" t="inlineStr">
        <is>
          <t>GAL_48</t>
        </is>
      </c>
      <c r="E364" t="n">
        <v>1392</v>
      </c>
      <c r="F364" t="inlineStr">
        <is>
          <t>Arecaceae</t>
        </is>
      </c>
      <c r="G364" t="inlineStr">
        <is>
          <t>Iriartea</t>
        </is>
      </c>
      <c r="H364" t="inlineStr">
        <is>
          <t>deltoidea</t>
        </is>
      </c>
      <c r="I364" s="2" t="n">
        <v>38871</v>
      </c>
      <c r="J364" t="inlineStr"/>
      <c r="K364" t="inlineStr"/>
      <c r="L364" t="inlineStr"/>
      <c r="M364" t="inlineStr"/>
      <c r="N364" t="n">
        <v>8684</v>
      </c>
    </row>
    <row r="365">
      <c r="A365" s="1" t="n">
        <v>363</v>
      </c>
      <c r="B365" t="n">
        <v>48</v>
      </c>
      <c r="C365" t="inlineStr">
        <is>
          <t>Galeras</t>
        </is>
      </c>
      <c r="D365" t="inlineStr">
        <is>
          <t>GAL_48</t>
        </is>
      </c>
      <c r="E365" t="n">
        <v>1393</v>
      </c>
      <c r="F365" t="inlineStr">
        <is>
          <t>Urticaceae</t>
        </is>
      </c>
      <c r="G365" t="inlineStr">
        <is>
          <t>Pourouma</t>
        </is>
      </c>
      <c r="H365" t="inlineStr">
        <is>
          <t>cf bicolor</t>
        </is>
      </c>
      <c r="I365" s="2" t="n">
        <v>38871</v>
      </c>
      <c r="J365" t="inlineStr">
        <is>
          <t>3712</t>
        </is>
      </c>
      <c r="K365" t="inlineStr"/>
      <c r="L365" t="inlineStr"/>
      <c r="M365" t="inlineStr"/>
      <c r="N365" t="n">
        <v>8683</v>
      </c>
    </row>
    <row r="366">
      <c r="A366" s="1" t="n">
        <v>364</v>
      </c>
      <c r="B366" t="n">
        <v>48</v>
      </c>
      <c r="C366" t="inlineStr">
        <is>
          <t>Galeras</t>
        </is>
      </c>
      <c r="D366" t="inlineStr">
        <is>
          <t>GAL_48</t>
        </is>
      </c>
      <c r="E366" t="n">
        <v>1394</v>
      </c>
      <c r="F366" t="inlineStr">
        <is>
          <t>Lauraceae</t>
        </is>
      </c>
      <c r="G366" t="inlineStr"/>
      <c r="H366" t="inlineStr"/>
      <c r="I366" s="2" t="n">
        <v>38871</v>
      </c>
      <c r="J366" t="inlineStr">
        <is>
          <t>3711</t>
        </is>
      </c>
      <c r="K366" t="inlineStr"/>
      <c r="L366" t="inlineStr"/>
      <c r="M366" t="inlineStr"/>
      <c r="N366" t="n">
        <v>8682</v>
      </c>
    </row>
    <row r="367">
      <c r="A367" s="1" t="n">
        <v>365</v>
      </c>
      <c r="B367" t="n">
        <v>48</v>
      </c>
      <c r="C367" t="inlineStr">
        <is>
          <t>Galeras</t>
        </is>
      </c>
      <c r="D367" t="inlineStr">
        <is>
          <t>GAL_48</t>
        </is>
      </c>
      <c r="E367" t="n">
        <v>1395</v>
      </c>
      <c r="F367" t="inlineStr">
        <is>
          <t>Lauraceae</t>
        </is>
      </c>
      <c r="G367" t="inlineStr"/>
      <c r="H367" t="inlineStr"/>
      <c r="I367" s="2" t="n">
        <v>38871</v>
      </c>
      <c r="J367" t="inlineStr">
        <is>
          <t>3711</t>
        </is>
      </c>
      <c r="K367" t="inlineStr"/>
      <c r="L367" t="inlineStr"/>
      <c r="M367" t="inlineStr"/>
      <c r="N367" t="n">
        <v>8680</v>
      </c>
    </row>
    <row r="368">
      <c r="A368" s="1" t="n">
        <v>366</v>
      </c>
      <c r="B368" t="n">
        <v>48</v>
      </c>
      <c r="C368" t="inlineStr">
        <is>
          <t>Galeras</t>
        </is>
      </c>
      <c r="D368" t="inlineStr">
        <is>
          <t>GAL_48</t>
        </is>
      </c>
      <c r="E368" t="n">
        <v>1396</v>
      </c>
      <c r="F368" t="inlineStr">
        <is>
          <t>Arecaceae</t>
        </is>
      </c>
      <c r="G368" t="inlineStr">
        <is>
          <t>Wettinia</t>
        </is>
      </c>
      <c r="H368" t="inlineStr">
        <is>
          <t>anomala</t>
        </is>
      </c>
      <c r="I368" s="2" t="n">
        <v>38871</v>
      </c>
      <c r="J368" t="inlineStr"/>
      <c r="K368" t="inlineStr"/>
      <c r="L368" t="inlineStr"/>
      <c r="M368" t="inlineStr"/>
      <c r="N368" t="n">
        <v>8679</v>
      </c>
    </row>
    <row r="369">
      <c r="A369" s="1" t="n">
        <v>367</v>
      </c>
      <c r="B369" t="n">
        <v>48</v>
      </c>
      <c r="C369" t="inlineStr">
        <is>
          <t>Galeras</t>
        </is>
      </c>
      <c r="D369" t="inlineStr">
        <is>
          <t>GAL_48</t>
        </is>
      </c>
      <c r="E369" t="n">
        <v>1397</v>
      </c>
      <c r="F369" t="inlineStr">
        <is>
          <t>Lauraceae</t>
        </is>
      </c>
      <c r="G369" t="inlineStr"/>
      <c r="H369" t="inlineStr"/>
      <c r="I369" s="2" t="n">
        <v>38871</v>
      </c>
      <c r="J369" t="inlineStr">
        <is>
          <t>3711</t>
        </is>
      </c>
      <c r="K369" t="inlineStr"/>
      <c r="L369" t="inlineStr"/>
      <c r="M369" t="inlineStr"/>
      <c r="N369" t="inlineStr"/>
    </row>
    <row r="370">
      <c r="A370" s="1" t="n">
        <v>368</v>
      </c>
      <c r="B370" t="n">
        <v>48</v>
      </c>
      <c r="C370" t="inlineStr">
        <is>
          <t>Galeras</t>
        </is>
      </c>
      <c r="D370" t="inlineStr">
        <is>
          <t>GAL_48</t>
        </is>
      </c>
      <c r="E370" t="n">
        <v>1398</v>
      </c>
      <c r="F370" t="inlineStr">
        <is>
          <t>Sapotaceae</t>
        </is>
      </c>
      <c r="G370" t="inlineStr">
        <is>
          <t>Chrysophyllum</t>
        </is>
      </c>
      <c r="H370" t="inlineStr">
        <is>
          <t>sanguinolentum</t>
        </is>
      </c>
      <c r="I370" s="2" t="n">
        <v>38871</v>
      </c>
      <c r="J370" t="inlineStr">
        <is>
          <t>3699,2460</t>
        </is>
      </c>
      <c r="K370" t="inlineStr"/>
      <c r="L370" t="inlineStr"/>
      <c r="M370" t="inlineStr">
        <is>
          <t>ø</t>
        </is>
      </c>
      <c r="N370" t="n">
        <v>8678</v>
      </c>
    </row>
    <row r="371">
      <c r="A371" s="1" t="n">
        <v>369</v>
      </c>
      <c r="B371" t="n">
        <v>48</v>
      </c>
      <c r="C371" t="inlineStr">
        <is>
          <t>Galeras</t>
        </is>
      </c>
      <c r="D371" t="inlineStr">
        <is>
          <t>GAL_48</t>
        </is>
      </c>
      <c r="E371" t="n">
        <v>1399</v>
      </c>
      <c r="F371" t="inlineStr"/>
      <c r="G371" t="inlineStr"/>
      <c r="H371" t="inlineStr"/>
      <c r="I371" s="2" t="n">
        <v>38871</v>
      </c>
      <c r="J371" t="inlineStr"/>
      <c r="K371" t="inlineStr"/>
      <c r="L371" t="inlineStr"/>
      <c r="M371" t="inlineStr"/>
      <c r="N371" t="n">
        <v>8676</v>
      </c>
    </row>
    <row r="372">
      <c r="A372" s="1" t="n">
        <v>370</v>
      </c>
      <c r="B372" t="n">
        <v>48</v>
      </c>
      <c r="C372" t="inlineStr">
        <is>
          <t>Galeras</t>
        </is>
      </c>
      <c r="D372" t="inlineStr">
        <is>
          <t>GAL_48</t>
        </is>
      </c>
      <c r="E372" t="n">
        <v>1400</v>
      </c>
      <c r="F372" t="inlineStr">
        <is>
          <t>Moraceae</t>
        </is>
      </c>
      <c r="G372" t="inlineStr">
        <is>
          <t>Naucleopsis</t>
        </is>
      </c>
      <c r="H372" t="inlineStr">
        <is>
          <t>ulei</t>
        </is>
      </c>
      <c r="I372" s="2" t="n">
        <v>38871</v>
      </c>
      <c r="J372" t="inlineStr">
        <is>
          <t>3698</t>
        </is>
      </c>
      <c r="K372" t="inlineStr"/>
      <c r="L372" t="inlineStr"/>
      <c r="M372" t="inlineStr">
        <is>
          <t>ø</t>
        </is>
      </c>
      <c r="N372" t="n">
        <v>8672</v>
      </c>
    </row>
    <row r="373">
      <c r="A373" s="1" t="n">
        <v>371</v>
      </c>
      <c r="B373" t="n">
        <v>48</v>
      </c>
      <c r="C373" t="inlineStr">
        <is>
          <t>Galeras</t>
        </is>
      </c>
      <c r="D373" t="inlineStr">
        <is>
          <t>GAL_48</t>
        </is>
      </c>
      <c r="E373" t="n">
        <v>1401</v>
      </c>
      <c r="F373" t="inlineStr">
        <is>
          <t>Arecaceae</t>
        </is>
      </c>
      <c r="G373" t="inlineStr">
        <is>
          <t>Socratea</t>
        </is>
      </c>
      <c r="H373" t="inlineStr">
        <is>
          <t>exorrhiza</t>
        </is>
      </c>
      <c r="I373" s="2" t="n">
        <v>38871</v>
      </c>
      <c r="J373" t="inlineStr"/>
      <c r="K373" t="inlineStr"/>
      <c r="L373" t="inlineStr"/>
      <c r="M373" t="inlineStr"/>
      <c r="N373" t="n">
        <v>8668</v>
      </c>
    </row>
    <row r="374">
      <c r="A374" s="1" t="n">
        <v>372</v>
      </c>
      <c r="B374" t="n">
        <v>48</v>
      </c>
      <c r="C374" t="inlineStr">
        <is>
          <t>Galeras</t>
        </is>
      </c>
      <c r="D374" t="inlineStr">
        <is>
          <t>GAL_48</t>
        </is>
      </c>
      <c r="E374" t="n">
        <v>1402</v>
      </c>
      <c r="F374" t="inlineStr">
        <is>
          <t>Anacardiaceae</t>
        </is>
      </c>
      <c r="G374" t="inlineStr">
        <is>
          <t>Tapirira</t>
        </is>
      </c>
      <c r="H374" t="inlineStr">
        <is>
          <t>guianensis</t>
        </is>
      </c>
      <c r="I374" s="2" t="n">
        <v>38871</v>
      </c>
      <c r="J374">
        <f>3687</f>
        <v/>
      </c>
      <c r="K374" t="inlineStr"/>
      <c r="L374" t="inlineStr"/>
      <c r="M374" t="inlineStr"/>
      <c r="N374" t="inlineStr"/>
    </row>
    <row r="375">
      <c r="A375" s="1" t="n">
        <v>373</v>
      </c>
      <c r="B375" t="n">
        <v>48</v>
      </c>
      <c r="C375" t="inlineStr">
        <is>
          <t>Galeras</t>
        </is>
      </c>
      <c r="D375" t="inlineStr">
        <is>
          <t>GAL_48</t>
        </is>
      </c>
      <c r="E375" t="n">
        <v>1403</v>
      </c>
      <c r="F375" t="inlineStr">
        <is>
          <t>Arecaceae</t>
        </is>
      </c>
      <c r="G375" t="inlineStr">
        <is>
          <t>Iriartea</t>
        </is>
      </c>
      <c r="H375" t="inlineStr">
        <is>
          <t>deltoidea</t>
        </is>
      </c>
      <c r="I375" s="2" t="n">
        <v>38871</v>
      </c>
      <c r="J375" t="inlineStr"/>
      <c r="K375" t="inlineStr"/>
      <c r="L375" t="inlineStr"/>
      <c r="M375" t="inlineStr"/>
      <c r="N375" t="inlineStr"/>
    </row>
    <row r="376">
      <c r="A376" s="1" t="n">
        <v>374</v>
      </c>
      <c r="B376" t="n">
        <v>48</v>
      </c>
      <c r="C376" t="inlineStr">
        <is>
          <t>Galeras</t>
        </is>
      </c>
      <c r="D376" t="inlineStr">
        <is>
          <t>GAL_48</t>
        </is>
      </c>
      <c r="E376" t="n">
        <v>1404</v>
      </c>
      <c r="F376" t="inlineStr">
        <is>
          <t>Apocynaceae</t>
        </is>
      </c>
      <c r="G376" t="inlineStr">
        <is>
          <t>Lacmellea</t>
        </is>
      </c>
      <c r="H376" t="inlineStr">
        <is>
          <t>speciosa</t>
        </is>
      </c>
      <c r="I376" s="2" t="n">
        <v>38871</v>
      </c>
      <c r="J376" t="inlineStr">
        <is>
          <t>3697</t>
        </is>
      </c>
      <c r="K376" t="inlineStr"/>
      <c r="L376" t="inlineStr"/>
      <c r="M376" t="inlineStr">
        <is>
          <t>ø</t>
        </is>
      </c>
      <c r="N376" t="n">
        <v>8669</v>
      </c>
    </row>
    <row r="377">
      <c r="A377" s="1" t="n">
        <v>375</v>
      </c>
      <c r="B377" t="n">
        <v>48</v>
      </c>
      <c r="C377" t="inlineStr">
        <is>
          <t>Galeras</t>
        </is>
      </c>
      <c r="D377" t="inlineStr">
        <is>
          <t>GAL_48</t>
        </is>
      </c>
      <c r="E377" t="n">
        <v>1405</v>
      </c>
      <c r="F377" t="inlineStr">
        <is>
          <t>Anacardiaceae</t>
        </is>
      </c>
      <c r="G377" t="inlineStr">
        <is>
          <t>Tapirira</t>
        </is>
      </c>
      <c r="H377" t="inlineStr">
        <is>
          <t>guianensis</t>
        </is>
      </c>
      <c r="I377" s="2" t="n">
        <v>38871</v>
      </c>
      <c r="J377" t="inlineStr"/>
      <c r="K377" t="inlineStr"/>
      <c r="L377" t="inlineStr"/>
      <c r="M377" t="inlineStr"/>
      <c r="N377" t="inlineStr"/>
    </row>
    <row r="378">
      <c r="A378" s="1" t="n">
        <v>376</v>
      </c>
      <c r="B378" t="n">
        <v>48</v>
      </c>
      <c r="C378" t="inlineStr">
        <is>
          <t>Galeras</t>
        </is>
      </c>
      <c r="D378" t="inlineStr">
        <is>
          <t>GAL_48</t>
        </is>
      </c>
      <c r="E378" t="n">
        <v>1406</v>
      </c>
      <c r="F378" t="inlineStr">
        <is>
          <t>Malpighiaceae</t>
        </is>
      </c>
      <c r="G378" t="inlineStr">
        <is>
          <t>Byrsonima</t>
        </is>
      </c>
      <c r="H378" t="inlineStr"/>
      <c r="I378" s="2" t="n">
        <v>38871</v>
      </c>
      <c r="J378" t="inlineStr">
        <is>
          <t>3703, 2461</t>
        </is>
      </c>
      <c r="K378" t="inlineStr"/>
      <c r="L378" t="inlineStr"/>
      <c r="M378" t="inlineStr">
        <is>
          <t>ø</t>
        </is>
      </c>
      <c r="N378" t="n">
        <v>8666</v>
      </c>
    </row>
    <row r="379">
      <c r="A379" s="1" t="n">
        <v>377</v>
      </c>
      <c r="B379" t="n">
        <v>48</v>
      </c>
      <c r="C379" t="inlineStr">
        <is>
          <t>Galeras</t>
        </is>
      </c>
      <c r="D379" t="inlineStr">
        <is>
          <t>GAL_48</t>
        </is>
      </c>
      <c r="E379" t="n">
        <v>1407</v>
      </c>
      <c r="F379" t="inlineStr">
        <is>
          <t>Myrtaceae</t>
        </is>
      </c>
      <c r="G379" t="inlineStr">
        <is>
          <t>Calyptranthes</t>
        </is>
      </c>
      <c r="H379" t="inlineStr"/>
      <c r="I379" s="2" t="n">
        <v>38871</v>
      </c>
      <c r="J379" t="inlineStr">
        <is>
          <t>3700</t>
        </is>
      </c>
      <c r="K379" t="inlineStr"/>
      <c r="L379" t="inlineStr"/>
      <c r="M379" t="inlineStr">
        <is>
          <t>ø</t>
        </is>
      </c>
      <c r="N379" t="n">
        <v>8667</v>
      </c>
    </row>
    <row r="380">
      <c r="A380" s="1" t="n">
        <v>378</v>
      </c>
      <c r="B380" t="n">
        <v>48</v>
      </c>
      <c r="C380" t="inlineStr">
        <is>
          <t>Galeras</t>
        </is>
      </c>
      <c r="D380" t="inlineStr">
        <is>
          <t>GAL_48</t>
        </is>
      </c>
      <c r="E380" t="n">
        <v>1408</v>
      </c>
      <c r="F380" t="inlineStr">
        <is>
          <t>Fabaceae</t>
        </is>
      </c>
      <c r="G380" t="inlineStr">
        <is>
          <t>Tachigali</t>
        </is>
      </c>
      <c r="H380" t="inlineStr"/>
      <c r="I380" s="2" t="n">
        <v>38871</v>
      </c>
      <c r="J380" t="inlineStr">
        <is>
          <t>3702</t>
        </is>
      </c>
      <c r="K380" t="inlineStr"/>
      <c r="L380" t="inlineStr"/>
      <c r="M380" t="inlineStr"/>
      <c r="N380" t="inlineStr"/>
    </row>
    <row r="381">
      <c r="A381" s="1" t="n">
        <v>379</v>
      </c>
      <c r="B381" t="n">
        <v>48</v>
      </c>
      <c r="C381" t="inlineStr">
        <is>
          <t>Galeras</t>
        </is>
      </c>
      <c r="D381" t="inlineStr">
        <is>
          <t>GAL_48</t>
        </is>
      </c>
      <c r="E381" t="n">
        <v>1409</v>
      </c>
      <c r="F381" t="inlineStr">
        <is>
          <t>Lacistemataceae</t>
        </is>
      </c>
      <c r="G381" t="inlineStr">
        <is>
          <t>Lozania</t>
        </is>
      </c>
      <c r="H381" t="inlineStr">
        <is>
          <t>klugii</t>
        </is>
      </c>
      <c r="I381" s="2" t="n">
        <v>38871</v>
      </c>
      <c r="J381">
        <f>3688</f>
        <v/>
      </c>
      <c r="K381" t="inlineStr"/>
      <c r="L381" t="inlineStr"/>
      <c r="M381" t="inlineStr"/>
      <c r="N381" t="n">
        <v>8671</v>
      </c>
    </row>
    <row r="382">
      <c r="A382" s="1" t="n">
        <v>380</v>
      </c>
      <c r="B382" t="n">
        <v>48</v>
      </c>
      <c r="C382" t="inlineStr">
        <is>
          <t>Galeras</t>
        </is>
      </c>
      <c r="D382" t="inlineStr">
        <is>
          <t>GAL_48</t>
        </is>
      </c>
      <c r="E382" t="n">
        <v>1410</v>
      </c>
      <c r="F382" t="inlineStr">
        <is>
          <t>Lauraceae</t>
        </is>
      </c>
      <c r="G382" t="inlineStr">
        <is>
          <t>Ocotea</t>
        </is>
      </c>
      <c r="H382" t="inlineStr">
        <is>
          <t>insularis</t>
        </is>
      </c>
      <c r="I382" s="2" t="n">
        <v>38871</v>
      </c>
      <c r="J382" t="inlineStr">
        <is>
          <t>3701</t>
        </is>
      </c>
      <c r="K382" t="inlineStr"/>
      <c r="L382" t="inlineStr"/>
      <c r="M382" t="inlineStr"/>
      <c r="N382" t="inlineStr"/>
    </row>
    <row r="383">
      <c r="A383" s="1" t="n">
        <v>381</v>
      </c>
      <c r="B383" t="n">
        <v>48</v>
      </c>
      <c r="C383" t="inlineStr">
        <is>
          <t>Galeras</t>
        </is>
      </c>
      <c r="D383" t="inlineStr">
        <is>
          <t>GAL_48</t>
        </is>
      </c>
      <c r="E383" t="n">
        <v>1411</v>
      </c>
      <c r="F383" t="inlineStr">
        <is>
          <t>Moraceae</t>
        </is>
      </c>
      <c r="G383" t="inlineStr">
        <is>
          <t>Helicostylis</t>
        </is>
      </c>
      <c r="H383" t="inlineStr">
        <is>
          <t>tomentosa</t>
        </is>
      </c>
      <c r="I383" s="2" t="n">
        <v>38871</v>
      </c>
      <c r="J383" t="inlineStr">
        <is>
          <t>3696</t>
        </is>
      </c>
      <c r="K383" t="inlineStr"/>
      <c r="L383" t="inlineStr"/>
      <c r="M383" t="inlineStr">
        <is>
          <t>ø</t>
        </is>
      </c>
      <c r="N383" t="n">
        <v>8665</v>
      </c>
    </row>
    <row r="384">
      <c r="A384" s="1" t="n">
        <v>382</v>
      </c>
      <c r="B384" t="n">
        <v>48</v>
      </c>
      <c r="C384" t="inlineStr">
        <is>
          <t>Galeras</t>
        </is>
      </c>
      <c r="D384" t="inlineStr">
        <is>
          <t>GAL_48</t>
        </is>
      </c>
      <c r="E384" t="n">
        <v>1412</v>
      </c>
      <c r="F384" t="inlineStr">
        <is>
          <t>Moraceae</t>
        </is>
      </c>
      <c r="G384" t="inlineStr">
        <is>
          <t>Brosimum</t>
        </is>
      </c>
      <c r="H384" t="inlineStr">
        <is>
          <t>utile</t>
        </is>
      </c>
      <c r="I384" s="2" t="n">
        <v>38871</v>
      </c>
      <c r="J384" t="inlineStr">
        <is>
          <t>3704</t>
        </is>
      </c>
      <c r="K384" t="inlineStr"/>
      <c r="L384" t="inlineStr"/>
      <c r="M384" t="inlineStr"/>
      <c r="N384" t="n">
        <v>8662</v>
      </c>
    </row>
    <row r="385">
      <c r="A385" s="1" t="n">
        <v>383</v>
      </c>
      <c r="B385" t="n">
        <v>48</v>
      </c>
      <c r="C385" t="inlineStr">
        <is>
          <t>Galeras</t>
        </is>
      </c>
      <c r="D385" t="inlineStr">
        <is>
          <t>GAL_48</t>
        </is>
      </c>
      <c r="E385" t="n">
        <v>1413</v>
      </c>
      <c r="F385" t="inlineStr"/>
      <c r="G385" t="inlineStr"/>
      <c r="H385" t="inlineStr"/>
      <c r="I385" s="2" t="n">
        <v>38871</v>
      </c>
      <c r="J385" t="inlineStr">
        <is>
          <t>3705</t>
        </is>
      </c>
      <c r="K385" t="inlineStr"/>
      <c r="L385" t="inlineStr"/>
      <c r="M385" t="inlineStr">
        <is>
          <t>ø</t>
        </is>
      </c>
      <c r="N385" t="n">
        <v>8663</v>
      </c>
    </row>
    <row r="386">
      <c r="A386" s="1" t="n">
        <v>384</v>
      </c>
      <c r="B386" t="n">
        <v>48</v>
      </c>
      <c r="C386" t="inlineStr">
        <is>
          <t>Galeras</t>
        </is>
      </c>
      <c r="D386" t="inlineStr">
        <is>
          <t>GAL_48</t>
        </is>
      </c>
      <c r="E386" t="n">
        <v>1414</v>
      </c>
      <c r="F386" t="inlineStr">
        <is>
          <t>Moraceae</t>
        </is>
      </c>
      <c r="G386" t="inlineStr">
        <is>
          <t>Pseudolmedia</t>
        </is>
      </c>
      <c r="H386" t="inlineStr">
        <is>
          <t>laevis</t>
        </is>
      </c>
      <c r="I386" s="2" t="n">
        <v>38871</v>
      </c>
      <c r="J386" t="inlineStr">
        <is>
          <t>3710</t>
        </is>
      </c>
      <c r="K386" t="inlineStr"/>
      <c r="L386" t="inlineStr"/>
      <c r="M386" t="inlineStr">
        <is>
          <t>ø</t>
        </is>
      </c>
      <c r="N386" t="n">
        <v>8664</v>
      </c>
    </row>
    <row r="387">
      <c r="A387" s="1" t="n">
        <v>385</v>
      </c>
      <c r="B387" t="n">
        <v>48</v>
      </c>
      <c r="C387" t="inlineStr">
        <is>
          <t>Galeras</t>
        </is>
      </c>
      <c r="D387" t="inlineStr">
        <is>
          <t>GAL_48</t>
        </is>
      </c>
      <c r="E387" t="n">
        <v>1415</v>
      </c>
      <c r="F387" t="inlineStr"/>
      <c r="G387" t="inlineStr"/>
      <c r="H387" t="inlineStr"/>
      <c r="I387" s="2" t="n">
        <v>38871</v>
      </c>
      <c r="J387">
        <f>3705</f>
        <v/>
      </c>
      <c r="K387" t="inlineStr"/>
      <c r="L387" t="inlineStr"/>
      <c r="M387" t="inlineStr"/>
      <c r="N387" t="n">
        <v>8659</v>
      </c>
    </row>
    <row r="388">
      <c r="A388" s="1" t="n">
        <v>386</v>
      </c>
      <c r="B388" t="n">
        <v>48</v>
      </c>
      <c r="C388" t="inlineStr">
        <is>
          <t>Galeras</t>
        </is>
      </c>
      <c r="D388" t="inlineStr">
        <is>
          <t>GAL_48</t>
        </is>
      </c>
      <c r="E388" t="n">
        <v>1416</v>
      </c>
      <c r="F388" t="inlineStr">
        <is>
          <t>Clusiaceae</t>
        </is>
      </c>
      <c r="G388" t="inlineStr">
        <is>
          <t>Symphonia</t>
        </is>
      </c>
      <c r="H388" t="inlineStr">
        <is>
          <t>globulifera</t>
        </is>
      </c>
      <c r="I388" s="2" t="n">
        <v>38871</v>
      </c>
      <c r="J388" t="inlineStr"/>
      <c r="K388" t="inlineStr"/>
      <c r="L388" t="inlineStr"/>
      <c r="M388" t="inlineStr"/>
      <c r="N388" t="n">
        <v>8661</v>
      </c>
    </row>
    <row r="389">
      <c r="A389" s="1" t="n">
        <v>387</v>
      </c>
      <c r="B389" t="n">
        <v>48</v>
      </c>
      <c r="C389" t="inlineStr">
        <is>
          <t>Galeras</t>
        </is>
      </c>
      <c r="D389" t="inlineStr">
        <is>
          <t>GAL_48</t>
        </is>
      </c>
      <c r="E389" t="n">
        <v>1417</v>
      </c>
      <c r="F389" t="inlineStr">
        <is>
          <t>Moraceae</t>
        </is>
      </c>
      <c r="G389" t="inlineStr">
        <is>
          <t>Brosimum</t>
        </is>
      </c>
      <c r="H389" t="inlineStr">
        <is>
          <t>lactescens</t>
        </is>
      </c>
      <c r="I389" s="2" t="n">
        <v>38871</v>
      </c>
      <c r="J389" t="inlineStr">
        <is>
          <t>3706</t>
        </is>
      </c>
      <c r="K389" t="inlineStr"/>
      <c r="L389" t="inlineStr"/>
      <c r="M389" t="inlineStr">
        <is>
          <t>ø</t>
        </is>
      </c>
      <c r="N389" t="n">
        <v>8658</v>
      </c>
    </row>
    <row r="390">
      <c r="A390" s="1" t="n">
        <v>388</v>
      </c>
      <c r="B390" t="n">
        <v>49</v>
      </c>
      <c r="C390" t="inlineStr">
        <is>
          <t>Galeras</t>
        </is>
      </c>
      <c r="D390" t="inlineStr">
        <is>
          <t>GAL_49</t>
        </is>
      </c>
      <c r="E390" t="n">
        <v>1418</v>
      </c>
      <c r="F390" t="inlineStr">
        <is>
          <t>Moraceae</t>
        </is>
      </c>
      <c r="G390" t="inlineStr"/>
      <c r="H390" t="inlineStr"/>
      <c r="I390" s="2" t="n">
        <v>38872</v>
      </c>
      <c r="J390">
        <f>3747</f>
        <v/>
      </c>
      <c r="K390" t="inlineStr"/>
      <c r="L390" t="inlineStr"/>
      <c r="M390" t="inlineStr"/>
      <c r="N390" t="inlineStr"/>
    </row>
    <row r="391">
      <c r="A391" s="1" t="n">
        <v>389</v>
      </c>
      <c r="B391" t="n">
        <v>49</v>
      </c>
      <c r="C391" t="inlineStr">
        <is>
          <t>Galeras</t>
        </is>
      </c>
      <c r="D391" t="inlineStr">
        <is>
          <t>GAL_49</t>
        </is>
      </c>
      <c r="E391" t="n">
        <v>1419</v>
      </c>
      <c r="F391" t="inlineStr">
        <is>
          <t>Ulmaceae</t>
        </is>
      </c>
      <c r="G391" t="inlineStr">
        <is>
          <t>Ampelocera</t>
        </is>
      </c>
      <c r="H391" t="inlineStr">
        <is>
          <t>edentula</t>
        </is>
      </c>
      <c r="I391" s="2" t="n">
        <v>38872</v>
      </c>
      <c r="J391" t="inlineStr"/>
      <c r="K391" t="inlineStr"/>
      <c r="L391" t="inlineStr"/>
      <c r="M391" t="inlineStr"/>
      <c r="N391" t="inlineStr"/>
    </row>
    <row r="392">
      <c r="A392" s="1" t="n">
        <v>390</v>
      </c>
      <c r="B392" t="n">
        <v>49</v>
      </c>
      <c r="C392" t="inlineStr">
        <is>
          <t>Galeras</t>
        </is>
      </c>
      <c r="D392" t="inlineStr">
        <is>
          <t>GAL_49</t>
        </is>
      </c>
      <c r="E392" t="n">
        <v>1420</v>
      </c>
      <c r="F392" t="inlineStr">
        <is>
          <t>Verbenaceae</t>
        </is>
      </c>
      <c r="G392" t="inlineStr">
        <is>
          <t>Vitex</t>
        </is>
      </c>
      <c r="H392" t="inlineStr">
        <is>
          <t>cymosa</t>
        </is>
      </c>
      <c r="I392" s="2" t="n">
        <v>38872</v>
      </c>
      <c r="J392" t="inlineStr">
        <is>
          <t>3752</t>
        </is>
      </c>
      <c r="K392" t="inlineStr"/>
      <c r="L392" t="inlineStr"/>
      <c r="M392" t="inlineStr"/>
      <c r="N392" t="inlineStr"/>
    </row>
    <row r="393">
      <c r="A393" s="1" t="n">
        <v>391</v>
      </c>
      <c r="B393" t="n">
        <v>49</v>
      </c>
      <c r="C393" t="inlineStr">
        <is>
          <t>Galeras</t>
        </is>
      </c>
      <c r="D393" t="inlineStr">
        <is>
          <t>GAL_49</t>
        </is>
      </c>
      <c r="E393" t="n">
        <v>1421</v>
      </c>
      <c r="F393" t="inlineStr">
        <is>
          <t>Annonaceae</t>
        </is>
      </c>
      <c r="G393" t="inlineStr">
        <is>
          <t>Annona</t>
        </is>
      </c>
      <c r="H393" t="inlineStr"/>
      <c r="I393" s="2" t="n">
        <v>38872</v>
      </c>
      <c r="J393" t="inlineStr">
        <is>
          <t>3759</t>
        </is>
      </c>
      <c r="K393" t="inlineStr"/>
      <c r="L393" t="inlineStr"/>
      <c r="M393" t="inlineStr"/>
      <c r="N393" t="inlineStr"/>
    </row>
    <row r="394">
      <c r="A394" s="1" t="n">
        <v>392</v>
      </c>
      <c r="B394" t="n">
        <v>49</v>
      </c>
      <c r="C394" t="inlineStr">
        <is>
          <t>Galeras</t>
        </is>
      </c>
      <c r="D394" t="inlineStr">
        <is>
          <t>GAL_49</t>
        </is>
      </c>
      <c r="E394" t="n">
        <v>1422</v>
      </c>
      <c r="F394" t="inlineStr">
        <is>
          <t>Cecropiaceae</t>
        </is>
      </c>
      <c r="G394" t="inlineStr">
        <is>
          <t>Cecropia</t>
        </is>
      </c>
      <c r="H394" t="inlineStr">
        <is>
          <t>engleriana</t>
        </is>
      </c>
      <c r="I394" s="2" t="n">
        <v>38872</v>
      </c>
      <c r="J394" t="inlineStr">
        <is>
          <t>3750</t>
        </is>
      </c>
      <c r="K394" t="inlineStr"/>
      <c r="L394" t="inlineStr"/>
      <c r="M394" t="inlineStr"/>
      <c r="N394" t="inlineStr"/>
    </row>
    <row r="395">
      <c r="A395" s="1" t="n">
        <v>393</v>
      </c>
      <c r="B395" t="n">
        <v>49</v>
      </c>
      <c r="C395" t="inlineStr">
        <is>
          <t>Galeras</t>
        </is>
      </c>
      <c r="D395" t="inlineStr">
        <is>
          <t>GAL_49</t>
        </is>
      </c>
      <c r="E395" t="n">
        <v>1423</v>
      </c>
      <c r="F395" t="inlineStr">
        <is>
          <t>Sapotaceae</t>
        </is>
      </c>
      <c r="G395" t="inlineStr">
        <is>
          <t>Pouteria</t>
        </is>
      </c>
      <c r="H395" t="inlineStr">
        <is>
          <t>caimito</t>
        </is>
      </c>
      <c r="I395" s="2" t="n">
        <v>38872</v>
      </c>
      <c r="J395" t="inlineStr">
        <is>
          <t>3760</t>
        </is>
      </c>
      <c r="K395" t="inlineStr"/>
      <c r="L395" t="inlineStr"/>
      <c r="M395" t="inlineStr"/>
      <c r="N395" t="inlineStr"/>
    </row>
    <row r="396">
      <c r="A396" s="1" t="n">
        <v>394</v>
      </c>
      <c r="B396" t="n">
        <v>49</v>
      </c>
      <c r="C396" t="inlineStr">
        <is>
          <t>Galeras</t>
        </is>
      </c>
      <c r="D396" t="inlineStr">
        <is>
          <t>GAL_49</t>
        </is>
      </c>
      <c r="E396" t="n">
        <v>1424</v>
      </c>
      <c r="F396" t="inlineStr">
        <is>
          <t>Meliaceae</t>
        </is>
      </c>
      <c r="G396" t="inlineStr">
        <is>
          <t>Guarea</t>
        </is>
      </c>
      <c r="H396" t="inlineStr">
        <is>
          <t>kunthiana</t>
        </is>
      </c>
      <c r="I396" s="2" t="n">
        <v>38872</v>
      </c>
      <c r="J396" t="inlineStr"/>
      <c r="K396" t="inlineStr"/>
      <c r="L396" t="inlineStr"/>
      <c r="M396" t="inlineStr"/>
      <c r="N396" t="inlineStr"/>
    </row>
    <row r="397">
      <c r="A397" s="1" t="n">
        <v>395</v>
      </c>
      <c r="B397" t="n">
        <v>49</v>
      </c>
      <c r="C397" t="inlineStr">
        <is>
          <t>Galeras</t>
        </is>
      </c>
      <c r="D397" t="inlineStr">
        <is>
          <t>GAL_49</t>
        </is>
      </c>
      <c r="E397" t="n">
        <v>1425</v>
      </c>
      <c r="F397" t="inlineStr">
        <is>
          <t>Rubiaceae</t>
        </is>
      </c>
      <c r="G397" t="inlineStr">
        <is>
          <t>Coussarea</t>
        </is>
      </c>
      <c r="H397" t="inlineStr">
        <is>
          <t>paniculata</t>
        </is>
      </c>
      <c r="I397" s="2" t="n">
        <v>38872</v>
      </c>
      <c r="J397" t="inlineStr">
        <is>
          <t>3754</t>
        </is>
      </c>
      <c r="K397" t="inlineStr"/>
      <c r="L397" t="inlineStr"/>
      <c r="M397" t="inlineStr"/>
      <c r="N397" t="inlineStr"/>
    </row>
    <row r="398">
      <c r="A398" s="1" t="n">
        <v>396</v>
      </c>
      <c r="B398" t="n">
        <v>49</v>
      </c>
      <c r="C398" t="inlineStr">
        <is>
          <t>Galeras</t>
        </is>
      </c>
      <c r="D398" t="inlineStr">
        <is>
          <t>GAL_49</t>
        </is>
      </c>
      <c r="E398" t="n">
        <v>1426</v>
      </c>
      <c r="F398" t="inlineStr">
        <is>
          <t>Moraceae</t>
        </is>
      </c>
      <c r="G398" t="inlineStr">
        <is>
          <t>Clarisia</t>
        </is>
      </c>
      <c r="H398" t="inlineStr">
        <is>
          <t>biflora</t>
        </is>
      </c>
      <c r="I398" s="2" t="n">
        <v>38872</v>
      </c>
      <c r="J398" t="inlineStr"/>
      <c r="K398" t="inlineStr"/>
      <c r="L398" t="inlineStr"/>
      <c r="M398" t="inlineStr"/>
      <c r="N398" t="inlineStr"/>
    </row>
    <row r="399">
      <c r="A399" s="1" t="n">
        <v>397</v>
      </c>
      <c r="B399" t="n">
        <v>49</v>
      </c>
      <c r="C399" t="inlineStr">
        <is>
          <t>Galeras</t>
        </is>
      </c>
      <c r="D399" t="inlineStr">
        <is>
          <t>GAL_49</t>
        </is>
      </c>
      <c r="E399" t="n">
        <v>1427</v>
      </c>
      <c r="F399" t="inlineStr">
        <is>
          <t>Simaroubaceae</t>
        </is>
      </c>
      <c r="G399" t="inlineStr">
        <is>
          <t>Simaba</t>
        </is>
      </c>
      <c r="H399" t="inlineStr"/>
      <c r="I399" s="2" t="n">
        <v>38872</v>
      </c>
      <c r="J399" t="inlineStr">
        <is>
          <t>3757</t>
        </is>
      </c>
      <c r="K399" t="inlineStr"/>
      <c r="L399" t="inlineStr"/>
      <c r="M399" t="inlineStr"/>
      <c r="N399" t="inlineStr"/>
    </row>
    <row r="400">
      <c r="A400" s="1" t="n">
        <v>398</v>
      </c>
      <c r="B400" t="n">
        <v>49</v>
      </c>
      <c r="C400" t="inlineStr">
        <is>
          <t>Galeras</t>
        </is>
      </c>
      <c r="D400" t="inlineStr">
        <is>
          <t>GAL_49</t>
        </is>
      </c>
      <c r="E400" t="n">
        <v>1428</v>
      </c>
      <c r="F400" t="inlineStr">
        <is>
          <t>Arecaceae</t>
        </is>
      </c>
      <c r="G400" t="inlineStr">
        <is>
          <t>Iriartea</t>
        </is>
      </c>
      <c r="H400" t="inlineStr">
        <is>
          <t>deltoidea</t>
        </is>
      </c>
      <c r="I400" s="2" t="n">
        <v>38872</v>
      </c>
      <c r="J400" t="inlineStr"/>
      <c r="K400" t="inlineStr"/>
      <c r="L400" t="inlineStr"/>
      <c r="M400" t="inlineStr"/>
      <c r="N400" t="inlineStr"/>
    </row>
    <row r="401">
      <c r="A401" s="1" t="n">
        <v>399</v>
      </c>
      <c r="B401" t="n">
        <v>49</v>
      </c>
      <c r="C401" t="inlineStr">
        <is>
          <t>Galeras</t>
        </is>
      </c>
      <c r="D401" t="inlineStr">
        <is>
          <t>GAL_49</t>
        </is>
      </c>
      <c r="E401" t="n">
        <v>1429</v>
      </c>
      <c r="F401" t="inlineStr">
        <is>
          <t>Arecaceae</t>
        </is>
      </c>
      <c r="G401" t="inlineStr">
        <is>
          <t>Iriartea</t>
        </is>
      </c>
      <c r="H401" t="inlineStr">
        <is>
          <t>deltoidea</t>
        </is>
      </c>
      <c r="I401" s="2" t="n">
        <v>38872</v>
      </c>
      <c r="J401" t="inlineStr"/>
      <c r="K401" t="inlineStr"/>
      <c r="L401" t="inlineStr"/>
      <c r="M401" t="inlineStr"/>
      <c r="N401" t="inlineStr"/>
    </row>
    <row r="402">
      <c r="A402" s="1" t="n">
        <v>400</v>
      </c>
      <c r="B402" t="n">
        <v>49</v>
      </c>
      <c r="C402" t="inlineStr">
        <is>
          <t>Galeras</t>
        </is>
      </c>
      <c r="D402" t="inlineStr">
        <is>
          <t>GAL_49</t>
        </is>
      </c>
      <c r="E402" t="n">
        <v>1430</v>
      </c>
      <c r="F402" t="inlineStr">
        <is>
          <t>Anacardiaceae</t>
        </is>
      </c>
      <c r="G402" t="inlineStr">
        <is>
          <t>Tapirira</t>
        </is>
      </c>
      <c r="H402" t="inlineStr">
        <is>
          <t>guianensis</t>
        </is>
      </c>
      <c r="I402" s="2" t="n">
        <v>38872</v>
      </c>
      <c r="J402" t="inlineStr">
        <is>
          <t>3758</t>
        </is>
      </c>
      <c r="K402" t="inlineStr"/>
      <c r="L402" t="inlineStr"/>
      <c r="M402" t="inlineStr"/>
      <c r="N402" t="inlineStr"/>
    </row>
    <row r="403">
      <c r="A403" s="1" t="n">
        <v>401</v>
      </c>
      <c r="B403" t="n">
        <v>49</v>
      </c>
      <c r="C403" t="inlineStr">
        <is>
          <t>Galeras</t>
        </is>
      </c>
      <c r="D403" t="inlineStr">
        <is>
          <t>GAL_49</t>
        </is>
      </c>
      <c r="E403" t="n">
        <v>1431</v>
      </c>
      <c r="F403" t="inlineStr">
        <is>
          <t>Moraceae</t>
        </is>
      </c>
      <c r="G403" t="inlineStr">
        <is>
          <t>Clarisia</t>
        </is>
      </c>
      <c r="H403" t="inlineStr">
        <is>
          <t>racemosa</t>
        </is>
      </c>
      <c r="I403" s="2" t="n">
        <v>38872</v>
      </c>
      <c r="J403" t="inlineStr">
        <is>
          <t>3756</t>
        </is>
      </c>
      <c r="K403" t="inlineStr"/>
      <c r="L403" t="inlineStr"/>
      <c r="M403" t="inlineStr"/>
      <c r="N403" t="inlineStr"/>
    </row>
    <row r="404">
      <c r="A404" s="1" t="n">
        <v>402</v>
      </c>
      <c r="B404" t="n">
        <v>49</v>
      </c>
      <c r="C404" t="inlineStr">
        <is>
          <t>Galeras</t>
        </is>
      </c>
      <c r="D404" t="inlineStr">
        <is>
          <t>GAL_49</t>
        </is>
      </c>
      <c r="E404" t="n">
        <v>1432</v>
      </c>
      <c r="F404" t="inlineStr">
        <is>
          <t>Violaceae</t>
        </is>
      </c>
      <c r="G404" t="inlineStr">
        <is>
          <t>Leonia</t>
        </is>
      </c>
      <c r="H404" t="inlineStr">
        <is>
          <t>glycycarpa</t>
        </is>
      </c>
      <c r="I404" s="2" t="n">
        <v>38872</v>
      </c>
      <c r="J404" t="inlineStr">
        <is>
          <t>3762</t>
        </is>
      </c>
      <c r="K404" t="inlineStr"/>
      <c r="L404" t="inlineStr"/>
      <c r="M404" t="inlineStr"/>
      <c r="N404" t="inlineStr"/>
    </row>
    <row r="405">
      <c r="A405" s="1" t="n">
        <v>403</v>
      </c>
      <c r="B405" t="n">
        <v>49</v>
      </c>
      <c r="C405" t="inlineStr">
        <is>
          <t>Galeras</t>
        </is>
      </c>
      <c r="D405" t="inlineStr">
        <is>
          <t>GAL_49</t>
        </is>
      </c>
      <c r="E405" t="n">
        <v>1433</v>
      </c>
      <c r="F405" t="inlineStr">
        <is>
          <t>Arecaceae</t>
        </is>
      </c>
      <c r="G405" t="inlineStr">
        <is>
          <t>Iriartea</t>
        </is>
      </c>
      <c r="H405" t="inlineStr">
        <is>
          <t>deltoidea</t>
        </is>
      </c>
      <c r="I405" s="2" t="n">
        <v>38872</v>
      </c>
      <c r="J405" t="inlineStr"/>
      <c r="K405" t="inlineStr"/>
      <c r="L405" t="inlineStr"/>
      <c r="M405" t="inlineStr"/>
      <c r="N405" t="inlineStr"/>
    </row>
    <row r="406">
      <c r="A406" s="1" t="n">
        <v>404</v>
      </c>
      <c r="B406" t="n">
        <v>49</v>
      </c>
      <c r="C406" t="inlineStr">
        <is>
          <t>Galeras</t>
        </is>
      </c>
      <c r="D406" t="inlineStr">
        <is>
          <t>GAL_49</t>
        </is>
      </c>
      <c r="E406" t="n">
        <v>1434</v>
      </c>
      <c r="F406" t="inlineStr">
        <is>
          <t>Euphorbiaceae</t>
        </is>
      </c>
      <c r="G406" t="inlineStr">
        <is>
          <t>Drypetes</t>
        </is>
      </c>
      <c r="H406" t="inlineStr">
        <is>
          <t>amazonica</t>
        </is>
      </c>
      <c r="I406" s="2" t="n">
        <v>38872</v>
      </c>
      <c r="J406" t="inlineStr">
        <is>
          <t>3753</t>
        </is>
      </c>
      <c r="K406" t="inlineStr"/>
      <c r="L406" t="inlineStr"/>
      <c r="M406" t="inlineStr"/>
      <c r="N406" t="inlineStr"/>
    </row>
    <row r="407">
      <c r="A407" s="1" t="n">
        <v>405</v>
      </c>
      <c r="B407" t="n">
        <v>49</v>
      </c>
      <c r="C407" t="inlineStr">
        <is>
          <t>Galeras</t>
        </is>
      </c>
      <c r="D407" t="inlineStr">
        <is>
          <t>GAL_49</t>
        </is>
      </c>
      <c r="E407" t="n">
        <v>1435</v>
      </c>
      <c r="F407" t="inlineStr">
        <is>
          <t>Rubiaceae</t>
        </is>
      </c>
      <c r="G407" t="inlineStr">
        <is>
          <t>Posoqueria</t>
        </is>
      </c>
      <c r="H407" t="inlineStr">
        <is>
          <t>latifolia</t>
        </is>
      </c>
      <c r="I407" s="2" t="n">
        <v>38872</v>
      </c>
      <c r="J407" t="inlineStr"/>
      <c r="K407" t="inlineStr"/>
      <c r="L407" t="inlineStr"/>
      <c r="M407" t="inlineStr"/>
      <c r="N407" t="inlineStr"/>
    </row>
    <row r="408">
      <c r="A408" s="1" t="n">
        <v>406</v>
      </c>
      <c r="B408" t="n">
        <v>49</v>
      </c>
      <c r="C408" t="inlineStr">
        <is>
          <t>Galeras</t>
        </is>
      </c>
      <c r="D408" t="inlineStr">
        <is>
          <t>GAL_49</t>
        </is>
      </c>
      <c r="E408" t="n">
        <v>1436</v>
      </c>
      <c r="F408" t="inlineStr">
        <is>
          <t>Arecaceae</t>
        </is>
      </c>
      <c r="G408" t="inlineStr">
        <is>
          <t>Iriartea</t>
        </is>
      </c>
      <c r="H408" t="inlineStr">
        <is>
          <t>deltoidea</t>
        </is>
      </c>
      <c r="I408" s="2" t="n">
        <v>38872</v>
      </c>
      <c r="J408" t="inlineStr"/>
      <c r="K408" t="inlineStr"/>
      <c r="L408" t="inlineStr"/>
      <c r="M408" t="inlineStr"/>
      <c r="N408" t="inlineStr"/>
    </row>
    <row r="409">
      <c r="A409" s="1" t="n">
        <v>407</v>
      </c>
      <c r="B409" t="n">
        <v>49</v>
      </c>
      <c r="C409" t="inlineStr">
        <is>
          <t>Galeras</t>
        </is>
      </c>
      <c r="D409" t="inlineStr">
        <is>
          <t>GAL_49</t>
        </is>
      </c>
      <c r="E409" t="n">
        <v>1437</v>
      </c>
      <c r="F409" t="inlineStr">
        <is>
          <t>Chrysobalanaceae</t>
        </is>
      </c>
      <c r="G409" t="inlineStr">
        <is>
          <t>Licania</t>
        </is>
      </c>
      <c r="H409" t="inlineStr">
        <is>
          <t>harlingii</t>
        </is>
      </c>
      <c r="I409" s="2" t="n">
        <v>38872</v>
      </c>
      <c r="J409" t="inlineStr">
        <is>
          <t>3755</t>
        </is>
      </c>
      <c r="K409" t="inlineStr"/>
      <c r="L409" t="inlineStr"/>
      <c r="M409" t="inlineStr"/>
      <c r="N409" t="inlineStr"/>
    </row>
    <row r="410">
      <c r="A410" s="1" t="n">
        <v>408</v>
      </c>
      <c r="B410" t="n">
        <v>49</v>
      </c>
      <c r="C410" t="inlineStr">
        <is>
          <t>Galeras</t>
        </is>
      </c>
      <c r="D410" t="inlineStr">
        <is>
          <t>GAL_49</t>
        </is>
      </c>
      <c r="E410" t="n">
        <v>1438</v>
      </c>
      <c r="F410" t="inlineStr">
        <is>
          <t>Moraceae</t>
        </is>
      </c>
      <c r="G410" t="inlineStr">
        <is>
          <t>Brosimum</t>
        </is>
      </c>
      <c r="H410" t="inlineStr">
        <is>
          <t>lactescens</t>
        </is>
      </c>
      <c r="I410" s="2" t="n">
        <v>38872</v>
      </c>
      <c r="J410" t="inlineStr">
        <is>
          <t>3748</t>
        </is>
      </c>
      <c r="K410" t="inlineStr"/>
      <c r="L410" t="inlineStr"/>
      <c r="M410" t="inlineStr"/>
      <c r="N410" t="inlineStr"/>
    </row>
    <row r="411">
      <c r="A411" s="1" t="n">
        <v>409</v>
      </c>
      <c r="B411" t="n">
        <v>49</v>
      </c>
      <c r="C411" t="inlineStr">
        <is>
          <t>Galeras</t>
        </is>
      </c>
      <c r="D411" t="inlineStr">
        <is>
          <t>GAL_49</t>
        </is>
      </c>
      <c r="E411" t="n">
        <v>1439</v>
      </c>
      <c r="F411" t="inlineStr">
        <is>
          <t>Myristicaceae</t>
        </is>
      </c>
      <c r="G411" t="inlineStr">
        <is>
          <t>Otoba</t>
        </is>
      </c>
      <c r="H411" t="inlineStr">
        <is>
          <t>parvifolia</t>
        </is>
      </c>
      <c r="I411" s="2" t="n">
        <v>38872</v>
      </c>
      <c r="J411" t="inlineStr">
        <is>
          <t>3749</t>
        </is>
      </c>
      <c r="K411" t="inlineStr"/>
      <c r="L411" t="inlineStr"/>
      <c r="M411" t="inlineStr"/>
      <c r="N411" t="inlineStr"/>
    </row>
    <row r="412">
      <c r="A412" s="1" t="n">
        <v>410</v>
      </c>
      <c r="B412" t="n">
        <v>49</v>
      </c>
      <c r="C412" t="inlineStr">
        <is>
          <t>Galeras</t>
        </is>
      </c>
      <c r="D412" t="inlineStr">
        <is>
          <t>GAL_49</t>
        </is>
      </c>
      <c r="E412" t="n">
        <v>1440</v>
      </c>
      <c r="F412" t="inlineStr">
        <is>
          <t>Cecropiaceae</t>
        </is>
      </c>
      <c r="G412" t="inlineStr">
        <is>
          <t>Cecropia</t>
        </is>
      </c>
      <c r="H412" t="inlineStr">
        <is>
          <t>sciadophylla</t>
        </is>
      </c>
      <c r="I412" s="2" t="n">
        <v>38872</v>
      </c>
      <c r="J412" t="inlineStr"/>
      <c r="K412" t="inlineStr"/>
      <c r="L412" t="inlineStr"/>
      <c r="M412" t="inlineStr"/>
      <c r="N412" t="inlineStr"/>
    </row>
    <row r="413">
      <c r="A413" s="1" t="n">
        <v>411</v>
      </c>
      <c r="B413" t="n">
        <v>49</v>
      </c>
      <c r="C413" t="inlineStr">
        <is>
          <t>Galeras</t>
        </is>
      </c>
      <c r="D413" t="inlineStr">
        <is>
          <t>GAL_49</t>
        </is>
      </c>
      <c r="E413" t="n">
        <v>1441</v>
      </c>
      <c r="F413" t="inlineStr">
        <is>
          <t>Moraceae</t>
        </is>
      </c>
      <c r="G413" t="inlineStr">
        <is>
          <t>Clarisia</t>
        </is>
      </c>
      <c r="H413" t="inlineStr">
        <is>
          <t>racemosa</t>
        </is>
      </c>
      <c r="I413" s="2" t="n">
        <v>38872</v>
      </c>
      <c r="J413" t="inlineStr">
        <is>
          <t>2492</t>
        </is>
      </c>
      <c r="K413" t="inlineStr"/>
      <c r="L413" t="inlineStr"/>
      <c r="M413" t="inlineStr"/>
      <c r="N413" t="inlineStr"/>
    </row>
    <row r="414">
      <c r="A414" s="1" t="n">
        <v>412</v>
      </c>
      <c r="B414" t="n">
        <v>49</v>
      </c>
      <c r="C414" t="inlineStr">
        <is>
          <t>Galeras</t>
        </is>
      </c>
      <c r="D414" t="inlineStr">
        <is>
          <t>GAL_49</t>
        </is>
      </c>
      <c r="E414" t="n">
        <v>1442</v>
      </c>
      <c r="F414" t="inlineStr">
        <is>
          <t>Meliaceae</t>
        </is>
      </c>
      <c r="G414" t="inlineStr">
        <is>
          <t>Guarea</t>
        </is>
      </c>
      <c r="H414" t="inlineStr">
        <is>
          <t>pterorhachis</t>
        </is>
      </c>
      <c r="I414" s="2" t="n">
        <v>38872</v>
      </c>
      <c r="J414" t="inlineStr"/>
      <c r="K414" t="inlineStr"/>
      <c r="L414" t="inlineStr"/>
      <c r="M414" t="inlineStr"/>
      <c r="N414" t="inlineStr"/>
    </row>
    <row r="415">
      <c r="A415" s="1" t="n">
        <v>413</v>
      </c>
      <c r="B415" t="n">
        <v>49</v>
      </c>
      <c r="C415" t="inlineStr">
        <is>
          <t>Galeras</t>
        </is>
      </c>
      <c r="D415" t="inlineStr">
        <is>
          <t>GAL_49</t>
        </is>
      </c>
      <c r="E415" t="n">
        <v>1443</v>
      </c>
      <c r="F415" t="inlineStr">
        <is>
          <t>Meliaceae</t>
        </is>
      </c>
      <c r="G415" t="inlineStr">
        <is>
          <t>Guarea</t>
        </is>
      </c>
      <c r="H415" t="inlineStr">
        <is>
          <t>pterorhachis</t>
        </is>
      </c>
      <c r="I415" s="2" t="n">
        <v>38872</v>
      </c>
      <c r="J415" t="inlineStr"/>
      <c r="K415" t="inlineStr"/>
      <c r="L415" t="inlineStr"/>
      <c r="M415" t="inlineStr"/>
      <c r="N415" t="inlineStr"/>
    </row>
    <row r="416">
      <c r="A416" s="1" t="n">
        <v>414</v>
      </c>
      <c r="B416" t="n">
        <v>49</v>
      </c>
      <c r="C416" t="inlineStr">
        <is>
          <t>Galeras</t>
        </is>
      </c>
      <c r="D416" t="inlineStr">
        <is>
          <t>GAL_49</t>
        </is>
      </c>
      <c r="E416" t="n">
        <v>1444</v>
      </c>
      <c r="F416" t="inlineStr">
        <is>
          <t>Meliaceae</t>
        </is>
      </c>
      <c r="G416" t="inlineStr">
        <is>
          <t>Guarea</t>
        </is>
      </c>
      <c r="H416" t="inlineStr">
        <is>
          <t>kunthiana</t>
        </is>
      </c>
      <c r="I416" s="2" t="n">
        <v>38872</v>
      </c>
      <c r="J416" t="inlineStr"/>
      <c r="K416" t="inlineStr"/>
      <c r="L416" t="inlineStr"/>
      <c r="M416" t="inlineStr"/>
      <c r="N416" t="inlineStr"/>
    </row>
    <row r="417">
      <c r="A417" s="1" t="n">
        <v>415</v>
      </c>
      <c r="B417" t="n">
        <v>49</v>
      </c>
      <c r="C417" t="inlineStr">
        <is>
          <t>Galeras</t>
        </is>
      </c>
      <c r="D417" t="inlineStr">
        <is>
          <t>GAL_49</t>
        </is>
      </c>
      <c r="E417" t="n">
        <v>1445</v>
      </c>
      <c r="F417" t="inlineStr">
        <is>
          <t>Violaceae</t>
        </is>
      </c>
      <c r="G417" t="inlineStr">
        <is>
          <t>Leonia</t>
        </is>
      </c>
      <c r="H417" t="inlineStr">
        <is>
          <t>glycycarpa</t>
        </is>
      </c>
      <c r="I417" s="2" t="n">
        <v>38872</v>
      </c>
      <c r="J417">
        <f>3762</f>
        <v/>
      </c>
      <c r="K417" t="inlineStr"/>
      <c r="L417" t="inlineStr"/>
      <c r="M417" t="inlineStr"/>
      <c r="N417" t="inlineStr"/>
    </row>
    <row r="418">
      <c r="A418" s="1" t="n">
        <v>416</v>
      </c>
      <c r="B418" t="n">
        <v>49</v>
      </c>
      <c r="C418" t="inlineStr">
        <is>
          <t>Galeras</t>
        </is>
      </c>
      <c r="D418" t="inlineStr">
        <is>
          <t>GAL_49</t>
        </is>
      </c>
      <c r="E418" t="n">
        <v>1446</v>
      </c>
      <c r="F418" t="inlineStr">
        <is>
          <t>Meliaceae</t>
        </is>
      </c>
      <c r="G418" t="inlineStr">
        <is>
          <t>Guarea</t>
        </is>
      </c>
      <c r="H418" t="inlineStr">
        <is>
          <t>pterorhachis</t>
        </is>
      </c>
      <c r="I418" s="2" t="n">
        <v>38872</v>
      </c>
      <c r="J418" t="inlineStr"/>
      <c r="K418" t="inlineStr"/>
      <c r="L418" t="inlineStr"/>
      <c r="M418" t="inlineStr"/>
      <c r="N418" t="inlineStr"/>
    </row>
    <row r="419">
      <c r="A419" s="1" t="n">
        <v>417</v>
      </c>
      <c r="B419" t="n">
        <v>49</v>
      </c>
      <c r="C419" t="inlineStr">
        <is>
          <t>Galeras</t>
        </is>
      </c>
      <c r="D419" t="inlineStr">
        <is>
          <t>GAL_49</t>
        </is>
      </c>
      <c r="E419" t="n">
        <v>1447</v>
      </c>
      <c r="F419" t="inlineStr">
        <is>
          <t>Fabaceae</t>
        </is>
      </c>
      <c r="G419" t="inlineStr">
        <is>
          <t>Inga</t>
        </is>
      </c>
      <c r="H419" t="inlineStr">
        <is>
          <t>aff. acrocephala</t>
        </is>
      </c>
      <c r="I419" s="2" t="n">
        <v>38872</v>
      </c>
      <c r="J419" t="inlineStr">
        <is>
          <t>3777</t>
        </is>
      </c>
      <c r="K419" t="inlineStr"/>
      <c r="L419" t="inlineStr"/>
      <c r="M419" t="inlineStr"/>
      <c r="N419" t="inlineStr"/>
    </row>
    <row r="420">
      <c r="A420" s="1" t="n">
        <v>418</v>
      </c>
      <c r="B420" t="n">
        <v>49</v>
      </c>
      <c r="C420" t="inlineStr">
        <is>
          <t>Galeras</t>
        </is>
      </c>
      <c r="D420" t="inlineStr">
        <is>
          <t>GAL_49</t>
        </is>
      </c>
      <c r="E420" t="n">
        <v>1448</v>
      </c>
      <c r="F420" t="inlineStr">
        <is>
          <t>Moraceae</t>
        </is>
      </c>
      <c r="G420" t="inlineStr"/>
      <c r="H420" t="inlineStr"/>
      <c r="I420" s="2" t="n">
        <v>38872</v>
      </c>
      <c r="J420" t="inlineStr">
        <is>
          <t>3747</t>
        </is>
      </c>
      <c r="K420" t="inlineStr"/>
      <c r="L420" t="inlineStr"/>
      <c r="M420" t="inlineStr"/>
      <c r="N420" t="inlineStr"/>
    </row>
    <row r="421">
      <c r="A421" s="1" t="n">
        <v>419</v>
      </c>
      <c r="B421" t="n">
        <v>49</v>
      </c>
      <c r="C421" t="inlineStr">
        <is>
          <t>Galeras</t>
        </is>
      </c>
      <c r="D421" t="inlineStr">
        <is>
          <t>GAL_49</t>
        </is>
      </c>
      <c r="E421" t="n">
        <v>1449</v>
      </c>
      <c r="F421" t="inlineStr">
        <is>
          <t>Arecaceae</t>
        </is>
      </c>
      <c r="G421" t="inlineStr">
        <is>
          <t>Iriartea</t>
        </is>
      </c>
      <c r="H421" t="inlineStr">
        <is>
          <t>deltoidea</t>
        </is>
      </c>
      <c r="I421" s="2" t="n">
        <v>38872</v>
      </c>
      <c r="J421" t="inlineStr"/>
      <c r="K421" t="inlineStr"/>
      <c r="L421" t="inlineStr"/>
      <c r="M421" t="inlineStr"/>
      <c r="N421" t="inlineStr"/>
    </row>
    <row r="422">
      <c r="A422" s="1" t="n">
        <v>420</v>
      </c>
      <c r="B422" t="n">
        <v>49</v>
      </c>
      <c r="C422" t="inlineStr">
        <is>
          <t>Galeras</t>
        </is>
      </c>
      <c r="D422" t="inlineStr">
        <is>
          <t>GAL_49</t>
        </is>
      </c>
      <c r="E422" t="n">
        <v>1450</v>
      </c>
      <c r="F422" t="inlineStr">
        <is>
          <t>Arecaceae</t>
        </is>
      </c>
      <c r="G422" t="inlineStr">
        <is>
          <t>Iriartea</t>
        </is>
      </c>
      <c r="H422" t="inlineStr">
        <is>
          <t>deltoidea</t>
        </is>
      </c>
      <c r="I422" s="2" t="n">
        <v>38872</v>
      </c>
      <c r="J422" t="inlineStr"/>
      <c r="K422" t="inlineStr"/>
      <c r="L422" t="inlineStr"/>
      <c r="M422" t="inlineStr"/>
      <c r="N422" t="inlineStr"/>
    </row>
    <row r="423">
      <c r="A423" s="1" t="n">
        <v>421</v>
      </c>
      <c r="B423" t="n">
        <v>49</v>
      </c>
      <c r="C423" t="inlineStr">
        <is>
          <t>Galeras</t>
        </is>
      </c>
      <c r="D423" t="inlineStr">
        <is>
          <t>GAL_49</t>
        </is>
      </c>
      <c r="E423" t="n">
        <v>1451</v>
      </c>
      <c r="F423" t="inlineStr">
        <is>
          <t>Sterculiaceae</t>
        </is>
      </c>
      <c r="G423" t="inlineStr">
        <is>
          <t>Sterculia</t>
        </is>
      </c>
      <c r="H423" t="inlineStr">
        <is>
          <t>colombiana</t>
        </is>
      </c>
      <c r="I423" s="2" t="n">
        <v>38872</v>
      </c>
      <c r="J423" t="inlineStr">
        <is>
          <t>3751</t>
        </is>
      </c>
      <c r="K423" t="inlineStr"/>
      <c r="L423" t="inlineStr"/>
      <c r="M423" t="inlineStr"/>
      <c r="N423" t="inlineStr"/>
    </row>
    <row r="424">
      <c r="A424" s="1" t="n">
        <v>422</v>
      </c>
      <c r="B424" t="n">
        <v>50</v>
      </c>
      <c r="C424" t="inlineStr">
        <is>
          <t>Galeras</t>
        </is>
      </c>
      <c r="D424" t="inlineStr">
        <is>
          <t>GAL_50</t>
        </is>
      </c>
      <c r="E424" t="n">
        <v>1472</v>
      </c>
      <c r="F424" t="inlineStr">
        <is>
          <t>Fabaceae</t>
        </is>
      </c>
      <c r="G424" t="inlineStr">
        <is>
          <t>Diplotropis</t>
        </is>
      </c>
      <c r="H424" t="inlineStr">
        <is>
          <t>aff purpurea</t>
        </is>
      </c>
      <c r="I424" s="2" t="n">
        <v>38873</v>
      </c>
      <c r="J424" t="inlineStr">
        <is>
          <t>3626,=3584</t>
        </is>
      </c>
      <c r="K424" t="inlineStr"/>
      <c r="L424" t="inlineStr"/>
      <c r="M424" t="inlineStr"/>
      <c r="N424" t="n">
        <v>8779</v>
      </c>
    </row>
    <row r="425">
      <c r="A425" s="1" t="n">
        <v>423</v>
      </c>
      <c r="B425" t="n">
        <v>50</v>
      </c>
      <c r="C425" t="inlineStr">
        <is>
          <t>Galeras</t>
        </is>
      </c>
      <c r="D425" t="inlineStr">
        <is>
          <t>GAL_50</t>
        </is>
      </c>
      <c r="E425" t="n">
        <v>1481</v>
      </c>
      <c r="F425" t="inlineStr">
        <is>
          <t>Apocynaceae</t>
        </is>
      </c>
      <c r="G425" t="inlineStr">
        <is>
          <t>Apo28</t>
        </is>
      </c>
      <c r="H425" t="inlineStr"/>
      <c r="I425" s="2" t="n">
        <v>38873</v>
      </c>
      <c r="J425">
        <f>3568</f>
        <v/>
      </c>
      <c r="K425" t="inlineStr"/>
      <c r="L425" t="inlineStr"/>
      <c r="M425" t="inlineStr"/>
      <c r="N425" t="n">
        <v>8625</v>
      </c>
    </row>
    <row r="426">
      <c r="A426" s="1" t="n">
        <v>424</v>
      </c>
      <c r="B426" t="n">
        <v>50</v>
      </c>
      <c r="C426" t="inlineStr">
        <is>
          <t>Galeras</t>
        </is>
      </c>
      <c r="D426" t="inlineStr">
        <is>
          <t>GAL_50</t>
        </is>
      </c>
      <c r="E426" t="n">
        <v>1484</v>
      </c>
      <c r="F426" t="inlineStr">
        <is>
          <t>Sapotaceae</t>
        </is>
      </c>
      <c r="G426" t="inlineStr">
        <is>
          <t>Sapo28</t>
        </is>
      </c>
      <c r="H426" t="inlineStr"/>
      <c r="I426" s="2" t="n">
        <v>38873</v>
      </c>
      <c r="J426">
        <f>3600</f>
        <v/>
      </c>
      <c r="K426" t="inlineStr"/>
      <c r="L426" t="inlineStr">
        <is>
          <t>Ο</t>
        </is>
      </c>
      <c r="M426" t="inlineStr">
        <is>
          <t>Ø</t>
        </is>
      </c>
      <c r="N426" t="n">
        <v>8618</v>
      </c>
    </row>
    <row r="427">
      <c r="A427" s="1" t="n">
        <v>425</v>
      </c>
      <c r="B427" t="n">
        <v>50</v>
      </c>
      <c r="C427" t="inlineStr">
        <is>
          <t>Galeras</t>
        </is>
      </c>
      <c r="D427" t="inlineStr">
        <is>
          <t>GAL_50</t>
        </is>
      </c>
      <c r="E427" t="n">
        <v>1452</v>
      </c>
      <c r="F427" t="inlineStr">
        <is>
          <t>Myrtaceae</t>
        </is>
      </c>
      <c r="G427" t="inlineStr">
        <is>
          <t>Siphoneugena</t>
        </is>
      </c>
      <c r="H427" t="inlineStr">
        <is>
          <t>densiflora</t>
        </is>
      </c>
      <c r="I427" s="2" t="n">
        <v>38873</v>
      </c>
      <c r="J427">
        <f>3622</f>
        <v/>
      </c>
      <c r="K427" t="inlineStr"/>
      <c r="L427" t="inlineStr"/>
      <c r="M427" t="inlineStr"/>
      <c r="N427" t="n">
        <v>8602</v>
      </c>
    </row>
    <row r="428">
      <c r="A428" s="1" t="n">
        <v>426</v>
      </c>
      <c r="B428" t="n">
        <v>50</v>
      </c>
      <c r="C428" t="inlineStr">
        <is>
          <t>Galeras</t>
        </is>
      </c>
      <c r="D428" t="inlineStr">
        <is>
          <t>GAL_50</t>
        </is>
      </c>
      <c r="E428" t="n">
        <v>1453</v>
      </c>
      <c r="F428" t="inlineStr">
        <is>
          <t>Euphorbiaceae</t>
        </is>
      </c>
      <c r="G428" t="inlineStr">
        <is>
          <t>Chaetocarpus</t>
        </is>
      </c>
      <c r="H428" t="inlineStr"/>
      <c r="I428" s="2" t="n">
        <v>38873</v>
      </c>
      <c r="J428">
        <f>3610</f>
        <v/>
      </c>
      <c r="K428" t="inlineStr"/>
      <c r="L428" t="inlineStr"/>
      <c r="M428" t="inlineStr"/>
      <c r="N428" t="n">
        <v>8793</v>
      </c>
    </row>
    <row r="429">
      <c r="A429" s="1" t="n">
        <v>427</v>
      </c>
      <c r="B429" t="n">
        <v>50</v>
      </c>
      <c r="C429" t="inlineStr">
        <is>
          <t>Galeras</t>
        </is>
      </c>
      <c r="D429" t="inlineStr">
        <is>
          <t>GAL_50</t>
        </is>
      </c>
      <c r="E429" t="n">
        <v>1454</v>
      </c>
      <c r="F429" t="inlineStr">
        <is>
          <t>Moraceae</t>
        </is>
      </c>
      <c r="G429" t="inlineStr">
        <is>
          <t>Helicostylis</t>
        </is>
      </c>
      <c r="H429" t="inlineStr">
        <is>
          <t>tovarensis</t>
        </is>
      </c>
      <c r="I429" s="2" t="n">
        <v>38873</v>
      </c>
      <c r="J429" t="inlineStr"/>
      <c r="K429" t="inlineStr"/>
      <c r="L429" t="inlineStr"/>
      <c r="M429" t="inlineStr"/>
      <c r="N429" t="n">
        <v>8791</v>
      </c>
    </row>
    <row r="430">
      <c r="A430" s="1" t="n">
        <v>428</v>
      </c>
      <c r="B430" t="n">
        <v>50</v>
      </c>
      <c r="C430" t="inlineStr">
        <is>
          <t>Galeras</t>
        </is>
      </c>
      <c r="D430" t="inlineStr">
        <is>
          <t>GAL_50</t>
        </is>
      </c>
      <c r="E430" t="n">
        <v>1455</v>
      </c>
      <c r="F430" t="inlineStr">
        <is>
          <t>Lauraceae</t>
        </is>
      </c>
      <c r="G430" t="inlineStr">
        <is>
          <t>Ocotea</t>
        </is>
      </c>
      <c r="H430" t="inlineStr">
        <is>
          <t>cf. longifolia</t>
        </is>
      </c>
      <c r="I430" s="2" t="n">
        <v>38873</v>
      </c>
      <c r="J430">
        <f>3620</f>
        <v/>
      </c>
      <c r="K430" t="inlineStr"/>
      <c r="L430" t="inlineStr"/>
      <c r="M430" t="inlineStr"/>
      <c r="N430" t="inlineStr"/>
    </row>
    <row r="431">
      <c r="A431" s="1" t="n">
        <v>429</v>
      </c>
      <c r="B431" t="n">
        <v>50</v>
      </c>
      <c r="C431" t="inlineStr">
        <is>
          <t>Galeras</t>
        </is>
      </c>
      <c r="D431" t="inlineStr">
        <is>
          <t>GAL_50</t>
        </is>
      </c>
      <c r="E431" t="n">
        <v>1456</v>
      </c>
      <c r="F431" t="inlineStr">
        <is>
          <t>Symplocaceae</t>
        </is>
      </c>
      <c r="G431" t="inlineStr">
        <is>
          <t>Symplocos</t>
        </is>
      </c>
      <c r="H431" t="inlineStr">
        <is>
          <t>cf spruceana</t>
        </is>
      </c>
      <c r="I431" s="2" t="n">
        <v>38873</v>
      </c>
      <c r="J431">
        <f>3612</f>
        <v/>
      </c>
      <c r="K431" t="inlineStr"/>
      <c r="L431" t="inlineStr">
        <is>
          <t>Ο</t>
        </is>
      </c>
      <c r="M431" t="inlineStr">
        <is>
          <t>Ø</t>
        </is>
      </c>
      <c r="N431" t="n">
        <v>8788</v>
      </c>
    </row>
    <row r="432">
      <c r="A432" s="1" t="n">
        <v>430</v>
      </c>
      <c r="B432" t="n">
        <v>50</v>
      </c>
      <c r="C432" t="inlineStr">
        <is>
          <t>Galeras</t>
        </is>
      </c>
      <c r="D432" t="inlineStr">
        <is>
          <t>GAL_50</t>
        </is>
      </c>
      <c r="E432" t="n">
        <v>1457</v>
      </c>
      <c r="F432" t="inlineStr">
        <is>
          <t>Clusiaceae</t>
        </is>
      </c>
      <c r="G432" t="inlineStr">
        <is>
          <t>Tovomita</t>
        </is>
      </c>
      <c r="H432" t="inlineStr">
        <is>
          <t>weddeliana</t>
        </is>
      </c>
      <c r="I432" s="2" t="n">
        <v>38873</v>
      </c>
      <c r="J432" t="inlineStr"/>
      <c r="K432" t="inlineStr"/>
      <c r="L432" t="inlineStr"/>
      <c r="M432" t="inlineStr"/>
      <c r="N432" t="n">
        <v>8783</v>
      </c>
    </row>
    <row r="433">
      <c r="A433" s="1" t="n">
        <v>431</v>
      </c>
      <c r="B433" t="n">
        <v>50</v>
      </c>
      <c r="C433" t="inlineStr">
        <is>
          <t>Galeras</t>
        </is>
      </c>
      <c r="D433" t="inlineStr">
        <is>
          <t>GAL_50</t>
        </is>
      </c>
      <c r="E433" t="n">
        <v>1458</v>
      </c>
      <c r="F433" t="inlineStr">
        <is>
          <t>Elaeocarpaceae</t>
        </is>
      </c>
      <c r="G433" t="inlineStr">
        <is>
          <t>Sloanea</t>
        </is>
      </c>
      <c r="H433" t="inlineStr"/>
      <c r="I433" s="2" t="n">
        <v>38873</v>
      </c>
      <c r="J433">
        <f>3600</f>
        <v/>
      </c>
      <c r="K433" t="inlineStr"/>
      <c r="L433" t="inlineStr">
        <is>
          <t>Ο</t>
        </is>
      </c>
      <c r="M433" t="inlineStr">
        <is>
          <t>Ø</t>
        </is>
      </c>
      <c r="N433" t="n">
        <v>8794</v>
      </c>
    </row>
    <row r="434">
      <c r="A434" s="1" t="n">
        <v>432</v>
      </c>
      <c r="B434" t="n">
        <v>50</v>
      </c>
      <c r="C434" t="inlineStr">
        <is>
          <t>Galeras</t>
        </is>
      </c>
      <c r="D434" t="inlineStr">
        <is>
          <t>GAL_50</t>
        </is>
      </c>
      <c r="E434" t="n">
        <v>1459</v>
      </c>
      <c r="F434" t="inlineStr">
        <is>
          <t>Melastomataceae</t>
        </is>
      </c>
      <c r="G434" t="inlineStr">
        <is>
          <t>Ossaea</t>
        </is>
      </c>
      <c r="H434" t="inlineStr">
        <is>
          <t>laxivenula</t>
        </is>
      </c>
      <c r="I434" s="2" t="n">
        <v>38873</v>
      </c>
      <c r="J434" t="inlineStr">
        <is>
          <t>3624</t>
        </is>
      </c>
      <c r="K434" t="inlineStr"/>
      <c r="L434" t="inlineStr">
        <is>
          <t>Ο</t>
        </is>
      </c>
      <c r="M434" t="inlineStr">
        <is>
          <t>Ø</t>
        </is>
      </c>
      <c r="N434" t="n">
        <v>8786</v>
      </c>
    </row>
    <row r="435">
      <c r="A435" s="1" t="n">
        <v>433</v>
      </c>
      <c r="B435" t="n">
        <v>50</v>
      </c>
      <c r="C435" t="inlineStr">
        <is>
          <t>Galeras</t>
        </is>
      </c>
      <c r="D435" t="inlineStr">
        <is>
          <t>GAL_50</t>
        </is>
      </c>
      <c r="E435" t="n">
        <v>1460</v>
      </c>
      <c r="F435" t="inlineStr">
        <is>
          <t>Lauraceae</t>
        </is>
      </c>
      <c r="G435" t="inlineStr">
        <is>
          <t>Ocotea</t>
        </is>
      </c>
      <c r="H435" t="inlineStr"/>
      <c r="I435" s="2" t="n">
        <v>38873</v>
      </c>
      <c r="J435" t="inlineStr">
        <is>
          <t>3631</t>
        </is>
      </c>
      <c r="K435" t="inlineStr"/>
      <c r="L435" t="inlineStr"/>
      <c r="M435" t="inlineStr"/>
      <c r="N435" t="inlineStr"/>
    </row>
    <row r="436">
      <c r="A436" s="1" t="n">
        <v>434</v>
      </c>
      <c r="B436" t="n">
        <v>50</v>
      </c>
      <c r="C436" t="inlineStr">
        <is>
          <t>Galeras</t>
        </is>
      </c>
      <c r="D436" t="inlineStr">
        <is>
          <t>GAL_50</t>
        </is>
      </c>
      <c r="E436" t="n">
        <v>1461</v>
      </c>
      <c r="F436" t="inlineStr">
        <is>
          <t>Chrysobalanaceae</t>
        </is>
      </c>
      <c r="G436" t="inlineStr">
        <is>
          <t>Licania</t>
        </is>
      </c>
      <c r="H436" t="inlineStr">
        <is>
          <t>micrantha</t>
        </is>
      </c>
      <c r="I436" s="2" t="n">
        <v>38873</v>
      </c>
      <c r="J436" t="inlineStr">
        <is>
          <t>3627</t>
        </is>
      </c>
      <c r="K436" t="inlineStr"/>
      <c r="L436" t="inlineStr">
        <is>
          <t>Ο</t>
        </is>
      </c>
      <c r="M436" t="inlineStr">
        <is>
          <t>Ø</t>
        </is>
      </c>
      <c r="N436" t="n">
        <v>8796</v>
      </c>
    </row>
    <row r="437">
      <c r="A437" s="1" t="n">
        <v>435</v>
      </c>
      <c r="B437" t="n">
        <v>50</v>
      </c>
      <c r="C437" t="inlineStr">
        <is>
          <t>Galeras</t>
        </is>
      </c>
      <c r="D437" t="inlineStr">
        <is>
          <t>GAL_50</t>
        </is>
      </c>
      <c r="E437" t="n">
        <v>1462</v>
      </c>
      <c r="F437" t="inlineStr">
        <is>
          <t>Lauraceae</t>
        </is>
      </c>
      <c r="G437" t="inlineStr">
        <is>
          <t>Ocotea</t>
        </is>
      </c>
      <c r="H437" t="inlineStr"/>
      <c r="I437" s="2" t="n">
        <v>38873</v>
      </c>
      <c r="J437" t="inlineStr">
        <is>
          <t>3630</t>
        </is>
      </c>
      <c r="K437" t="inlineStr"/>
      <c r="L437" t="inlineStr"/>
      <c r="M437" t="inlineStr"/>
      <c r="N437" t="inlineStr"/>
    </row>
    <row r="438">
      <c r="A438" s="1" t="n">
        <v>436</v>
      </c>
      <c r="B438" t="n">
        <v>50</v>
      </c>
      <c r="C438" t="inlineStr">
        <is>
          <t>Galeras</t>
        </is>
      </c>
      <c r="D438" t="inlineStr">
        <is>
          <t>GAL_50</t>
        </is>
      </c>
      <c r="E438" t="n">
        <v>1463</v>
      </c>
      <c r="F438" t="inlineStr">
        <is>
          <t>Phyllanthaceae</t>
        </is>
      </c>
      <c r="G438" t="inlineStr">
        <is>
          <t>Hieronyma</t>
        </is>
      </c>
      <c r="H438" t="inlineStr">
        <is>
          <t>oblonga</t>
        </is>
      </c>
      <c r="I438" s="2" t="n">
        <v>38873</v>
      </c>
      <c r="J438" t="inlineStr"/>
      <c r="K438" t="inlineStr"/>
      <c r="L438" t="inlineStr"/>
      <c r="M438" t="inlineStr"/>
      <c r="N438" t="inlineStr"/>
    </row>
    <row r="439">
      <c r="A439" s="1" t="n">
        <v>437</v>
      </c>
      <c r="B439" t="n">
        <v>50</v>
      </c>
      <c r="C439" t="inlineStr">
        <is>
          <t>Galeras</t>
        </is>
      </c>
      <c r="D439" t="inlineStr">
        <is>
          <t>GAL_50</t>
        </is>
      </c>
      <c r="E439" t="n">
        <v>1464</v>
      </c>
      <c r="F439" t="inlineStr">
        <is>
          <t>Euphorbiaceae</t>
        </is>
      </c>
      <c r="G439" t="inlineStr">
        <is>
          <t>Alchornea</t>
        </is>
      </c>
      <c r="H439" t="inlineStr">
        <is>
          <t>triplinervia</t>
        </is>
      </c>
      <c r="I439" s="2" t="n">
        <v>38873</v>
      </c>
      <c r="J439" t="inlineStr">
        <is>
          <t>3625</t>
        </is>
      </c>
      <c r="K439" t="inlineStr"/>
      <c r="L439" t="inlineStr">
        <is>
          <t>Ο</t>
        </is>
      </c>
      <c r="M439" t="inlineStr">
        <is>
          <t>Ø</t>
        </is>
      </c>
      <c r="N439" t="n">
        <v>8800</v>
      </c>
    </row>
    <row r="440">
      <c r="A440" s="1" t="n">
        <v>438</v>
      </c>
      <c r="B440" t="n">
        <v>50</v>
      </c>
      <c r="C440" t="inlineStr">
        <is>
          <t>Galeras</t>
        </is>
      </c>
      <c r="D440" t="inlineStr">
        <is>
          <t>GAL_50</t>
        </is>
      </c>
      <c r="E440" t="n">
        <v>1465</v>
      </c>
      <c r="F440" t="inlineStr">
        <is>
          <t>Lauraceae</t>
        </is>
      </c>
      <c r="G440" t="inlineStr">
        <is>
          <t>Persea</t>
        </is>
      </c>
      <c r="H440" t="inlineStr">
        <is>
          <t>aff. pseudofasciculata</t>
        </is>
      </c>
      <c r="I440" s="2" t="n">
        <v>38873</v>
      </c>
      <c r="J440" t="inlineStr">
        <is>
          <t>3621</t>
        </is>
      </c>
      <c r="K440" t="inlineStr"/>
      <c r="L440" t="inlineStr">
        <is>
          <t>Ο</t>
        </is>
      </c>
      <c r="M440" t="inlineStr">
        <is>
          <t>Ø</t>
        </is>
      </c>
      <c r="N440" t="n">
        <v>8778</v>
      </c>
    </row>
    <row r="441">
      <c r="A441" s="1" t="n">
        <v>439</v>
      </c>
      <c r="B441" t="n">
        <v>50</v>
      </c>
      <c r="C441" t="inlineStr">
        <is>
          <t>Galeras</t>
        </is>
      </c>
      <c r="D441" t="inlineStr">
        <is>
          <t>GAL_50</t>
        </is>
      </c>
      <c r="E441" t="n">
        <v>1466</v>
      </c>
      <c r="F441" t="inlineStr">
        <is>
          <t>Fabaceae</t>
        </is>
      </c>
      <c r="G441" t="inlineStr">
        <is>
          <t>Diplotropis</t>
        </is>
      </c>
      <c r="H441" t="inlineStr">
        <is>
          <t>aff purpurea</t>
        </is>
      </c>
      <c r="I441" s="2" t="n">
        <v>38873</v>
      </c>
      <c r="J441" t="inlineStr"/>
      <c r="K441" t="inlineStr"/>
      <c r="L441" t="inlineStr"/>
      <c r="M441" t="inlineStr"/>
      <c r="N441" t="inlineStr"/>
    </row>
    <row r="442">
      <c r="A442" s="1" t="n">
        <v>440</v>
      </c>
      <c r="B442" t="n">
        <v>50</v>
      </c>
      <c r="C442" t="inlineStr">
        <is>
          <t>Galeras</t>
        </is>
      </c>
      <c r="D442" t="inlineStr">
        <is>
          <t>GAL_50</t>
        </is>
      </c>
      <c r="E442" t="n">
        <v>1467</v>
      </c>
      <c r="F442" t="inlineStr">
        <is>
          <t>Symplocaceae</t>
        </is>
      </c>
      <c r="G442" t="inlineStr">
        <is>
          <t>Symplocos</t>
        </is>
      </c>
      <c r="H442" t="inlineStr">
        <is>
          <t>cf spruceana</t>
        </is>
      </c>
      <c r="I442" s="2" t="n">
        <v>38873</v>
      </c>
      <c r="J442" t="inlineStr"/>
      <c r="K442" t="inlineStr"/>
      <c r="L442" t="inlineStr"/>
      <c r="M442" t="inlineStr"/>
      <c r="N442" t="n">
        <v>8781</v>
      </c>
    </row>
    <row r="443">
      <c r="A443" s="1" t="n">
        <v>441</v>
      </c>
      <c r="B443" t="n">
        <v>50</v>
      </c>
      <c r="C443" t="inlineStr">
        <is>
          <t>Galeras</t>
        </is>
      </c>
      <c r="D443" t="inlineStr">
        <is>
          <t>GAL_50</t>
        </is>
      </c>
      <c r="E443" t="n">
        <v>1468</v>
      </c>
      <c r="F443" t="inlineStr">
        <is>
          <t>Euphorbiaceae</t>
        </is>
      </c>
      <c r="G443" t="inlineStr">
        <is>
          <t>Chaetocarpus</t>
        </is>
      </c>
      <c r="H443" t="inlineStr"/>
      <c r="I443" s="2" t="n">
        <v>38873</v>
      </c>
      <c r="J443" t="inlineStr"/>
      <c r="K443" t="inlineStr"/>
      <c r="L443" t="inlineStr"/>
      <c r="M443" t="inlineStr"/>
      <c r="N443" t="inlineStr"/>
    </row>
    <row r="444">
      <c r="A444" s="1" t="n">
        <v>442</v>
      </c>
      <c r="B444" t="n">
        <v>50</v>
      </c>
      <c r="C444" t="inlineStr">
        <is>
          <t>Galeras</t>
        </is>
      </c>
      <c r="D444" t="inlineStr">
        <is>
          <t>GAL_50</t>
        </is>
      </c>
      <c r="E444" t="n">
        <v>1469</v>
      </c>
      <c r="F444" t="inlineStr">
        <is>
          <t>Euphorbiaceae</t>
        </is>
      </c>
      <c r="G444" t="inlineStr">
        <is>
          <t>Alchornea</t>
        </is>
      </c>
      <c r="H444" t="inlineStr"/>
      <c r="I444" s="2" t="n">
        <v>38873</v>
      </c>
      <c r="J444" t="inlineStr"/>
      <c r="K444" t="inlineStr"/>
      <c r="L444" t="inlineStr"/>
      <c r="M444" t="inlineStr"/>
      <c r="N444" t="n">
        <v>8799</v>
      </c>
    </row>
    <row r="445">
      <c r="A445" s="1" t="n">
        <v>443</v>
      </c>
      <c r="B445" t="n">
        <v>50</v>
      </c>
      <c r="C445" t="inlineStr">
        <is>
          <t>Galeras</t>
        </is>
      </c>
      <c r="D445" t="inlineStr">
        <is>
          <t>GAL_50</t>
        </is>
      </c>
      <c r="E445" t="n">
        <v>1470</v>
      </c>
      <c r="F445" t="inlineStr">
        <is>
          <t>Styracaceae</t>
        </is>
      </c>
      <c r="G445" t="inlineStr">
        <is>
          <t>Styrax</t>
        </is>
      </c>
      <c r="H445" t="inlineStr">
        <is>
          <t>cordatus</t>
        </is>
      </c>
      <c r="I445" s="2" t="n">
        <v>38873</v>
      </c>
      <c r="J445" t="inlineStr">
        <is>
          <t>3617</t>
        </is>
      </c>
      <c r="K445" t="inlineStr"/>
      <c r="L445" t="inlineStr">
        <is>
          <t>Ο</t>
        </is>
      </c>
      <c r="M445" t="inlineStr">
        <is>
          <t>Ø</t>
        </is>
      </c>
      <c r="N445" t="n">
        <v>8780</v>
      </c>
    </row>
    <row r="446">
      <c r="A446" s="1" t="n">
        <v>444</v>
      </c>
      <c r="B446" t="n">
        <v>50</v>
      </c>
      <c r="C446" t="inlineStr">
        <is>
          <t>Galeras</t>
        </is>
      </c>
      <c r="D446" t="inlineStr">
        <is>
          <t>GAL_50</t>
        </is>
      </c>
      <c r="E446" t="n">
        <v>1471</v>
      </c>
      <c r="F446" t="inlineStr">
        <is>
          <t>Fabaceae</t>
        </is>
      </c>
      <c r="G446" t="inlineStr">
        <is>
          <t>Inga</t>
        </is>
      </c>
      <c r="H446" t="inlineStr"/>
      <c r="I446" s="2" t="n">
        <v>38873</v>
      </c>
      <c r="J446" t="inlineStr">
        <is>
          <t>3628</t>
        </is>
      </c>
      <c r="K446" t="inlineStr"/>
      <c r="L446" t="inlineStr"/>
      <c r="M446" t="inlineStr"/>
      <c r="N446" t="inlineStr"/>
    </row>
    <row r="447">
      <c r="A447" s="1" t="n">
        <v>445</v>
      </c>
      <c r="B447" t="n">
        <v>50</v>
      </c>
      <c r="C447" t="inlineStr">
        <is>
          <t>Galeras</t>
        </is>
      </c>
      <c r="D447" t="inlineStr">
        <is>
          <t>GAL_50</t>
        </is>
      </c>
      <c r="E447" t="n">
        <v>1473</v>
      </c>
      <c r="F447" t="inlineStr">
        <is>
          <t>Sapindaceae</t>
        </is>
      </c>
      <c r="G447" t="inlineStr">
        <is>
          <t>Matayba</t>
        </is>
      </c>
      <c r="H447" t="inlineStr"/>
      <c r="I447" s="2" t="n">
        <v>38873</v>
      </c>
      <c r="J447" t="inlineStr"/>
      <c r="K447" t="inlineStr"/>
      <c r="L447" t="inlineStr"/>
      <c r="M447" t="inlineStr"/>
      <c r="N447" t="n">
        <v>8621</v>
      </c>
    </row>
    <row r="448">
      <c r="A448" s="1" t="n">
        <v>446</v>
      </c>
      <c r="B448" t="n">
        <v>50</v>
      </c>
      <c r="C448" t="inlineStr">
        <is>
          <t>Galeras</t>
        </is>
      </c>
      <c r="D448" t="inlineStr">
        <is>
          <t>GAL_50</t>
        </is>
      </c>
      <c r="E448" t="n">
        <v>1474</v>
      </c>
      <c r="F448" t="inlineStr">
        <is>
          <t>Clusiaceae</t>
        </is>
      </c>
      <c r="G448" t="inlineStr">
        <is>
          <t>Garcinia</t>
        </is>
      </c>
      <c r="H448" t="inlineStr">
        <is>
          <t>madruno</t>
        </is>
      </c>
      <c r="I448" s="2" t="n">
        <v>38873</v>
      </c>
      <c r="J448" t="inlineStr"/>
      <c r="K448" t="inlineStr"/>
      <c r="L448" t="inlineStr"/>
      <c r="M448" t="inlineStr"/>
      <c r="N448" t="n">
        <v>8622</v>
      </c>
    </row>
    <row r="449">
      <c r="A449" s="1" t="n">
        <v>447</v>
      </c>
      <c r="B449" t="n">
        <v>50</v>
      </c>
      <c r="C449" t="inlineStr">
        <is>
          <t>Galeras</t>
        </is>
      </c>
      <c r="D449" t="inlineStr">
        <is>
          <t>GAL_50</t>
        </is>
      </c>
      <c r="E449" t="n">
        <v>1475</v>
      </c>
      <c r="F449" t="inlineStr">
        <is>
          <t>Myristicaceae</t>
        </is>
      </c>
      <c r="G449" t="inlineStr">
        <is>
          <t>Otoba</t>
        </is>
      </c>
      <c r="H449" t="inlineStr">
        <is>
          <t>glycycarpa</t>
        </is>
      </c>
      <c r="I449" s="2" t="n">
        <v>38873</v>
      </c>
      <c r="J449" t="inlineStr"/>
      <c r="K449" t="inlineStr"/>
      <c r="L449" t="inlineStr"/>
      <c r="M449" t="inlineStr"/>
      <c r="N449" t="n">
        <v>8623</v>
      </c>
    </row>
    <row r="450">
      <c r="A450" s="1" t="n">
        <v>448</v>
      </c>
      <c r="B450" t="n">
        <v>50</v>
      </c>
      <c r="C450" t="inlineStr">
        <is>
          <t>Galeras</t>
        </is>
      </c>
      <c r="D450" t="inlineStr">
        <is>
          <t>GAL_50</t>
        </is>
      </c>
      <c r="E450" t="n">
        <v>1476</v>
      </c>
      <c r="F450" t="inlineStr">
        <is>
          <t>Phyllanthaceae</t>
        </is>
      </c>
      <c r="G450" t="inlineStr">
        <is>
          <t>Hieronyma</t>
        </is>
      </c>
      <c r="H450" t="inlineStr">
        <is>
          <t>oblonga</t>
        </is>
      </c>
      <c r="I450" s="2" t="n">
        <v>38873</v>
      </c>
      <c r="J450" t="inlineStr"/>
      <c r="K450" t="inlineStr"/>
      <c r="L450" t="inlineStr"/>
      <c r="M450" t="inlineStr"/>
      <c r="N450" t="inlineStr"/>
    </row>
    <row r="451">
      <c r="A451" s="1" t="n">
        <v>449</v>
      </c>
      <c r="B451" t="n">
        <v>50</v>
      </c>
      <c r="C451" t="inlineStr">
        <is>
          <t>Galeras</t>
        </is>
      </c>
      <c r="D451" t="inlineStr">
        <is>
          <t>GAL_50</t>
        </is>
      </c>
      <c r="E451" t="n">
        <v>1477</v>
      </c>
      <c r="F451" t="inlineStr">
        <is>
          <t>Moraceae</t>
        </is>
      </c>
      <c r="G451" t="inlineStr">
        <is>
          <t>Helicostylis</t>
        </is>
      </c>
      <c r="H451" t="inlineStr">
        <is>
          <t>tovarensis</t>
        </is>
      </c>
      <c r="I451" s="2" t="n">
        <v>38873</v>
      </c>
      <c r="J451" t="inlineStr"/>
      <c r="K451" t="inlineStr"/>
      <c r="L451" t="inlineStr"/>
      <c r="M451" t="inlineStr"/>
      <c r="N451" t="n">
        <v>8629</v>
      </c>
    </row>
    <row r="452">
      <c r="A452" s="1" t="n">
        <v>450</v>
      </c>
      <c r="B452" t="n">
        <v>50</v>
      </c>
      <c r="C452" t="inlineStr">
        <is>
          <t>Galeras</t>
        </is>
      </c>
      <c r="D452" t="inlineStr">
        <is>
          <t>GAL_50</t>
        </is>
      </c>
      <c r="E452" t="n">
        <v>1478</v>
      </c>
      <c r="F452" t="inlineStr">
        <is>
          <t>Lauraceae</t>
        </is>
      </c>
      <c r="G452" t="inlineStr">
        <is>
          <t>Ocotea</t>
        </is>
      </c>
      <c r="H452" t="inlineStr">
        <is>
          <t>aff. subrutilans</t>
        </is>
      </c>
      <c r="I452" s="2" t="n">
        <v>38873</v>
      </c>
      <c r="J452" t="inlineStr">
        <is>
          <t>3616</t>
        </is>
      </c>
      <c r="K452" t="inlineStr"/>
      <c r="L452" t="inlineStr"/>
      <c r="M452" t="inlineStr"/>
      <c r="N452" t="n">
        <v>8628</v>
      </c>
    </row>
    <row r="453">
      <c r="A453" s="1" t="n">
        <v>451</v>
      </c>
      <c r="B453" t="n">
        <v>50</v>
      </c>
      <c r="C453" t="inlineStr">
        <is>
          <t>Galeras</t>
        </is>
      </c>
      <c r="D453" t="inlineStr">
        <is>
          <t>GAL_50</t>
        </is>
      </c>
      <c r="E453" t="n">
        <v>1479</v>
      </c>
      <c r="F453" t="inlineStr">
        <is>
          <t>Myrtaceae</t>
        </is>
      </c>
      <c r="G453" t="inlineStr">
        <is>
          <t>Siphoneugena</t>
        </is>
      </c>
      <c r="H453" t="inlineStr">
        <is>
          <t>densiflora</t>
        </is>
      </c>
      <c r="I453" s="2" t="n">
        <v>38873</v>
      </c>
      <c r="J453">
        <f>3622</f>
        <v/>
      </c>
      <c r="K453" t="inlineStr"/>
      <c r="L453" t="inlineStr"/>
      <c r="M453" t="inlineStr"/>
      <c r="N453" t="n">
        <v>8627</v>
      </c>
    </row>
    <row r="454">
      <c r="A454" s="1" t="n">
        <v>452</v>
      </c>
      <c r="B454" t="n">
        <v>50</v>
      </c>
      <c r="C454" t="inlineStr">
        <is>
          <t>Galeras</t>
        </is>
      </c>
      <c r="D454" t="inlineStr">
        <is>
          <t>GAL_50</t>
        </is>
      </c>
      <c r="E454" t="n">
        <v>1480</v>
      </c>
      <c r="F454" t="inlineStr">
        <is>
          <t>Chrysobalanaceae</t>
        </is>
      </c>
      <c r="G454" t="inlineStr">
        <is>
          <t>Licania</t>
        </is>
      </c>
      <c r="H454" t="inlineStr">
        <is>
          <t>micrantha</t>
        </is>
      </c>
      <c r="I454" s="2" t="n">
        <v>38873</v>
      </c>
      <c r="J454">
        <f>3627</f>
        <v/>
      </c>
      <c r="K454" t="inlineStr"/>
      <c r="L454" t="inlineStr"/>
      <c r="M454" t="inlineStr"/>
      <c r="N454" t="n">
        <v>8626</v>
      </c>
    </row>
    <row r="455">
      <c r="A455" s="1" t="n">
        <v>453</v>
      </c>
      <c r="B455" t="n">
        <v>50</v>
      </c>
      <c r="C455" t="inlineStr">
        <is>
          <t>Galeras</t>
        </is>
      </c>
      <c r="D455" t="inlineStr">
        <is>
          <t>GAL_50</t>
        </is>
      </c>
      <c r="E455" t="n">
        <v>1482</v>
      </c>
      <c r="F455" t="inlineStr">
        <is>
          <t>Anacardiaceae</t>
        </is>
      </c>
      <c r="G455" t="inlineStr">
        <is>
          <t>Tapirira</t>
        </is>
      </c>
      <c r="H455" t="inlineStr">
        <is>
          <t>guianensis</t>
        </is>
      </c>
      <c r="I455" s="2" t="n">
        <v>38873</v>
      </c>
      <c r="J455">
        <f>3626</f>
        <v/>
      </c>
      <c r="K455" t="inlineStr"/>
      <c r="L455" t="inlineStr"/>
      <c r="M455" t="inlineStr"/>
      <c r="N455" t="n">
        <v>8624</v>
      </c>
    </row>
    <row r="456">
      <c r="A456" s="1" t="n">
        <v>454</v>
      </c>
      <c r="B456" t="n">
        <v>50</v>
      </c>
      <c r="C456" t="inlineStr">
        <is>
          <t>Galeras</t>
        </is>
      </c>
      <c r="D456" t="inlineStr">
        <is>
          <t>GAL_50</t>
        </is>
      </c>
      <c r="E456" t="n">
        <v>1483</v>
      </c>
      <c r="F456" t="inlineStr">
        <is>
          <t>Myrtaceae</t>
        </is>
      </c>
      <c r="G456" t="inlineStr">
        <is>
          <t>Siphoneugena</t>
        </is>
      </c>
      <c r="H456" t="inlineStr">
        <is>
          <t>densiflora</t>
        </is>
      </c>
      <c r="I456" s="2" t="n">
        <v>38873</v>
      </c>
      <c r="J456" t="inlineStr">
        <is>
          <t>3622</t>
        </is>
      </c>
      <c r="K456" t="inlineStr"/>
      <c r="L456" t="inlineStr">
        <is>
          <t>Ο</t>
        </is>
      </c>
      <c r="M456" t="inlineStr">
        <is>
          <t>Ø</t>
        </is>
      </c>
      <c r="N456" t="n">
        <v>8617</v>
      </c>
    </row>
    <row r="457">
      <c r="A457" s="1" t="n">
        <v>455</v>
      </c>
      <c r="B457" t="n">
        <v>50</v>
      </c>
      <c r="C457" t="inlineStr">
        <is>
          <t>Galeras</t>
        </is>
      </c>
      <c r="D457" t="inlineStr">
        <is>
          <t>GAL_50</t>
        </is>
      </c>
      <c r="E457" t="n">
        <v>1485</v>
      </c>
      <c r="F457" t="inlineStr">
        <is>
          <t>Phyllanthaceae</t>
        </is>
      </c>
      <c r="G457" t="inlineStr">
        <is>
          <t>Hieronyma</t>
        </is>
      </c>
      <c r="H457" t="inlineStr">
        <is>
          <t>oblonga</t>
        </is>
      </c>
      <c r="I457" s="2" t="n">
        <v>38873</v>
      </c>
      <c r="J457" t="inlineStr"/>
      <c r="K457" t="inlineStr"/>
      <c r="L457" t="inlineStr"/>
      <c r="M457" t="inlineStr"/>
      <c r="N457" t="n">
        <v>8614</v>
      </c>
    </row>
    <row r="458">
      <c r="A458" s="1" t="n">
        <v>456</v>
      </c>
      <c r="B458" t="n">
        <v>50</v>
      </c>
      <c r="C458" t="inlineStr">
        <is>
          <t>Galeras</t>
        </is>
      </c>
      <c r="D458" t="inlineStr">
        <is>
          <t>GAL_50</t>
        </is>
      </c>
      <c r="E458" t="n">
        <v>1486</v>
      </c>
      <c r="F458" t="inlineStr">
        <is>
          <t>Lauraceae</t>
        </is>
      </c>
      <c r="G458" t="inlineStr">
        <is>
          <t>Ocotea</t>
        </is>
      </c>
      <c r="H458" t="inlineStr">
        <is>
          <t xml:space="preserve"> cf. longifolia</t>
        </is>
      </c>
      <c r="I458" s="2" t="n">
        <v>38873</v>
      </c>
      <c r="J458" t="inlineStr">
        <is>
          <t>3620</t>
        </is>
      </c>
      <c r="K458" t="inlineStr"/>
      <c r="L458" t="inlineStr">
        <is>
          <t>Ο</t>
        </is>
      </c>
      <c r="M458" t="inlineStr">
        <is>
          <t>Ø</t>
        </is>
      </c>
      <c r="N458" t="n">
        <v>8615</v>
      </c>
    </row>
    <row r="459">
      <c r="A459" s="1" t="n">
        <v>457</v>
      </c>
      <c r="B459" t="n">
        <v>50</v>
      </c>
      <c r="C459" t="inlineStr">
        <is>
          <t>Galeras</t>
        </is>
      </c>
      <c r="D459" t="inlineStr">
        <is>
          <t>GAL_50</t>
        </is>
      </c>
      <c r="E459" t="n">
        <v>1487</v>
      </c>
      <c r="F459" t="inlineStr">
        <is>
          <t>Clusiaceae</t>
        </is>
      </c>
      <c r="G459" t="inlineStr">
        <is>
          <t>Garcinia</t>
        </is>
      </c>
      <c r="H459" t="inlineStr">
        <is>
          <t>madruno</t>
        </is>
      </c>
      <c r="I459" s="2" t="n">
        <v>38873</v>
      </c>
      <c r="J459" t="inlineStr"/>
      <c r="K459" t="inlineStr"/>
      <c r="L459" t="inlineStr"/>
      <c r="M459" t="inlineStr"/>
      <c r="N459" t="n">
        <v>8616</v>
      </c>
    </row>
    <row r="460">
      <c r="A460" s="1" t="n">
        <v>458</v>
      </c>
      <c r="B460" t="n">
        <v>50</v>
      </c>
      <c r="C460" t="inlineStr">
        <is>
          <t>Galeras</t>
        </is>
      </c>
      <c r="D460" t="inlineStr">
        <is>
          <t>GAL_50</t>
        </is>
      </c>
      <c r="E460" t="n">
        <v>1488</v>
      </c>
      <c r="F460" t="inlineStr">
        <is>
          <t>Fabaceae</t>
        </is>
      </c>
      <c r="G460" t="inlineStr">
        <is>
          <t>Inga</t>
        </is>
      </c>
      <c r="H460" t="inlineStr">
        <is>
          <t>cf. vismiifolia</t>
        </is>
      </c>
      <c r="I460" s="2" t="n">
        <v>38873</v>
      </c>
      <c r="J460" t="inlineStr">
        <is>
          <t>3619</t>
        </is>
      </c>
      <c r="K460" t="inlineStr"/>
      <c r="L460" t="inlineStr"/>
      <c r="M460" t="inlineStr"/>
      <c r="N460" t="inlineStr"/>
    </row>
    <row r="461">
      <c r="A461" s="1" t="n">
        <v>459</v>
      </c>
      <c r="B461" t="n">
        <v>50</v>
      </c>
      <c r="C461" t="inlineStr">
        <is>
          <t>Galeras</t>
        </is>
      </c>
      <c r="D461" t="inlineStr">
        <is>
          <t>GAL_50</t>
        </is>
      </c>
      <c r="E461" t="n">
        <v>1489</v>
      </c>
      <c r="F461" t="inlineStr">
        <is>
          <t>Sapotaceae</t>
        </is>
      </c>
      <c r="G461" t="inlineStr">
        <is>
          <t>Pouteria</t>
        </is>
      </c>
      <c r="H461" t="inlineStr">
        <is>
          <t>cuspidata</t>
        </is>
      </c>
      <c r="I461" s="2" t="n">
        <v>38873</v>
      </c>
      <c r="J461" t="inlineStr">
        <is>
          <t>3618</t>
        </is>
      </c>
      <c r="K461" t="inlineStr"/>
      <c r="L461" t="inlineStr"/>
      <c r="M461" t="inlineStr"/>
      <c r="N461" t="inlineStr"/>
    </row>
    <row r="462">
      <c r="A462" s="1" t="n">
        <v>460</v>
      </c>
      <c r="B462" t="n">
        <v>50</v>
      </c>
      <c r="C462" t="inlineStr">
        <is>
          <t>Galeras</t>
        </is>
      </c>
      <c r="D462" t="inlineStr">
        <is>
          <t>GAL_50</t>
        </is>
      </c>
      <c r="E462" t="n">
        <v>1490</v>
      </c>
      <c r="F462" t="inlineStr">
        <is>
          <t>Rutaceae</t>
        </is>
      </c>
      <c r="G462" t="inlineStr">
        <is>
          <t>Zanthoxylum</t>
        </is>
      </c>
      <c r="H462" t="inlineStr">
        <is>
          <t>melanostictum</t>
        </is>
      </c>
      <c r="I462" s="2" t="n">
        <v>38873</v>
      </c>
      <c r="J462">
        <f>3602</f>
        <v/>
      </c>
      <c r="K462" t="inlineStr"/>
      <c r="L462" t="inlineStr"/>
      <c r="M462" t="inlineStr"/>
      <c r="N462" t="n">
        <v>8612</v>
      </c>
    </row>
    <row r="463">
      <c r="A463" s="1" t="n">
        <v>461</v>
      </c>
      <c r="B463" t="n">
        <v>50</v>
      </c>
      <c r="C463" t="inlineStr">
        <is>
          <t>Galeras</t>
        </is>
      </c>
      <c r="D463" t="inlineStr">
        <is>
          <t>GAL_50</t>
        </is>
      </c>
      <c r="E463" t="n">
        <v>1491</v>
      </c>
      <c r="F463" t="inlineStr">
        <is>
          <t>Clusiaceae</t>
        </is>
      </c>
      <c r="G463" t="inlineStr">
        <is>
          <t>Tovomita</t>
        </is>
      </c>
      <c r="H463" t="inlineStr">
        <is>
          <t>weddeliana</t>
        </is>
      </c>
      <c r="I463" s="2" t="n">
        <v>38873</v>
      </c>
      <c r="J463" t="inlineStr"/>
      <c r="K463" t="inlineStr"/>
      <c r="L463" t="inlineStr"/>
      <c r="M463" t="inlineStr"/>
      <c r="N463" t="n">
        <v>8619</v>
      </c>
    </row>
    <row r="464">
      <c r="A464" s="1" t="n">
        <v>462</v>
      </c>
      <c r="B464" t="n">
        <v>50</v>
      </c>
      <c r="C464" t="inlineStr">
        <is>
          <t>Galeras</t>
        </is>
      </c>
      <c r="D464" t="inlineStr">
        <is>
          <t>GAL_50</t>
        </is>
      </c>
      <c r="E464" t="n">
        <v>1492</v>
      </c>
      <c r="F464" t="inlineStr">
        <is>
          <t>Fabaceae</t>
        </is>
      </c>
      <c r="G464" t="inlineStr">
        <is>
          <t>Diplotropis</t>
        </is>
      </c>
      <c r="H464" t="inlineStr">
        <is>
          <t>aff purpurea</t>
        </is>
      </c>
      <c r="I464" s="2" t="n">
        <v>38873</v>
      </c>
      <c r="J464" t="inlineStr"/>
      <c r="K464" t="inlineStr"/>
      <c r="L464" t="inlineStr"/>
      <c r="M464" t="inlineStr"/>
      <c r="N464" t="n">
        <v>8620</v>
      </c>
    </row>
    <row r="465">
      <c r="A465" s="1" t="n">
        <v>463</v>
      </c>
      <c r="B465" t="n">
        <v>50</v>
      </c>
      <c r="C465" t="inlineStr">
        <is>
          <t>Galeras</t>
        </is>
      </c>
      <c r="D465" t="inlineStr">
        <is>
          <t>GAL_50</t>
        </is>
      </c>
      <c r="E465" t="n">
        <v>1493</v>
      </c>
      <c r="F465" t="inlineStr">
        <is>
          <t>Chrysobalanaceae</t>
        </is>
      </c>
      <c r="G465" t="inlineStr">
        <is>
          <t>Licania</t>
        </is>
      </c>
      <c r="H465" t="inlineStr">
        <is>
          <t>micrantha</t>
        </is>
      </c>
      <c r="I465" s="2" t="n">
        <v>38873</v>
      </c>
      <c r="J465">
        <f>3627</f>
        <v/>
      </c>
      <c r="K465" t="inlineStr"/>
      <c r="L465" t="inlineStr"/>
      <c r="M465" t="inlineStr"/>
      <c r="N465" t="n">
        <v>8606</v>
      </c>
    </row>
    <row r="466">
      <c r="A466" s="1" t="n">
        <v>464</v>
      </c>
      <c r="B466" t="n">
        <v>50</v>
      </c>
      <c r="C466" t="inlineStr">
        <is>
          <t>Galeras</t>
        </is>
      </c>
      <c r="D466" t="inlineStr">
        <is>
          <t>GAL_50</t>
        </is>
      </c>
      <c r="E466" t="n">
        <v>1494</v>
      </c>
      <c r="F466" t="inlineStr">
        <is>
          <t>Rosaceae</t>
        </is>
      </c>
      <c r="G466" t="inlineStr">
        <is>
          <t>Prunus</t>
        </is>
      </c>
      <c r="H466" t="inlineStr">
        <is>
          <t>opaca</t>
        </is>
      </c>
      <c r="I466" s="2" t="n">
        <v>38873</v>
      </c>
      <c r="J466" t="inlineStr"/>
      <c r="K466" t="inlineStr"/>
      <c r="L466" t="inlineStr"/>
      <c r="M466" t="inlineStr"/>
      <c r="N466" t="n">
        <v>8607</v>
      </c>
    </row>
    <row r="467">
      <c r="A467" s="1" t="n">
        <v>465</v>
      </c>
      <c r="B467" t="n">
        <v>50</v>
      </c>
      <c r="C467" t="inlineStr">
        <is>
          <t>Galeras</t>
        </is>
      </c>
      <c r="D467" t="inlineStr">
        <is>
          <t>GAL_50</t>
        </is>
      </c>
      <c r="E467" t="n">
        <v>1495</v>
      </c>
      <c r="F467" t="inlineStr">
        <is>
          <t>Simaroubaceae</t>
        </is>
      </c>
      <c r="G467" t="inlineStr">
        <is>
          <t>Simarouba</t>
        </is>
      </c>
      <c r="H467" t="inlineStr">
        <is>
          <t>amara</t>
        </is>
      </c>
      <c r="I467" s="2" t="n">
        <v>38873</v>
      </c>
      <c r="J467" t="inlineStr">
        <is>
          <t>3623</t>
        </is>
      </c>
      <c r="K467" t="inlineStr"/>
      <c r="L467" t="inlineStr">
        <is>
          <t>Ο</t>
        </is>
      </c>
      <c r="M467" t="inlineStr">
        <is>
          <t>Ø</t>
        </is>
      </c>
      <c r="N467" t="n">
        <v>8609</v>
      </c>
    </row>
    <row r="468">
      <c r="A468" s="1" t="n">
        <v>466</v>
      </c>
      <c r="B468" t="n">
        <v>50</v>
      </c>
      <c r="C468" t="inlineStr">
        <is>
          <t>Galeras</t>
        </is>
      </c>
      <c r="D468" t="inlineStr">
        <is>
          <t>GAL_50</t>
        </is>
      </c>
      <c r="E468" t="n">
        <v>1496</v>
      </c>
      <c r="F468" t="inlineStr">
        <is>
          <t>Myrsinaceae</t>
        </is>
      </c>
      <c r="G468" t="inlineStr">
        <is>
          <t>Myrsine</t>
        </is>
      </c>
      <c r="H468" t="inlineStr">
        <is>
          <t>coriaceae</t>
        </is>
      </c>
      <c r="I468" s="2" t="n">
        <v>38873</v>
      </c>
      <c r="J468" t="inlineStr"/>
      <c r="K468" t="inlineStr"/>
      <c r="L468" t="inlineStr"/>
      <c r="M468" t="inlineStr"/>
      <c r="N468" t="n">
        <v>8608</v>
      </c>
    </row>
    <row r="469">
      <c r="A469" s="1" t="n">
        <v>467</v>
      </c>
      <c r="B469" t="n">
        <v>50</v>
      </c>
      <c r="C469" t="inlineStr">
        <is>
          <t>Galeras</t>
        </is>
      </c>
      <c r="D469" t="inlineStr">
        <is>
          <t>GAL_50</t>
        </is>
      </c>
      <c r="E469" t="n">
        <v>1497</v>
      </c>
      <c r="F469" t="inlineStr">
        <is>
          <t>Arecaceae</t>
        </is>
      </c>
      <c r="G469" t="inlineStr">
        <is>
          <t>Wettinia</t>
        </is>
      </c>
      <c r="H469" t="inlineStr">
        <is>
          <t>anomala</t>
        </is>
      </c>
      <c r="I469" s="2" t="n">
        <v>38873</v>
      </c>
      <c r="J469" t="inlineStr"/>
      <c r="K469" t="inlineStr"/>
      <c r="L469" t="inlineStr"/>
      <c r="M469" t="inlineStr"/>
      <c r="N469" t="n">
        <v>8610</v>
      </c>
    </row>
    <row r="470">
      <c r="A470" s="1" t="n">
        <v>468</v>
      </c>
      <c r="B470" t="n">
        <v>50</v>
      </c>
      <c r="C470" t="inlineStr">
        <is>
          <t>Galeras</t>
        </is>
      </c>
      <c r="D470" t="inlineStr">
        <is>
          <t>GAL_50</t>
        </is>
      </c>
      <c r="E470" t="n">
        <v>1498</v>
      </c>
      <c r="F470" t="inlineStr">
        <is>
          <t>Sapotaceae</t>
        </is>
      </c>
      <c r="G470" t="inlineStr">
        <is>
          <t>Sapo28</t>
        </is>
      </c>
      <c r="H470" t="inlineStr"/>
      <c r="I470" s="2" t="n">
        <v>38873</v>
      </c>
      <c r="J470">
        <f>3600</f>
        <v/>
      </c>
      <c r="K470" t="inlineStr"/>
      <c r="L470" t="inlineStr"/>
      <c r="M470" t="inlineStr"/>
      <c r="N470" t="n">
        <v>8611</v>
      </c>
    </row>
    <row r="471">
      <c r="A471" s="1" t="n">
        <v>469</v>
      </c>
      <c r="B471" t="n">
        <v>50</v>
      </c>
      <c r="C471" t="inlineStr">
        <is>
          <t>Galeras</t>
        </is>
      </c>
      <c r="D471" t="inlineStr">
        <is>
          <t>GAL_50</t>
        </is>
      </c>
      <c r="E471" t="n">
        <v>1499</v>
      </c>
      <c r="F471" t="inlineStr">
        <is>
          <t>Rubiaceae</t>
        </is>
      </c>
      <c r="G471" t="inlineStr"/>
      <c r="H471" t="inlineStr"/>
      <c r="I471" s="2" t="n">
        <v>38873</v>
      </c>
      <c r="J471" t="inlineStr"/>
      <c r="K471" t="inlineStr"/>
      <c r="L471" t="inlineStr"/>
      <c r="M471" t="inlineStr"/>
      <c r="N471" t="n">
        <v>8785</v>
      </c>
    </row>
    <row r="472">
      <c r="A472" s="1" t="n">
        <v>470</v>
      </c>
      <c r="B472" t="n">
        <v>50</v>
      </c>
      <c r="C472" t="inlineStr">
        <is>
          <t>Galeras</t>
        </is>
      </c>
      <c r="D472" t="inlineStr">
        <is>
          <t>GAL_50</t>
        </is>
      </c>
      <c r="E472" t="n">
        <v>2589</v>
      </c>
      <c r="F472" t="inlineStr">
        <is>
          <t>Rosaceae</t>
        </is>
      </c>
      <c r="G472" t="inlineStr">
        <is>
          <t>Prunus</t>
        </is>
      </c>
      <c r="H472" t="inlineStr">
        <is>
          <t>opaca</t>
        </is>
      </c>
      <c r="I472" s="2" t="n">
        <v>38873</v>
      </c>
      <c r="J472">
        <f>3587</f>
        <v/>
      </c>
      <c r="K472" t="inlineStr"/>
      <c r="L472" t="inlineStr"/>
      <c r="M472" t="inlineStr"/>
      <c r="N472" t="n">
        <v>8603</v>
      </c>
    </row>
    <row r="473">
      <c r="A473" s="1" t="n">
        <v>471</v>
      </c>
      <c r="B473" t="n">
        <v>50</v>
      </c>
      <c r="C473" t="inlineStr">
        <is>
          <t>Galeras</t>
        </is>
      </c>
      <c r="D473" t="inlineStr">
        <is>
          <t>GAL_50</t>
        </is>
      </c>
      <c r="E473" t="inlineStr"/>
      <c r="F473" t="inlineStr">
        <is>
          <t>Rosaceae</t>
        </is>
      </c>
      <c r="G473" t="inlineStr">
        <is>
          <t>Prunus</t>
        </is>
      </c>
      <c r="H473" t="inlineStr">
        <is>
          <t>opaca</t>
        </is>
      </c>
      <c r="I473" t="inlineStr"/>
      <c r="J473" t="inlineStr"/>
      <c r="K473" t="inlineStr"/>
      <c r="L473" t="inlineStr"/>
      <c r="M473" t="inlineStr"/>
      <c r="N473" t="n">
        <v>8604</v>
      </c>
    </row>
    <row r="474">
      <c r="A474" s="1" t="n">
        <v>472</v>
      </c>
      <c r="B474" t="n">
        <v>50</v>
      </c>
      <c r="C474" t="inlineStr">
        <is>
          <t>Galeras</t>
        </is>
      </c>
      <c r="D474" t="inlineStr">
        <is>
          <t>GAL_50</t>
        </is>
      </c>
      <c r="E474" t="n">
        <v>2590</v>
      </c>
      <c r="F474" t="inlineStr">
        <is>
          <t>Rosaceae</t>
        </is>
      </c>
      <c r="G474" t="inlineStr">
        <is>
          <t>Prunus</t>
        </is>
      </c>
      <c r="H474" t="inlineStr">
        <is>
          <t>opaca</t>
        </is>
      </c>
      <c r="I474" s="2" t="n">
        <v>38873</v>
      </c>
      <c r="J474">
        <f>3587</f>
        <v/>
      </c>
      <c r="K474" t="inlineStr"/>
      <c r="L474" t="inlineStr"/>
      <c r="M474" t="inlineStr"/>
      <c r="N474" t="n">
        <v>8797</v>
      </c>
    </row>
    <row r="475">
      <c r="A475" s="1" t="n">
        <v>473</v>
      </c>
      <c r="B475" t="n">
        <v>50</v>
      </c>
      <c r="C475" t="inlineStr">
        <is>
          <t>Galeras</t>
        </is>
      </c>
      <c r="D475" t="inlineStr">
        <is>
          <t>GAL_50</t>
        </is>
      </c>
      <c r="E475" t="inlineStr"/>
      <c r="F475" t="inlineStr">
        <is>
          <t>indet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n">
        <v>8798</v>
      </c>
    </row>
    <row r="476">
      <c r="A476" s="1" t="n">
        <v>474</v>
      </c>
      <c r="B476" t="n">
        <v>50</v>
      </c>
      <c r="C476" t="inlineStr">
        <is>
          <t>Galeras</t>
        </is>
      </c>
      <c r="D476" t="inlineStr">
        <is>
          <t>GAL_50</t>
        </is>
      </c>
      <c r="E476" t="inlineStr"/>
      <c r="F476" t="inlineStr">
        <is>
          <t>Euphorbiaceae</t>
        </is>
      </c>
      <c r="G476" t="inlineStr">
        <is>
          <t>Alchornea</t>
        </is>
      </c>
      <c r="H476" t="inlineStr"/>
      <c r="I476" t="inlineStr"/>
      <c r="J476" t="inlineStr"/>
      <c r="K476" t="inlineStr"/>
      <c r="L476" t="inlineStr"/>
      <c r="M476" t="inlineStr"/>
      <c r="N476" t="n">
        <v>8787</v>
      </c>
    </row>
    <row r="477">
      <c r="A477" s="1" t="n">
        <v>475</v>
      </c>
      <c r="B477" t="n">
        <v>50</v>
      </c>
      <c r="C477" t="inlineStr">
        <is>
          <t>Galeras</t>
        </is>
      </c>
      <c r="D477" t="inlineStr">
        <is>
          <t>GAL_50</t>
        </is>
      </c>
      <c r="E477" t="inlineStr"/>
      <c r="F477" t="inlineStr">
        <is>
          <t>Symplocaceae</t>
        </is>
      </c>
      <c r="G477" t="inlineStr">
        <is>
          <t>Symplocos</t>
        </is>
      </c>
      <c r="H477" t="inlineStr">
        <is>
          <t>cf spruceana</t>
        </is>
      </c>
      <c r="I477" t="inlineStr"/>
      <c r="J477" t="inlineStr"/>
      <c r="K477" t="inlineStr"/>
      <c r="L477" t="inlineStr"/>
      <c r="M477" t="inlineStr"/>
      <c r="N477" t="n">
        <v>8795</v>
      </c>
    </row>
    <row r="478">
      <c r="A478" s="1" t="n">
        <v>476</v>
      </c>
      <c r="B478" t="n">
        <v>50</v>
      </c>
      <c r="C478" t="inlineStr">
        <is>
          <t>Galeras</t>
        </is>
      </c>
      <c r="D478" t="inlineStr">
        <is>
          <t>GAL_50</t>
        </is>
      </c>
      <c r="E478" t="inlineStr"/>
      <c r="F478" t="inlineStr">
        <is>
          <t>Anacardiaceae</t>
        </is>
      </c>
      <c r="G478" t="inlineStr">
        <is>
          <t>Tapirira</t>
        </is>
      </c>
      <c r="H478" t="inlineStr"/>
      <c r="I478" t="inlineStr"/>
      <c r="J478" t="inlineStr"/>
      <c r="K478" t="inlineStr"/>
      <c r="L478" t="inlineStr"/>
      <c r="M478" t="inlineStr"/>
      <c r="N478" t="n">
        <v>8784</v>
      </c>
    </row>
    <row r="479">
      <c r="A479" s="1" t="n">
        <v>477</v>
      </c>
      <c r="B479" t="n">
        <v>50</v>
      </c>
      <c r="C479" t="inlineStr">
        <is>
          <t>Galeras</t>
        </is>
      </c>
      <c r="D479" t="inlineStr">
        <is>
          <t>GAL_50</t>
        </is>
      </c>
      <c r="E479" t="inlineStr"/>
      <c r="F479" t="inlineStr">
        <is>
          <t>Symplocaceae</t>
        </is>
      </c>
      <c r="G479" t="inlineStr">
        <is>
          <t>Symplocos</t>
        </is>
      </c>
      <c r="H479" t="inlineStr"/>
      <c r="I479" t="inlineStr"/>
      <c r="J479" t="inlineStr"/>
      <c r="K479" t="inlineStr"/>
      <c r="L479" t="inlineStr"/>
      <c r="M479" t="inlineStr"/>
      <c r="N479" t="n">
        <v>8782</v>
      </c>
    </row>
    <row r="480">
      <c r="A480" s="1" t="n">
        <v>478</v>
      </c>
      <c r="B480" t="n">
        <v>50</v>
      </c>
      <c r="C480" t="inlineStr">
        <is>
          <t>Galeras</t>
        </is>
      </c>
      <c r="D480" t="inlineStr">
        <is>
          <t>GAL_50</t>
        </is>
      </c>
      <c r="E480" t="inlineStr"/>
      <c r="F480" t="inlineStr">
        <is>
          <t>Fabaceae</t>
        </is>
      </c>
      <c r="G480" t="inlineStr">
        <is>
          <t>Inga</t>
        </is>
      </c>
      <c r="H480" t="inlineStr"/>
      <c r="I480" t="inlineStr"/>
      <c r="J480" t="inlineStr"/>
      <c r="K480" t="inlineStr"/>
      <c r="L480" t="inlineStr">
        <is>
          <t>Ο</t>
        </is>
      </c>
      <c r="M480" t="inlineStr">
        <is>
          <t>Ø</t>
        </is>
      </c>
      <c r="N480" t="n">
        <v>8789</v>
      </c>
    </row>
    <row r="481">
      <c r="A481" s="1" t="n">
        <v>479</v>
      </c>
      <c r="B481" t="n">
        <v>50</v>
      </c>
      <c r="C481" t="inlineStr">
        <is>
          <t>Galeras</t>
        </is>
      </c>
      <c r="D481" t="inlineStr">
        <is>
          <t>GAL_50</t>
        </is>
      </c>
      <c r="E481" t="inlineStr"/>
      <c r="F481" t="inlineStr">
        <is>
          <t>Lauraceae</t>
        </is>
      </c>
      <c r="G481" t="inlineStr">
        <is>
          <t>Ocotea</t>
        </is>
      </c>
      <c r="H481" t="inlineStr">
        <is>
          <t>cf longifolia</t>
        </is>
      </c>
      <c r="I481" t="inlineStr"/>
      <c r="J481" t="inlineStr"/>
      <c r="K481" t="inlineStr"/>
      <c r="L481" t="inlineStr"/>
      <c r="M481" t="inlineStr"/>
      <c r="N481" t="n">
        <v>8790</v>
      </c>
    </row>
    <row r="482">
      <c r="A482" s="1" t="n">
        <v>480</v>
      </c>
      <c r="B482" t="n">
        <v>50</v>
      </c>
      <c r="C482" t="inlineStr">
        <is>
          <t>Galeras</t>
        </is>
      </c>
      <c r="D482" t="inlineStr">
        <is>
          <t>GAL_50</t>
        </is>
      </c>
      <c r="E482" t="inlineStr"/>
      <c r="F482" t="inlineStr">
        <is>
          <t>indet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n">
        <v>8601</v>
      </c>
    </row>
    <row r="483">
      <c r="A483" s="1" t="n">
        <v>481</v>
      </c>
      <c r="B483" t="n">
        <v>50</v>
      </c>
      <c r="C483" t="inlineStr">
        <is>
          <t>Galeras</t>
        </is>
      </c>
      <c r="D483" t="inlineStr">
        <is>
          <t>GAL_50</t>
        </is>
      </c>
      <c r="E483" t="inlineStr"/>
      <c r="F483" t="inlineStr">
        <is>
          <t>Sapotaceae</t>
        </is>
      </c>
      <c r="G483" t="inlineStr">
        <is>
          <t>Sapo28</t>
        </is>
      </c>
      <c r="H483" t="inlineStr"/>
      <c r="I483" t="inlineStr"/>
      <c r="J483" t="inlineStr"/>
      <c r="K483" t="inlineStr"/>
      <c r="L483" t="inlineStr"/>
      <c r="M483" t="inlineStr"/>
      <c r="N483" t="n">
        <v>8792</v>
      </c>
    </row>
    <row r="484">
      <c r="A484" s="1" t="n">
        <v>482</v>
      </c>
      <c r="B484" t="n">
        <v>50</v>
      </c>
      <c r="C484" t="inlineStr">
        <is>
          <t>Galeras</t>
        </is>
      </c>
      <c r="D484" t="inlineStr">
        <is>
          <t>GAL_50</t>
        </is>
      </c>
      <c r="E484" t="inlineStr"/>
      <c r="F484" t="inlineStr">
        <is>
          <t>Lauraceae</t>
        </is>
      </c>
      <c r="G484" t="inlineStr">
        <is>
          <t>Ocotea</t>
        </is>
      </c>
      <c r="H484" t="inlineStr">
        <is>
          <t>pedanomischa</t>
        </is>
      </c>
      <c r="I484" t="inlineStr"/>
      <c r="J484" t="inlineStr"/>
      <c r="K484" t="inlineStr"/>
      <c r="L484" t="inlineStr"/>
      <c r="M484" t="inlineStr"/>
      <c r="N484" t="n">
        <v>8605</v>
      </c>
    </row>
    <row r="485">
      <c r="A485" s="1" t="n">
        <v>483</v>
      </c>
      <c r="B485" t="n">
        <v>50</v>
      </c>
      <c r="C485" t="inlineStr">
        <is>
          <t>Galeras</t>
        </is>
      </c>
      <c r="D485" t="inlineStr">
        <is>
          <t>GAL_50</t>
        </is>
      </c>
      <c r="E485" t="inlineStr"/>
      <c r="F485" t="inlineStr">
        <is>
          <t>Apocynaceae</t>
        </is>
      </c>
      <c r="G485" t="inlineStr">
        <is>
          <t>Apo28</t>
        </is>
      </c>
      <c r="H485" t="inlineStr"/>
      <c r="I485" t="inlineStr"/>
      <c r="J485" t="inlineStr"/>
      <c r="K485" t="inlineStr"/>
      <c r="L485" t="inlineStr"/>
      <c r="M485" t="inlineStr"/>
      <c r="N485" t="n">
        <v>8613</v>
      </c>
    </row>
    <row r="486">
      <c r="A486" s="1" t="n">
        <v>484</v>
      </c>
      <c r="B486" t="n">
        <v>50</v>
      </c>
      <c r="C486" t="inlineStr">
        <is>
          <t>Galeras</t>
        </is>
      </c>
      <c r="D486" t="inlineStr">
        <is>
          <t>GAL_50</t>
        </is>
      </c>
      <c r="E486" t="inlineStr"/>
      <c r="F486" t="inlineStr">
        <is>
          <t>Phyllanthaceae</t>
        </is>
      </c>
      <c r="G486" t="inlineStr">
        <is>
          <t>Hieronyma</t>
        </is>
      </c>
      <c r="H486" t="inlineStr">
        <is>
          <t>oblonga</t>
        </is>
      </c>
      <c r="I486" t="inlineStr"/>
      <c r="J486" t="inlineStr"/>
      <c r="K486" t="inlineStr"/>
      <c r="L486" t="inlineStr"/>
      <c r="M486" t="inlineStr"/>
      <c r="N486" t="n">
        <v>8630</v>
      </c>
    </row>
    <row r="487">
      <c r="A487" s="1" t="n">
        <v>485</v>
      </c>
      <c r="B487" t="n">
        <v>60</v>
      </c>
      <c r="C487" t="inlineStr">
        <is>
          <t>Galeras</t>
        </is>
      </c>
      <c r="D487" t="inlineStr">
        <is>
          <t>GAL_60</t>
        </is>
      </c>
      <c r="E487" t="n">
        <v>1829</v>
      </c>
      <c r="F487" t="inlineStr">
        <is>
          <t>Rubiaceae</t>
        </is>
      </c>
      <c r="G487" t="inlineStr">
        <is>
          <t>Ladenbergia</t>
        </is>
      </c>
      <c r="H487" t="inlineStr"/>
      <c r="I487" s="2" t="n">
        <v>39176</v>
      </c>
      <c r="J487" t="inlineStr"/>
      <c r="K487" t="inlineStr"/>
      <c r="L487" t="inlineStr"/>
      <c r="M487" t="inlineStr"/>
      <c r="N487" t="n">
        <v>8753</v>
      </c>
    </row>
    <row r="488">
      <c r="A488" s="1" t="n">
        <v>486</v>
      </c>
      <c r="B488" t="n">
        <v>60</v>
      </c>
      <c r="C488" t="inlineStr">
        <is>
          <t>Galeras</t>
        </is>
      </c>
      <c r="D488" t="inlineStr">
        <is>
          <t>GAL_60</t>
        </is>
      </c>
      <c r="E488" t="n">
        <v>1800</v>
      </c>
      <c r="F488" t="inlineStr">
        <is>
          <t>Fabaceae</t>
        </is>
      </c>
      <c r="G488" t="inlineStr">
        <is>
          <t>Parkia</t>
        </is>
      </c>
      <c r="H488" t="inlineStr"/>
      <c r="I488" s="2" t="n">
        <v>39176</v>
      </c>
      <c r="J488" t="inlineStr"/>
      <c r="K488" t="inlineStr"/>
      <c r="L488" t="inlineStr"/>
      <c r="M488" t="inlineStr"/>
      <c r="N488" t="n">
        <v>8775</v>
      </c>
    </row>
    <row r="489">
      <c r="A489" s="1" t="n">
        <v>487</v>
      </c>
      <c r="B489" t="n">
        <v>60</v>
      </c>
      <c r="C489" t="inlineStr">
        <is>
          <t>Galeras</t>
        </is>
      </c>
      <c r="D489" t="inlineStr">
        <is>
          <t>GAL_60</t>
        </is>
      </c>
      <c r="E489" t="n">
        <v>1801</v>
      </c>
      <c r="F489" t="inlineStr">
        <is>
          <t>Chrysobalanaceae</t>
        </is>
      </c>
      <c r="G489" t="inlineStr">
        <is>
          <t>Licania</t>
        </is>
      </c>
      <c r="H489" t="inlineStr">
        <is>
          <t>micrantha</t>
        </is>
      </c>
      <c r="I489" s="2" t="n">
        <v>39176</v>
      </c>
      <c r="J489" t="inlineStr"/>
      <c r="K489" t="inlineStr"/>
      <c r="L489" t="inlineStr"/>
      <c r="M489" t="inlineStr"/>
      <c r="N489" t="n">
        <v>8773</v>
      </c>
    </row>
    <row r="490">
      <c r="A490" s="1" t="n">
        <v>488</v>
      </c>
      <c r="B490" t="n">
        <v>60</v>
      </c>
      <c r="C490" t="inlineStr">
        <is>
          <t>Galeras</t>
        </is>
      </c>
      <c r="D490" t="inlineStr">
        <is>
          <t>GAL_60</t>
        </is>
      </c>
      <c r="E490" t="n">
        <v>1802</v>
      </c>
      <c r="F490" t="inlineStr">
        <is>
          <t>Moraceae</t>
        </is>
      </c>
      <c r="G490" t="inlineStr">
        <is>
          <t>Helicostylis</t>
        </is>
      </c>
      <c r="H490" t="inlineStr">
        <is>
          <t>tovariensis</t>
        </is>
      </c>
      <c r="I490" s="2" t="n">
        <v>39176</v>
      </c>
      <c r="J490" t="n">
        <v>2523</v>
      </c>
      <c r="K490" t="inlineStr"/>
      <c r="L490" t="inlineStr"/>
      <c r="M490" t="inlineStr"/>
      <c r="N490" t="n">
        <v>8774</v>
      </c>
    </row>
    <row r="491">
      <c r="A491" s="1" t="n">
        <v>489</v>
      </c>
      <c r="B491" t="n">
        <v>60</v>
      </c>
      <c r="C491" t="inlineStr">
        <is>
          <t>Galeras</t>
        </is>
      </c>
      <c r="D491" t="inlineStr">
        <is>
          <t>GAL_60</t>
        </is>
      </c>
      <c r="E491" t="n">
        <v>1803</v>
      </c>
      <c r="F491" t="inlineStr">
        <is>
          <t>Rubiaceae</t>
        </is>
      </c>
      <c r="G491" t="inlineStr">
        <is>
          <t>Ladenbergia</t>
        </is>
      </c>
      <c r="H491" t="inlineStr">
        <is>
          <t>acutifolia</t>
        </is>
      </c>
      <c r="I491" s="2" t="n">
        <v>39176</v>
      </c>
      <c r="J491" t="n">
        <v>3611</v>
      </c>
      <c r="K491" t="inlineStr"/>
      <c r="L491" t="inlineStr">
        <is>
          <t>Ο</t>
        </is>
      </c>
      <c r="M491" t="inlineStr">
        <is>
          <t>Ø</t>
        </is>
      </c>
      <c r="N491" t="n">
        <v>8776</v>
      </c>
    </row>
    <row r="492">
      <c r="A492" s="1" t="n">
        <v>490</v>
      </c>
      <c r="B492" t="n">
        <v>60</v>
      </c>
      <c r="C492" t="inlineStr">
        <is>
          <t>Galeras</t>
        </is>
      </c>
      <c r="D492" t="inlineStr">
        <is>
          <t>GAL_60</t>
        </is>
      </c>
      <c r="E492" t="n">
        <v>1804</v>
      </c>
      <c r="F492" t="inlineStr">
        <is>
          <t>Lauraceae</t>
        </is>
      </c>
      <c r="G492" t="inlineStr">
        <is>
          <t>Ocotea</t>
        </is>
      </c>
      <c r="H492" t="inlineStr"/>
      <c r="I492" s="2" t="n">
        <v>39176</v>
      </c>
      <c r="J492" t="inlineStr">
        <is>
          <t>3659 und 2524</t>
        </is>
      </c>
      <c r="K492" t="inlineStr"/>
      <c r="L492" t="inlineStr">
        <is>
          <t>Ο</t>
        </is>
      </c>
      <c r="M492" t="inlineStr">
        <is>
          <t>Ø</t>
        </is>
      </c>
      <c r="N492" t="n">
        <v>8777</v>
      </c>
    </row>
    <row r="493">
      <c r="A493" s="1" t="n">
        <v>491</v>
      </c>
      <c r="B493" t="n">
        <v>60</v>
      </c>
      <c r="C493" t="inlineStr">
        <is>
          <t>Galeras</t>
        </is>
      </c>
      <c r="D493" t="inlineStr">
        <is>
          <t>GAL_60</t>
        </is>
      </c>
      <c r="E493" t="n">
        <v>1805</v>
      </c>
      <c r="F493" t="inlineStr">
        <is>
          <t>Clusiaceae</t>
        </is>
      </c>
      <c r="G493" t="inlineStr">
        <is>
          <t>Garcinia</t>
        </is>
      </c>
      <c r="H493" t="inlineStr">
        <is>
          <t>madruno</t>
        </is>
      </c>
      <c r="I493" s="2" t="n">
        <v>39176</v>
      </c>
      <c r="J493" t="n">
        <v>3565</v>
      </c>
      <c r="K493" t="inlineStr"/>
      <c r="L493" t="inlineStr"/>
      <c r="M493" t="inlineStr"/>
      <c r="N493" t="n">
        <v>8772</v>
      </c>
    </row>
    <row r="494">
      <c r="A494" s="1" t="n">
        <v>492</v>
      </c>
      <c r="B494" t="n">
        <v>60</v>
      </c>
      <c r="C494" t="inlineStr">
        <is>
          <t>Galeras</t>
        </is>
      </c>
      <c r="D494" t="inlineStr">
        <is>
          <t>GAL_60</t>
        </is>
      </c>
      <c r="E494" t="n">
        <v>1806</v>
      </c>
      <c r="F494" t="inlineStr">
        <is>
          <t>Calophyllaceae</t>
        </is>
      </c>
      <c r="G494" t="inlineStr">
        <is>
          <t>Marila</t>
        </is>
      </c>
      <c r="H494" t="inlineStr"/>
      <c r="I494" s="2" t="n">
        <v>39176</v>
      </c>
      <c r="J494" t="inlineStr">
        <is>
          <t>3662, =2512</t>
        </is>
      </c>
      <c r="K494" t="inlineStr"/>
      <c r="L494" t="inlineStr">
        <is>
          <t>Ο</t>
        </is>
      </c>
      <c r="M494" t="inlineStr">
        <is>
          <t>Ø</t>
        </is>
      </c>
      <c r="N494" t="n">
        <v>8743</v>
      </c>
    </row>
    <row r="495">
      <c r="A495" s="1" t="n">
        <v>493</v>
      </c>
      <c r="B495" t="n">
        <v>60</v>
      </c>
      <c r="C495" t="inlineStr">
        <is>
          <t>Galeras</t>
        </is>
      </c>
      <c r="D495" t="inlineStr">
        <is>
          <t>GAL_60</t>
        </is>
      </c>
      <c r="E495" t="n">
        <v>1807</v>
      </c>
      <c r="F495" t="inlineStr">
        <is>
          <t>Euphorbiaceae</t>
        </is>
      </c>
      <c r="G495" t="inlineStr">
        <is>
          <t>Chaetocarpus</t>
        </is>
      </c>
      <c r="H495" t="inlineStr"/>
      <c r="I495" s="2" t="n">
        <v>39176</v>
      </c>
      <c r="J495" t="n">
        <v>2525</v>
      </c>
      <c r="K495" t="n">
        <v>1</v>
      </c>
      <c r="L495" t="inlineStr">
        <is>
          <t>Ο</t>
        </is>
      </c>
      <c r="M495" t="inlineStr">
        <is>
          <t>Ø</t>
        </is>
      </c>
      <c r="N495" t="n">
        <v>8769</v>
      </c>
    </row>
    <row r="496">
      <c r="A496" s="1" t="n">
        <v>494</v>
      </c>
      <c r="B496" t="n">
        <v>60</v>
      </c>
      <c r="C496" t="inlineStr">
        <is>
          <t>Galeras</t>
        </is>
      </c>
      <c r="D496" t="inlineStr">
        <is>
          <t>GAL_60</t>
        </is>
      </c>
      <c r="E496" t="n">
        <v>1808</v>
      </c>
      <c r="F496" t="inlineStr">
        <is>
          <t>Rutaceae</t>
        </is>
      </c>
      <c r="G496" t="inlineStr">
        <is>
          <t>Zanthoxylum</t>
        </is>
      </c>
      <c r="H496" t="inlineStr">
        <is>
          <t>melanostictum</t>
        </is>
      </c>
      <c r="I496" s="2" t="n">
        <v>39176</v>
      </c>
      <c r="J496" t="inlineStr"/>
      <c r="K496" t="inlineStr"/>
      <c r="L496" t="inlineStr"/>
      <c r="M496" t="inlineStr"/>
      <c r="N496" t="inlineStr"/>
    </row>
    <row r="497">
      <c r="A497" s="1" t="n">
        <v>495</v>
      </c>
      <c r="B497" t="n">
        <v>60</v>
      </c>
      <c r="C497" t="inlineStr">
        <is>
          <t>Galeras</t>
        </is>
      </c>
      <c r="D497" t="inlineStr">
        <is>
          <t>GAL_60</t>
        </is>
      </c>
      <c r="E497" t="n">
        <v>1809</v>
      </c>
      <c r="F497" t="inlineStr">
        <is>
          <t>Symplocaceae</t>
        </is>
      </c>
      <c r="G497" t="inlineStr">
        <is>
          <t>Symplocos</t>
        </is>
      </c>
      <c r="H497" t="inlineStr"/>
      <c r="I497" s="2" t="n">
        <v>39176</v>
      </c>
      <c r="J497" t="n">
        <v>3656</v>
      </c>
      <c r="K497" t="n">
        <v>1</v>
      </c>
      <c r="L497" t="inlineStr"/>
      <c r="M497" t="inlineStr"/>
      <c r="N497" t="inlineStr"/>
    </row>
    <row r="498">
      <c r="A498" s="1" t="n">
        <v>496</v>
      </c>
      <c r="B498" t="n">
        <v>60</v>
      </c>
      <c r="C498" t="inlineStr">
        <is>
          <t>Galeras</t>
        </is>
      </c>
      <c r="D498" t="inlineStr">
        <is>
          <t>GAL_60</t>
        </is>
      </c>
      <c r="E498" t="n">
        <v>1810</v>
      </c>
      <c r="F498" t="inlineStr">
        <is>
          <t>Lauraceae</t>
        </is>
      </c>
      <c r="G498" t="inlineStr">
        <is>
          <t>Ocotea</t>
        </is>
      </c>
      <c r="H498" t="inlineStr"/>
      <c r="I498" s="2" t="n">
        <v>39176</v>
      </c>
      <c r="J498">
        <f>3620,2526</f>
        <v/>
      </c>
      <c r="K498" t="inlineStr"/>
      <c r="L498" t="inlineStr">
        <is>
          <t>Ο</t>
        </is>
      </c>
      <c r="M498" t="inlineStr">
        <is>
          <t>Ø</t>
        </is>
      </c>
      <c r="N498" t="n">
        <v>8770</v>
      </c>
    </row>
    <row r="499">
      <c r="A499" s="1" t="n">
        <v>497</v>
      </c>
      <c r="B499" t="n">
        <v>60</v>
      </c>
      <c r="C499" t="inlineStr">
        <is>
          <t>Galeras</t>
        </is>
      </c>
      <c r="D499" t="inlineStr">
        <is>
          <t>GAL_60</t>
        </is>
      </c>
      <c r="E499" t="n">
        <v>1811</v>
      </c>
      <c r="F499" t="inlineStr">
        <is>
          <t>Rosaceae</t>
        </is>
      </c>
      <c r="G499" t="inlineStr">
        <is>
          <t>Prunus</t>
        </is>
      </c>
      <c r="H499" t="inlineStr">
        <is>
          <t>opaca</t>
        </is>
      </c>
      <c r="I499" s="2" t="n">
        <v>39176</v>
      </c>
      <c r="J499" t="n">
        <v>3629</v>
      </c>
      <c r="K499" t="inlineStr"/>
      <c r="L499" t="inlineStr"/>
      <c r="M499" t="inlineStr"/>
      <c r="N499" t="inlineStr"/>
    </row>
    <row r="500">
      <c r="A500" s="1" t="n">
        <v>498</v>
      </c>
      <c r="B500" t="n">
        <v>60</v>
      </c>
      <c r="C500" t="inlineStr">
        <is>
          <t>Galeras</t>
        </is>
      </c>
      <c r="D500" t="inlineStr">
        <is>
          <t>GAL_60</t>
        </is>
      </c>
      <c r="E500" t="n">
        <v>1812</v>
      </c>
      <c r="F500" t="inlineStr">
        <is>
          <t>Myrtaceae</t>
        </is>
      </c>
      <c r="G500" t="inlineStr"/>
      <c r="H500" t="inlineStr"/>
      <c r="I500" s="2" t="n">
        <v>39176</v>
      </c>
      <c r="J500" t="inlineStr"/>
      <c r="K500" t="n">
        <v>1</v>
      </c>
      <c r="L500" t="inlineStr">
        <is>
          <t>Ο</t>
        </is>
      </c>
      <c r="M500" t="inlineStr">
        <is>
          <t>Ø</t>
        </is>
      </c>
      <c r="N500" t="n">
        <v>8766</v>
      </c>
    </row>
    <row r="501">
      <c r="A501" s="1" t="n">
        <v>499</v>
      </c>
      <c r="B501" t="n">
        <v>60</v>
      </c>
      <c r="C501" t="inlineStr">
        <is>
          <t>Galeras</t>
        </is>
      </c>
      <c r="D501" t="inlineStr">
        <is>
          <t>GAL_60</t>
        </is>
      </c>
      <c r="E501" t="n">
        <v>1813</v>
      </c>
      <c r="F501" t="inlineStr">
        <is>
          <t>Lauraceae</t>
        </is>
      </c>
      <c r="G501" t="inlineStr">
        <is>
          <t>Ocotea</t>
        </is>
      </c>
      <c r="H501" t="inlineStr"/>
      <c r="I501" s="2" t="n">
        <v>39176</v>
      </c>
      <c r="J501" t="n">
        <v>3657</v>
      </c>
      <c r="K501" t="inlineStr"/>
      <c r="L501" t="inlineStr">
        <is>
          <t>Ο</t>
        </is>
      </c>
      <c r="M501" t="inlineStr">
        <is>
          <t>Ø</t>
        </is>
      </c>
      <c r="N501" t="n">
        <v>8763</v>
      </c>
    </row>
    <row r="502">
      <c r="A502" s="1" t="n">
        <v>500</v>
      </c>
      <c r="B502" t="n">
        <v>60</v>
      </c>
      <c r="C502" t="inlineStr">
        <is>
          <t>Galeras</t>
        </is>
      </c>
      <c r="D502" t="inlineStr">
        <is>
          <t>GAL_60</t>
        </is>
      </c>
      <c r="E502" t="n">
        <v>1814</v>
      </c>
      <c r="F502" t="inlineStr">
        <is>
          <t>Rosaceae</t>
        </is>
      </c>
      <c r="G502" t="inlineStr">
        <is>
          <t>Prunus</t>
        </is>
      </c>
      <c r="H502" t="inlineStr">
        <is>
          <t>opaca</t>
        </is>
      </c>
      <c r="I502" s="2" t="n">
        <v>39176</v>
      </c>
      <c r="J502" t="n">
        <v>3629</v>
      </c>
      <c r="K502" t="inlineStr"/>
      <c r="L502" t="inlineStr"/>
      <c r="M502" t="inlineStr"/>
      <c r="N502" t="n">
        <v>8764</v>
      </c>
    </row>
    <row r="503">
      <c r="A503" s="1" t="n">
        <v>501</v>
      </c>
      <c r="B503" t="n">
        <v>60</v>
      </c>
      <c r="C503" t="inlineStr">
        <is>
          <t>Galeras</t>
        </is>
      </c>
      <c r="D503" t="inlineStr">
        <is>
          <t>GAL_60</t>
        </is>
      </c>
      <c r="E503" t="inlineStr"/>
      <c r="F503" t="inlineStr">
        <is>
          <t>Rosaceae</t>
        </is>
      </c>
      <c r="G503" t="inlineStr">
        <is>
          <t>Prunus</t>
        </is>
      </c>
      <c r="H503" t="inlineStr">
        <is>
          <t>opaca</t>
        </is>
      </c>
      <c r="I503" t="inlineStr"/>
      <c r="J503" t="inlineStr"/>
      <c r="K503" t="inlineStr"/>
      <c r="L503" t="inlineStr"/>
      <c r="M503" t="inlineStr"/>
      <c r="N503" t="n">
        <v>8765</v>
      </c>
    </row>
    <row r="504">
      <c r="A504" s="1" t="n">
        <v>502</v>
      </c>
      <c r="B504" t="n">
        <v>60</v>
      </c>
      <c r="C504" t="inlineStr">
        <is>
          <t>Galeras</t>
        </is>
      </c>
      <c r="D504" t="inlineStr">
        <is>
          <t>GAL_60</t>
        </is>
      </c>
      <c r="E504" t="n">
        <v>1815</v>
      </c>
      <c r="F504" t="inlineStr">
        <is>
          <t>Myrtaceae</t>
        </is>
      </c>
      <c r="G504" t="inlineStr"/>
      <c r="H504" t="inlineStr"/>
      <c r="I504" s="2" t="n">
        <v>39176</v>
      </c>
      <c r="J504" t="inlineStr"/>
      <c r="K504" t="inlineStr"/>
      <c r="L504" t="inlineStr">
        <is>
          <t>Ο</t>
        </is>
      </c>
      <c r="M504" t="inlineStr">
        <is>
          <t>Ø</t>
        </is>
      </c>
      <c r="N504" t="n">
        <v>8760</v>
      </c>
    </row>
    <row r="505">
      <c r="A505" s="1" t="n">
        <v>503</v>
      </c>
      <c r="B505" t="n">
        <v>60</v>
      </c>
      <c r="C505" t="inlineStr">
        <is>
          <t>Galeras</t>
        </is>
      </c>
      <c r="D505" t="inlineStr">
        <is>
          <t>GAL_60</t>
        </is>
      </c>
      <c r="E505" t="n">
        <v>1816</v>
      </c>
      <c r="F505" t="inlineStr">
        <is>
          <t>Phyllanthaceae</t>
        </is>
      </c>
      <c r="G505" t="inlineStr">
        <is>
          <t>Hieronyma</t>
        </is>
      </c>
      <c r="H505" t="inlineStr">
        <is>
          <t>oblonga</t>
        </is>
      </c>
      <c r="I505" s="2" t="n">
        <v>39176</v>
      </c>
      <c r="J505" t="inlineStr"/>
      <c r="K505" t="n">
        <v>1</v>
      </c>
      <c r="L505" t="inlineStr"/>
      <c r="M505" t="inlineStr"/>
      <c r="N505" t="n">
        <v>8761</v>
      </c>
    </row>
    <row r="506">
      <c r="A506" s="1" t="n">
        <v>504</v>
      </c>
      <c r="B506" t="n">
        <v>60</v>
      </c>
      <c r="C506" t="inlineStr">
        <is>
          <t>Galeras</t>
        </is>
      </c>
      <c r="D506" t="inlineStr">
        <is>
          <t>GAL_60</t>
        </is>
      </c>
      <c r="E506" t="n">
        <v>1817</v>
      </c>
      <c r="F506" t="inlineStr">
        <is>
          <t>Myrtaceae</t>
        </is>
      </c>
      <c r="G506" t="inlineStr">
        <is>
          <t>Siphoneugena</t>
        </is>
      </c>
      <c r="H506" t="inlineStr">
        <is>
          <t>densiflora</t>
        </is>
      </c>
      <c r="I506" s="2" t="n">
        <v>39176</v>
      </c>
      <c r="J506" t="n">
        <v>3641</v>
      </c>
      <c r="K506" t="inlineStr"/>
      <c r="L506" t="inlineStr"/>
      <c r="M506" t="inlineStr"/>
      <c r="N506" t="n">
        <v>8759</v>
      </c>
    </row>
    <row r="507">
      <c r="A507" s="1" t="n">
        <v>505</v>
      </c>
      <c r="B507" t="n">
        <v>60</v>
      </c>
      <c r="C507" t="inlineStr">
        <is>
          <t>Galeras</t>
        </is>
      </c>
      <c r="D507" t="inlineStr">
        <is>
          <t>GAL_60</t>
        </is>
      </c>
      <c r="E507" t="n">
        <v>1818</v>
      </c>
      <c r="F507" t="inlineStr">
        <is>
          <t>Fabaceae</t>
        </is>
      </c>
      <c r="G507" t="inlineStr">
        <is>
          <t>Diplotropis</t>
        </is>
      </c>
      <c r="H507" t="inlineStr">
        <is>
          <t>aff purpurea</t>
        </is>
      </c>
      <c r="I507" s="2" t="n">
        <v>39176</v>
      </c>
      <c r="J507" t="inlineStr"/>
      <c r="K507" t="inlineStr"/>
      <c r="L507" t="inlineStr"/>
      <c r="M507" t="inlineStr"/>
      <c r="N507" t="n">
        <v>8755</v>
      </c>
    </row>
    <row r="508">
      <c r="A508" s="1" t="n">
        <v>506</v>
      </c>
      <c r="B508" t="n">
        <v>60</v>
      </c>
      <c r="C508" t="inlineStr">
        <is>
          <t>Galeras</t>
        </is>
      </c>
      <c r="D508" t="inlineStr">
        <is>
          <t>GAL_60</t>
        </is>
      </c>
      <c r="E508" t="n">
        <v>1819</v>
      </c>
      <c r="F508" t="inlineStr">
        <is>
          <t>Sapindaceae</t>
        </is>
      </c>
      <c r="G508" t="inlineStr">
        <is>
          <t>Matayba</t>
        </is>
      </c>
      <c r="H508" t="inlineStr"/>
      <c r="I508" s="2" t="n">
        <v>39176</v>
      </c>
      <c r="J508" t="inlineStr"/>
      <c r="K508" t="inlineStr"/>
      <c r="L508" t="inlineStr"/>
      <c r="M508" t="inlineStr"/>
      <c r="N508" t="n">
        <v>8757</v>
      </c>
    </row>
    <row r="509">
      <c r="A509" s="1" t="n">
        <v>507</v>
      </c>
      <c r="B509" t="n">
        <v>60</v>
      </c>
      <c r="C509" t="inlineStr">
        <is>
          <t>Galeras</t>
        </is>
      </c>
      <c r="D509" t="inlineStr">
        <is>
          <t>GAL_60</t>
        </is>
      </c>
      <c r="E509" t="n">
        <v>1820</v>
      </c>
      <c r="F509" t="inlineStr">
        <is>
          <t>Clusiaceae</t>
        </is>
      </c>
      <c r="G509" t="inlineStr">
        <is>
          <t>Tovomita</t>
        </is>
      </c>
      <c r="H509" t="inlineStr">
        <is>
          <t>weddeliana</t>
        </is>
      </c>
      <c r="I509" s="2" t="n">
        <v>39176</v>
      </c>
      <c r="J509" t="inlineStr"/>
      <c r="K509" t="inlineStr"/>
      <c r="L509" t="inlineStr"/>
      <c r="M509" t="inlineStr"/>
      <c r="N509" t="n">
        <v>8758</v>
      </c>
    </row>
    <row r="510">
      <c r="A510" s="1" t="n">
        <v>508</v>
      </c>
      <c r="B510" t="n">
        <v>60</v>
      </c>
      <c r="C510" t="inlineStr">
        <is>
          <t>Galeras</t>
        </is>
      </c>
      <c r="D510" t="inlineStr">
        <is>
          <t>GAL_60</t>
        </is>
      </c>
      <c r="E510" t="n">
        <v>1821</v>
      </c>
      <c r="F510" t="inlineStr">
        <is>
          <t>Clusiaceae</t>
        </is>
      </c>
      <c r="G510" t="inlineStr">
        <is>
          <t>Garcinia</t>
        </is>
      </c>
      <c r="H510" t="inlineStr">
        <is>
          <t>madruno</t>
        </is>
      </c>
      <c r="I510" s="2" t="n">
        <v>39176</v>
      </c>
      <c r="J510" t="n">
        <v>3565</v>
      </c>
      <c r="K510" t="inlineStr"/>
      <c r="L510" t="inlineStr"/>
      <c r="M510" t="inlineStr"/>
      <c r="N510" t="n">
        <v>8756</v>
      </c>
    </row>
    <row r="511">
      <c r="A511" s="1" t="n">
        <v>509</v>
      </c>
      <c r="B511" t="n">
        <v>60</v>
      </c>
      <c r="C511" t="inlineStr">
        <is>
          <t>Galeras</t>
        </is>
      </c>
      <c r="D511" t="inlineStr">
        <is>
          <t>GAL_60</t>
        </is>
      </c>
      <c r="E511" t="n">
        <v>1822</v>
      </c>
      <c r="F511" t="inlineStr">
        <is>
          <t>Myristicaceae</t>
        </is>
      </c>
      <c r="G511" t="inlineStr">
        <is>
          <t>Virola</t>
        </is>
      </c>
      <c r="H511" t="inlineStr">
        <is>
          <t>obovata</t>
        </is>
      </c>
      <c r="I511" s="2" t="n">
        <v>39176</v>
      </c>
      <c r="J511" t="n">
        <v>3578</v>
      </c>
      <c r="K511" t="inlineStr"/>
      <c r="L511" t="inlineStr"/>
      <c r="M511" t="inlineStr"/>
      <c r="N511" t="n">
        <v>8768</v>
      </c>
    </row>
    <row r="512">
      <c r="A512" s="1" t="n">
        <v>510</v>
      </c>
      <c r="B512" t="n">
        <v>60</v>
      </c>
      <c r="C512" t="inlineStr">
        <is>
          <t>Galeras</t>
        </is>
      </c>
      <c r="D512" t="inlineStr">
        <is>
          <t>GAL_60</t>
        </is>
      </c>
      <c r="E512" t="n">
        <v>1823</v>
      </c>
      <c r="F512" t="inlineStr">
        <is>
          <t>Lecythidaceae</t>
        </is>
      </c>
      <c r="G512" t="inlineStr">
        <is>
          <t>Eschweilera</t>
        </is>
      </c>
      <c r="H512" t="inlineStr"/>
      <c r="I512" s="2" t="n">
        <v>39176</v>
      </c>
      <c r="J512" t="inlineStr">
        <is>
          <t>5010, same as 3670</t>
        </is>
      </c>
      <c r="K512" t="inlineStr"/>
      <c r="L512" t="inlineStr">
        <is>
          <t>Ο</t>
        </is>
      </c>
      <c r="M512" t="inlineStr">
        <is>
          <t>Ø</t>
        </is>
      </c>
      <c r="N512" t="n">
        <v>8767</v>
      </c>
    </row>
    <row r="513">
      <c r="A513" s="1" t="n">
        <v>511</v>
      </c>
      <c r="B513" t="n">
        <v>60</v>
      </c>
      <c r="C513" t="inlineStr">
        <is>
          <t>Galeras</t>
        </is>
      </c>
      <c r="D513" t="inlineStr">
        <is>
          <t>GAL_60</t>
        </is>
      </c>
      <c r="E513" t="n">
        <v>1824</v>
      </c>
      <c r="F513" t="inlineStr">
        <is>
          <t>Myristicaceae</t>
        </is>
      </c>
      <c r="G513" t="inlineStr">
        <is>
          <t>Virola</t>
        </is>
      </c>
      <c r="H513" t="inlineStr">
        <is>
          <t>obovata</t>
        </is>
      </c>
      <c r="I513" s="2" t="n">
        <v>39176</v>
      </c>
      <c r="J513" t="n">
        <v>3578</v>
      </c>
      <c r="K513" t="inlineStr"/>
      <c r="L513" t="inlineStr"/>
      <c r="M513" t="inlineStr"/>
      <c r="N513" t="n">
        <v>8749</v>
      </c>
    </row>
    <row r="514">
      <c r="A514" s="1" t="n">
        <v>512</v>
      </c>
      <c r="B514" t="n">
        <v>60</v>
      </c>
      <c r="C514" t="inlineStr">
        <is>
          <t>Galeras</t>
        </is>
      </c>
      <c r="D514" t="inlineStr">
        <is>
          <t>GAL_60</t>
        </is>
      </c>
      <c r="E514" t="n">
        <v>1825</v>
      </c>
      <c r="F514" t="inlineStr">
        <is>
          <t>indet</t>
        </is>
      </c>
      <c r="G514" t="inlineStr"/>
      <c r="H514" t="inlineStr"/>
      <c r="I514" s="2" t="n">
        <v>39176</v>
      </c>
      <c r="J514" t="inlineStr"/>
      <c r="K514" t="inlineStr"/>
      <c r="L514" t="inlineStr"/>
      <c r="M514" t="inlineStr"/>
      <c r="N514" t="inlineStr"/>
    </row>
    <row r="515">
      <c r="A515" s="1" t="n">
        <v>513</v>
      </c>
      <c r="B515" t="n">
        <v>60</v>
      </c>
      <c r="C515" t="inlineStr">
        <is>
          <t>Galeras</t>
        </is>
      </c>
      <c r="D515" t="inlineStr">
        <is>
          <t>GAL_60</t>
        </is>
      </c>
      <c r="E515" t="n">
        <v>1826</v>
      </c>
      <c r="F515" t="inlineStr">
        <is>
          <t>Euphorbiaceae</t>
        </is>
      </c>
      <c r="G515" t="inlineStr">
        <is>
          <t>Chaetocarpus</t>
        </is>
      </c>
      <c r="H515" t="inlineStr"/>
      <c r="I515" s="2" t="n">
        <v>39176</v>
      </c>
      <c r="J515" t="inlineStr"/>
      <c r="K515" t="inlineStr"/>
      <c r="L515" t="inlineStr"/>
      <c r="M515" t="inlineStr"/>
      <c r="N515" t="n">
        <v>8748</v>
      </c>
    </row>
    <row r="516">
      <c r="A516" s="1" t="n">
        <v>514</v>
      </c>
      <c r="B516" t="n">
        <v>60</v>
      </c>
      <c r="C516" t="inlineStr">
        <is>
          <t>Galeras</t>
        </is>
      </c>
      <c r="D516" t="inlineStr">
        <is>
          <t>GAL_60</t>
        </is>
      </c>
      <c r="E516" t="n">
        <v>1827</v>
      </c>
      <c r="F516" t="inlineStr">
        <is>
          <t>Fabaceae</t>
        </is>
      </c>
      <c r="G516" t="inlineStr">
        <is>
          <t>Dussia</t>
        </is>
      </c>
      <c r="H516" t="inlineStr">
        <is>
          <t>tessmannii</t>
        </is>
      </c>
      <c r="I516" s="2" t="n">
        <v>39176</v>
      </c>
      <c r="J516" t="inlineStr"/>
      <c r="K516" t="inlineStr"/>
      <c r="L516" t="inlineStr"/>
      <c r="M516" t="inlineStr"/>
      <c r="N516" t="n">
        <v>8747</v>
      </c>
    </row>
    <row r="517">
      <c r="A517" s="1" t="n">
        <v>515</v>
      </c>
      <c r="B517" t="n">
        <v>60</v>
      </c>
      <c r="C517" t="inlineStr">
        <is>
          <t>Galeras</t>
        </is>
      </c>
      <c r="D517" t="inlineStr">
        <is>
          <t>GAL_60</t>
        </is>
      </c>
      <c r="E517" t="n">
        <v>1828</v>
      </c>
      <c r="F517" t="inlineStr">
        <is>
          <t>Phyllanthaceae</t>
        </is>
      </c>
      <c r="G517" t="inlineStr">
        <is>
          <t>Hieronyma</t>
        </is>
      </c>
      <c r="H517" t="inlineStr">
        <is>
          <t>oblonga</t>
        </is>
      </c>
      <c r="I517" s="2" t="n">
        <v>39176</v>
      </c>
      <c r="J517" t="inlineStr"/>
      <c r="K517" t="inlineStr"/>
      <c r="L517" t="inlineStr"/>
      <c r="M517" t="inlineStr"/>
      <c r="N517" t="n">
        <v>8754</v>
      </c>
    </row>
    <row r="518">
      <c r="A518" s="1" t="n">
        <v>516</v>
      </c>
      <c r="B518" t="n">
        <v>60</v>
      </c>
      <c r="C518" t="inlineStr">
        <is>
          <t>Galeras</t>
        </is>
      </c>
      <c r="D518" t="inlineStr">
        <is>
          <t>GAL_60</t>
        </is>
      </c>
      <c r="E518" t="n">
        <v>1830</v>
      </c>
      <c r="F518" t="inlineStr">
        <is>
          <t>Lauraceae</t>
        </is>
      </c>
      <c r="G518" t="inlineStr">
        <is>
          <t>Ocotea</t>
        </is>
      </c>
      <c r="H518" t="inlineStr">
        <is>
          <t>subrutilans</t>
        </is>
      </c>
      <c r="I518" s="2" t="n">
        <v>39176</v>
      </c>
      <c r="J518" t="n">
        <v>3660</v>
      </c>
      <c r="K518" t="inlineStr"/>
      <c r="L518" t="inlineStr">
        <is>
          <t>Ο</t>
        </is>
      </c>
      <c r="M518" t="inlineStr">
        <is>
          <t>Ø</t>
        </is>
      </c>
      <c r="N518" t="n">
        <v>8752</v>
      </c>
    </row>
    <row r="519">
      <c r="A519" s="1" t="n">
        <v>517</v>
      </c>
      <c r="B519" t="n">
        <v>60</v>
      </c>
      <c r="C519" t="inlineStr">
        <is>
          <t>Galeras</t>
        </is>
      </c>
      <c r="D519" t="inlineStr">
        <is>
          <t>GAL_60</t>
        </is>
      </c>
      <c r="E519" t="n">
        <v>1831</v>
      </c>
      <c r="F519" t="inlineStr">
        <is>
          <t>Lecythidaceae</t>
        </is>
      </c>
      <c r="G519" t="inlineStr">
        <is>
          <t>Eschweilera</t>
        </is>
      </c>
      <c r="H519" t="inlineStr"/>
      <c r="I519" s="2" t="n">
        <v>39176</v>
      </c>
      <c r="J519" t="n">
        <v>3670</v>
      </c>
      <c r="K519" t="n">
        <v>1</v>
      </c>
      <c r="L519" t="inlineStr"/>
      <c r="M519" t="inlineStr"/>
      <c r="N519" t="n">
        <v>8751</v>
      </c>
    </row>
    <row r="520">
      <c r="A520" s="1" t="n">
        <v>518</v>
      </c>
      <c r="B520" t="n">
        <v>60</v>
      </c>
      <c r="C520" t="inlineStr">
        <is>
          <t>Galeras</t>
        </is>
      </c>
      <c r="D520" t="inlineStr">
        <is>
          <t>GAL_60</t>
        </is>
      </c>
      <c r="E520" t="n">
        <v>1832</v>
      </c>
      <c r="F520" t="inlineStr">
        <is>
          <t>Sapindaceae</t>
        </is>
      </c>
      <c r="G520" t="inlineStr">
        <is>
          <t>Matayba</t>
        </is>
      </c>
      <c r="H520" t="inlineStr"/>
      <c r="I520" s="2" t="n">
        <v>39176</v>
      </c>
      <c r="J520" t="inlineStr">
        <is>
          <t>same as 3588</t>
        </is>
      </c>
      <c r="K520" t="inlineStr"/>
      <c r="L520" t="inlineStr"/>
      <c r="M520" t="inlineStr"/>
      <c r="N520" t="inlineStr"/>
    </row>
    <row r="521">
      <c r="A521" s="1" t="n">
        <v>519</v>
      </c>
      <c r="B521" t="n">
        <v>60</v>
      </c>
      <c r="C521" t="inlineStr">
        <is>
          <t>Galeras</t>
        </is>
      </c>
      <c r="D521" t="inlineStr">
        <is>
          <t>GAL_60</t>
        </is>
      </c>
      <c r="E521" t="n">
        <v>1833</v>
      </c>
      <c r="F521" t="inlineStr"/>
      <c r="G521" t="inlineStr"/>
      <c r="H521" t="inlineStr"/>
      <c r="I521" s="2" t="n">
        <v>39176</v>
      </c>
      <c r="J521" t="n">
        <v>3658</v>
      </c>
      <c r="K521" t="inlineStr"/>
      <c r="L521" t="inlineStr">
        <is>
          <t>Ο</t>
        </is>
      </c>
      <c r="M521" t="inlineStr">
        <is>
          <t>Ø</t>
        </is>
      </c>
      <c r="N521" t="n">
        <v>8744</v>
      </c>
    </row>
    <row r="522">
      <c r="A522" s="1" t="n">
        <v>520</v>
      </c>
      <c r="B522" t="n">
        <v>60</v>
      </c>
      <c r="C522" t="inlineStr">
        <is>
          <t>Galeras</t>
        </is>
      </c>
      <c r="D522" t="inlineStr">
        <is>
          <t>GAL_60</t>
        </is>
      </c>
      <c r="E522" t="n">
        <v>1834</v>
      </c>
      <c r="F522" t="inlineStr">
        <is>
          <t>Sapotaceae</t>
        </is>
      </c>
      <c r="G522" t="inlineStr"/>
      <c r="H522" t="inlineStr"/>
      <c r="I522" s="2" t="n">
        <v>39176</v>
      </c>
      <c r="J522" t="inlineStr">
        <is>
          <t>same as 3600</t>
        </is>
      </c>
      <c r="K522" t="inlineStr"/>
      <c r="L522" t="inlineStr"/>
      <c r="M522" t="inlineStr"/>
      <c r="N522" t="n">
        <v>8745</v>
      </c>
    </row>
    <row r="523">
      <c r="A523" s="1" t="n">
        <v>521</v>
      </c>
      <c r="B523" t="n">
        <v>60</v>
      </c>
      <c r="C523" t="inlineStr">
        <is>
          <t>Galeras</t>
        </is>
      </c>
      <c r="D523" t="inlineStr">
        <is>
          <t>GAL_60</t>
        </is>
      </c>
      <c r="E523" t="n">
        <v>1835</v>
      </c>
      <c r="F523" t="inlineStr">
        <is>
          <t>Myrtaceae</t>
        </is>
      </c>
      <c r="G523" t="inlineStr">
        <is>
          <t>Siphoneugena</t>
        </is>
      </c>
      <c r="H523" t="inlineStr">
        <is>
          <t>densiflora</t>
        </is>
      </c>
      <c r="I523" s="2" t="n">
        <v>39176</v>
      </c>
      <c r="J523" t="inlineStr">
        <is>
          <t>same as 3641</t>
        </is>
      </c>
      <c r="K523" t="inlineStr"/>
      <c r="L523" t="inlineStr"/>
      <c r="M523" t="inlineStr"/>
      <c r="N523" t="n">
        <v>8746</v>
      </c>
    </row>
    <row r="524">
      <c r="A524" s="1" t="n">
        <v>522</v>
      </c>
      <c r="B524" t="n">
        <v>60</v>
      </c>
      <c r="C524" t="inlineStr">
        <is>
          <t>Galeras</t>
        </is>
      </c>
      <c r="D524" t="inlineStr">
        <is>
          <t>GAL_60</t>
        </is>
      </c>
      <c r="E524" t="n">
        <v>1836</v>
      </c>
      <c r="F524" t="inlineStr">
        <is>
          <t>Fabaceae</t>
        </is>
      </c>
      <c r="G524" t="inlineStr">
        <is>
          <t>Inga</t>
        </is>
      </c>
      <c r="H524" t="inlineStr">
        <is>
          <t>aff killipiana</t>
        </is>
      </c>
      <c r="I524" s="2" t="n">
        <v>39176</v>
      </c>
      <c r="J524" t="inlineStr">
        <is>
          <t>same as 3619</t>
        </is>
      </c>
      <c r="K524" t="inlineStr"/>
      <c r="L524" t="inlineStr"/>
      <c r="M524" t="inlineStr"/>
      <c r="N524" t="n">
        <v>8742</v>
      </c>
    </row>
    <row r="525">
      <c r="A525" s="1" t="n">
        <v>523</v>
      </c>
      <c r="B525" t="n">
        <v>60</v>
      </c>
      <c r="C525" t="inlineStr">
        <is>
          <t>Galeras</t>
        </is>
      </c>
      <c r="D525" t="inlineStr">
        <is>
          <t>GAL_60</t>
        </is>
      </c>
      <c r="E525" t="n">
        <v>1837</v>
      </c>
      <c r="F525" t="inlineStr">
        <is>
          <t>Phyllanthaceae</t>
        </is>
      </c>
      <c r="G525" t="inlineStr">
        <is>
          <t>Hieronyma</t>
        </is>
      </c>
      <c r="H525" t="inlineStr">
        <is>
          <t>oblonga</t>
        </is>
      </c>
      <c r="I525" s="2" t="n">
        <v>39176</v>
      </c>
      <c r="J525" t="inlineStr"/>
      <c r="K525" t="inlineStr"/>
      <c r="L525" t="inlineStr"/>
      <c r="M525" t="inlineStr"/>
      <c r="N525" t="n">
        <v>8741</v>
      </c>
    </row>
    <row r="526">
      <c r="A526" s="1" t="n">
        <v>524</v>
      </c>
      <c r="B526" t="n">
        <v>60</v>
      </c>
      <c r="C526" t="inlineStr">
        <is>
          <t>Galeras</t>
        </is>
      </c>
      <c r="D526" t="inlineStr">
        <is>
          <t>GAL_60</t>
        </is>
      </c>
      <c r="E526" t="inlineStr"/>
      <c r="F526" t="inlineStr">
        <is>
          <t>Sapindaceae</t>
        </is>
      </c>
      <c r="G526" t="inlineStr">
        <is>
          <t>Matayba</t>
        </is>
      </c>
      <c r="H526" t="inlineStr"/>
      <c r="I526" t="inlineStr"/>
      <c r="J526" t="inlineStr"/>
      <c r="K526" t="inlineStr"/>
      <c r="L526" t="inlineStr"/>
      <c r="M526" t="inlineStr"/>
      <c r="N526" t="n">
        <v>8750</v>
      </c>
    </row>
    <row r="527">
      <c r="A527" s="1" t="n">
        <v>525</v>
      </c>
      <c r="B527" t="n">
        <v>60</v>
      </c>
      <c r="C527" t="inlineStr">
        <is>
          <t>Galeras</t>
        </is>
      </c>
      <c r="D527" t="inlineStr">
        <is>
          <t>GAL_60</t>
        </is>
      </c>
      <c r="E527" t="inlineStr"/>
      <c r="F527" t="inlineStr">
        <is>
          <t>Primulaceae</t>
        </is>
      </c>
      <c r="G527" t="inlineStr">
        <is>
          <t>Cybianthus</t>
        </is>
      </c>
      <c r="H527" t="inlineStr"/>
      <c r="I527" t="inlineStr"/>
      <c r="J527" t="inlineStr"/>
      <c r="K527" t="inlineStr"/>
      <c r="L527" t="inlineStr"/>
      <c r="M527" t="inlineStr"/>
      <c r="N527" t="n">
        <v>8762</v>
      </c>
    </row>
    <row r="528">
      <c r="A528" s="1" t="n">
        <v>526</v>
      </c>
      <c r="B528" t="n">
        <v>60</v>
      </c>
      <c r="C528" t="inlineStr">
        <is>
          <t>Galeras</t>
        </is>
      </c>
      <c r="D528" t="inlineStr">
        <is>
          <t>GAL_60</t>
        </is>
      </c>
      <c r="E528" t="inlineStr"/>
      <c r="F528" t="inlineStr">
        <is>
          <t xml:space="preserve">
Humiriaceae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n">
        <v>8771</v>
      </c>
    </row>
    <row r="529">
      <c r="A529" s="1" t="n">
        <v>527</v>
      </c>
      <c r="B529" t="n">
        <v>61</v>
      </c>
      <c r="C529" t="inlineStr">
        <is>
          <t>Galeras</t>
        </is>
      </c>
      <c r="D529" t="inlineStr">
        <is>
          <t>GAL_61</t>
        </is>
      </c>
      <c r="E529" t="n">
        <v>1838</v>
      </c>
      <c r="F529" t="inlineStr">
        <is>
          <t>Fabaceae</t>
        </is>
      </c>
      <c r="G529" t="inlineStr">
        <is>
          <t>Diplotropis</t>
        </is>
      </c>
      <c r="H529" t="inlineStr">
        <is>
          <t>aff purpurea</t>
        </is>
      </c>
      <c r="I529" s="2" t="n">
        <v>38901</v>
      </c>
      <c r="J529">
        <f>3642</f>
        <v/>
      </c>
      <c r="K529" t="inlineStr"/>
      <c r="L529" t="inlineStr"/>
      <c r="M529" t="inlineStr"/>
      <c r="N529" t="inlineStr"/>
    </row>
    <row r="530">
      <c r="A530" s="1" t="n">
        <v>528</v>
      </c>
      <c r="B530" t="n">
        <v>61</v>
      </c>
      <c r="C530" t="inlineStr">
        <is>
          <t>Galeras</t>
        </is>
      </c>
      <c r="D530" t="inlineStr">
        <is>
          <t>GAL_61</t>
        </is>
      </c>
      <c r="E530" t="n">
        <v>1839</v>
      </c>
      <c r="F530" t="inlineStr">
        <is>
          <t>Clusiaceae</t>
        </is>
      </c>
      <c r="G530" t="inlineStr">
        <is>
          <t>Tovomita</t>
        </is>
      </c>
      <c r="H530" t="inlineStr">
        <is>
          <t>weddeliana</t>
        </is>
      </c>
      <c r="I530" s="2" t="n">
        <v>38901</v>
      </c>
      <c r="J530" t="inlineStr"/>
      <c r="K530" t="inlineStr"/>
      <c r="L530" t="inlineStr"/>
      <c r="M530" t="inlineStr"/>
      <c r="N530" t="inlineStr"/>
    </row>
    <row r="531">
      <c r="A531" s="1" t="n">
        <v>529</v>
      </c>
      <c r="B531" t="n">
        <v>61</v>
      </c>
      <c r="C531" t="inlineStr">
        <is>
          <t>Galeras</t>
        </is>
      </c>
      <c r="D531" t="inlineStr">
        <is>
          <t>GAL_61</t>
        </is>
      </c>
      <c r="E531" t="n">
        <v>1840</v>
      </c>
      <c r="F531" t="inlineStr">
        <is>
          <t>Fabaceae</t>
        </is>
      </c>
      <c r="G531" t="inlineStr">
        <is>
          <t>Inga</t>
        </is>
      </c>
      <c r="H531" t="inlineStr">
        <is>
          <t>cf. vismiifolia</t>
        </is>
      </c>
      <c r="I531" s="2" t="n">
        <v>38901</v>
      </c>
      <c r="J531">
        <f>3619</f>
        <v/>
      </c>
      <c r="K531" t="inlineStr"/>
      <c r="L531" t="inlineStr"/>
      <c r="M531" t="inlineStr"/>
      <c r="N531" t="inlineStr"/>
    </row>
    <row r="532">
      <c r="A532" s="1" t="n">
        <v>530</v>
      </c>
      <c r="B532" t="n">
        <v>61</v>
      </c>
      <c r="C532" t="inlineStr">
        <is>
          <t>Galeras</t>
        </is>
      </c>
      <c r="D532" t="inlineStr">
        <is>
          <t>GAL_61</t>
        </is>
      </c>
      <c r="E532" t="n">
        <v>1841</v>
      </c>
      <c r="F532" t="inlineStr">
        <is>
          <t>Sapotaceae</t>
        </is>
      </c>
      <c r="G532" t="inlineStr">
        <is>
          <t>Micropholis</t>
        </is>
      </c>
      <c r="H532" t="inlineStr">
        <is>
          <t>guyanensis</t>
        </is>
      </c>
      <c r="I532" s="2" t="n">
        <v>38901</v>
      </c>
      <c r="J532">
        <f>3568</f>
        <v/>
      </c>
      <c r="K532" t="inlineStr"/>
      <c r="L532" t="inlineStr"/>
      <c r="M532" t="inlineStr"/>
      <c r="N532" t="inlineStr"/>
    </row>
    <row r="533">
      <c r="A533" s="1" t="n">
        <v>531</v>
      </c>
      <c r="B533" t="n">
        <v>61</v>
      </c>
      <c r="C533" t="inlineStr">
        <is>
          <t>Galeras</t>
        </is>
      </c>
      <c r="D533" t="inlineStr">
        <is>
          <t>GAL_61</t>
        </is>
      </c>
      <c r="E533" t="n">
        <v>1842</v>
      </c>
      <c r="F533" t="inlineStr">
        <is>
          <t>Phyllanthaceae</t>
        </is>
      </c>
      <c r="G533" t="inlineStr">
        <is>
          <t>Hieronyma</t>
        </is>
      </c>
      <c r="H533" t="inlineStr">
        <is>
          <t>oblonga</t>
        </is>
      </c>
      <c r="I533" s="2" t="n">
        <v>38901</v>
      </c>
      <c r="J533" t="inlineStr"/>
      <c r="K533" t="inlineStr"/>
      <c r="L533" t="inlineStr"/>
      <c r="M533" t="inlineStr"/>
      <c r="N533" t="inlineStr"/>
    </row>
    <row r="534">
      <c r="A534" s="1" t="n">
        <v>532</v>
      </c>
      <c r="B534" t="n">
        <v>61</v>
      </c>
      <c r="C534" t="inlineStr">
        <is>
          <t>Galeras</t>
        </is>
      </c>
      <c r="D534" t="inlineStr">
        <is>
          <t>GAL_61</t>
        </is>
      </c>
      <c r="E534" t="n">
        <v>1843</v>
      </c>
      <c r="F534" t="inlineStr">
        <is>
          <t>Clusiaceae</t>
        </is>
      </c>
      <c r="G534" t="inlineStr">
        <is>
          <t>Tovomita</t>
        </is>
      </c>
      <c r="H534" t="inlineStr">
        <is>
          <t>weddeliana</t>
        </is>
      </c>
      <c r="I534" s="2" t="n">
        <v>38901</v>
      </c>
      <c r="J534" t="inlineStr"/>
      <c r="K534" t="inlineStr"/>
      <c r="L534" t="inlineStr"/>
      <c r="M534" t="inlineStr"/>
      <c r="N534" t="inlineStr"/>
    </row>
    <row r="535">
      <c r="A535" s="1" t="n">
        <v>533</v>
      </c>
      <c r="B535" t="n">
        <v>61</v>
      </c>
      <c r="C535" t="inlineStr">
        <is>
          <t>Galeras</t>
        </is>
      </c>
      <c r="D535" t="inlineStr">
        <is>
          <t>GAL_61</t>
        </is>
      </c>
      <c r="E535" t="n">
        <v>1844</v>
      </c>
      <c r="F535" t="inlineStr">
        <is>
          <t>Lauraceae</t>
        </is>
      </c>
      <c r="G535" t="inlineStr"/>
      <c r="H535" t="inlineStr"/>
      <c r="I535" s="2" t="n">
        <v>38901</v>
      </c>
      <c r="J535">
        <f>3631</f>
        <v/>
      </c>
      <c r="K535" t="inlineStr"/>
      <c r="L535" t="inlineStr"/>
      <c r="M535" t="inlineStr"/>
      <c r="N535" t="inlineStr"/>
    </row>
    <row r="536">
      <c r="A536" s="1" t="n">
        <v>534</v>
      </c>
      <c r="B536" t="n">
        <v>61</v>
      </c>
      <c r="C536" t="inlineStr">
        <is>
          <t>Galeras</t>
        </is>
      </c>
      <c r="D536" t="inlineStr">
        <is>
          <t>GAL_61</t>
        </is>
      </c>
      <c r="E536" t="n">
        <v>1845</v>
      </c>
      <c r="F536" t="inlineStr"/>
      <c r="G536" t="inlineStr"/>
      <c r="H536" t="inlineStr"/>
      <c r="I536" s="2" t="n">
        <v>38901</v>
      </c>
      <c r="J536" t="inlineStr"/>
      <c r="K536" t="inlineStr"/>
      <c r="L536" t="inlineStr"/>
      <c r="M536" t="inlineStr"/>
      <c r="N536" t="inlineStr"/>
    </row>
    <row r="537">
      <c r="A537" s="1" t="n">
        <v>535</v>
      </c>
      <c r="B537" t="n">
        <v>61</v>
      </c>
      <c r="C537" t="inlineStr">
        <is>
          <t>Galeras</t>
        </is>
      </c>
      <c r="D537" t="inlineStr">
        <is>
          <t>GAL_61</t>
        </is>
      </c>
      <c r="E537" t="n">
        <v>1846</v>
      </c>
      <c r="F537" t="inlineStr"/>
      <c r="G537" t="inlineStr"/>
      <c r="H537" t="inlineStr"/>
      <c r="I537" s="2" t="n">
        <v>38901</v>
      </c>
      <c r="J537" t="inlineStr">
        <is>
          <t>3638</t>
        </is>
      </c>
      <c r="K537" t="inlineStr"/>
      <c r="L537" t="inlineStr"/>
      <c r="M537" t="inlineStr"/>
      <c r="N537" t="inlineStr"/>
    </row>
    <row r="538">
      <c r="A538" s="1" t="n">
        <v>536</v>
      </c>
      <c r="B538" t="n">
        <v>61</v>
      </c>
      <c r="C538" t="inlineStr">
        <is>
          <t>Galeras</t>
        </is>
      </c>
      <c r="D538" t="inlineStr">
        <is>
          <t>GAL_61</t>
        </is>
      </c>
      <c r="E538" t="n">
        <v>1847</v>
      </c>
      <c r="F538" t="inlineStr">
        <is>
          <t>Lauraceae</t>
        </is>
      </c>
      <c r="G538" t="inlineStr">
        <is>
          <t>Persea</t>
        </is>
      </c>
      <c r="H538" t="inlineStr">
        <is>
          <t>aff. pseudofasciculata</t>
        </is>
      </c>
      <c r="I538" s="2" t="n">
        <v>38901</v>
      </c>
      <c r="J538" t="inlineStr">
        <is>
          <t>3643</t>
        </is>
      </c>
      <c r="K538" t="inlineStr"/>
      <c r="L538" t="inlineStr"/>
      <c r="M538" t="inlineStr"/>
      <c r="N538" t="inlineStr"/>
    </row>
    <row r="539">
      <c r="A539" s="1" t="n">
        <v>537</v>
      </c>
      <c r="B539" t="n">
        <v>61</v>
      </c>
      <c r="C539" t="inlineStr">
        <is>
          <t>Galeras</t>
        </is>
      </c>
      <c r="D539" t="inlineStr">
        <is>
          <t>GAL_61</t>
        </is>
      </c>
      <c r="E539" t="n">
        <v>1848</v>
      </c>
      <c r="F539" t="inlineStr">
        <is>
          <t>Sapindaceae</t>
        </is>
      </c>
      <c r="G539" t="inlineStr">
        <is>
          <t>Matayba</t>
        </is>
      </c>
      <c r="H539" t="inlineStr"/>
      <c r="I539" s="2" t="n">
        <v>38901</v>
      </c>
      <c r="J539" t="inlineStr"/>
      <c r="K539" t="inlineStr"/>
      <c r="L539" t="inlineStr"/>
      <c r="M539" t="inlineStr"/>
      <c r="N539" t="inlineStr"/>
    </row>
    <row r="540">
      <c r="A540" s="1" t="n">
        <v>538</v>
      </c>
      <c r="B540" t="n">
        <v>61</v>
      </c>
      <c r="C540" t="inlineStr">
        <is>
          <t>Galeras</t>
        </is>
      </c>
      <c r="D540" t="inlineStr">
        <is>
          <t>GAL_61</t>
        </is>
      </c>
      <c r="E540" t="n">
        <v>1849</v>
      </c>
      <c r="F540" t="inlineStr">
        <is>
          <t>Sapotaceae</t>
        </is>
      </c>
      <c r="G540" t="inlineStr">
        <is>
          <t>Pouteria</t>
        </is>
      </c>
      <c r="H540" t="inlineStr">
        <is>
          <t>baehniana</t>
        </is>
      </c>
      <c r="I540" s="2" t="n">
        <v>38901</v>
      </c>
      <c r="J540">
        <f>3636</f>
        <v/>
      </c>
      <c r="K540" t="inlineStr"/>
      <c r="L540" t="inlineStr"/>
      <c r="M540" t="inlineStr"/>
      <c r="N540" t="inlineStr"/>
    </row>
    <row r="541">
      <c r="A541" s="1" t="n">
        <v>539</v>
      </c>
      <c r="B541" t="n">
        <v>61</v>
      </c>
      <c r="C541" t="inlineStr">
        <is>
          <t>Galeras</t>
        </is>
      </c>
      <c r="D541" t="inlineStr">
        <is>
          <t>GAL_61</t>
        </is>
      </c>
      <c r="E541" t="n">
        <v>1850</v>
      </c>
      <c r="F541" t="inlineStr">
        <is>
          <t>Fabaceae</t>
        </is>
      </c>
      <c r="G541" t="inlineStr">
        <is>
          <t>Parkia</t>
        </is>
      </c>
      <c r="H541" t="inlineStr"/>
      <c r="I541" s="2" t="n">
        <v>38901</v>
      </c>
      <c r="J541" t="inlineStr">
        <is>
          <t>3637</t>
        </is>
      </c>
      <c r="K541" t="inlineStr"/>
      <c r="L541" t="inlineStr"/>
      <c r="M541" t="inlineStr"/>
      <c r="N541" t="inlineStr"/>
    </row>
    <row r="542">
      <c r="A542" s="1" t="n">
        <v>540</v>
      </c>
      <c r="B542" t="n">
        <v>61</v>
      </c>
      <c r="C542" t="inlineStr">
        <is>
          <t>Galeras</t>
        </is>
      </c>
      <c r="D542" t="inlineStr">
        <is>
          <t>GAL_61</t>
        </is>
      </c>
      <c r="E542" t="n">
        <v>1851</v>
      </c>
      <c r="F542" t="inlineStr">
        <is>
          <t>Arecaceae</t>
        </is>
      </c>
      <c r="G542" t="inlineStr">
        <is>
          <t>Dictyocaryum</t>
        </is>
      </c>
      <c r="H542" t="inlineStr">
        <is>
          <t>lamarckianum</t>
        </is>
      </c>
      <c r="I542" s="2" t="n">
        <v>38901</v>
      </c>
      <c r="J542" t="inlineStr"/>
      <c r="K542" t="inlineStr"/>
      <c r="L542" t="inlineStr"/>
      <c r="M542" t="inlineStr"/>
      <c r="N542" t="inlineStr"/>
    </row>
    <row r="543">
      <c r="A543" s="1" t="n">
        <v>541</v>
      </c>
      <c r="B543" t="n">
        <v>61</v>
      </c>
      <c r="C543" t="inlineStr">
        <is>
          <t>Galeras</t>
        </is>
      </c>
      <c r="D543" t="inlineStr">
        <is>
          <t>GAL_61</t>
        </is>
      </c>
      <c r="E543" t="n">
        <v>1852</v>
      </c>
      <c r="F543" t="inlineStr">
        <is>
          <t>sapotaceae</t>
        </is>
      </c>
      <c r="G543" t="inlineStr">
        <is>
          <t>Pouteria</t>
        </is>
      </c>
      <c r="H543" t="inlineStr"/>
      <c r="I543" s="2" t="n">
        <v>38901</v>
      </c>
      <c r="J543" t="inlineStr">
        <is>
          <t>3639</t>
        </is>
      </c>
      <c r="K543" t="inlineStr"/>
      <c r="L543" t="inlineStr"/>
      <c r="M543" t="inlineStr"/>
      <c r="N543" t="inlineStr"/>
    </row>
    <row r="544">
      <c r="A544" s="1" t="n">
        <v>542</v>
      </c>
      <c r="B544" t="n">
        <v>61</v>
      </c>
      <c r="C544" t="inlineStr">
        <is>
          <t>Galeras</t>
        </is>
      </c>
      <c r="D544" t="inlineStr">
        <is>
          <t>GAL_61</t>
        </is>
      </c>
      <c r="E544" t="n">
        <v>1853</v>
      </c>
      <c r="F544" t="inlineStr">
        <is>
          <t>Arecaceae</t>
        </is>
      </c>
      <c r="G544" t="inlineStr">
        <is>
          <t>Dictyocaryum</t>
        </is>
      </c>
      <c r="H544" t="inlineStr">
        <is>
          <t>lamarckianum</t>
        </is>
      </c>
      <c r="I544" s="2" t="n">
        <v>38901</v>
      </c>
      <c r="J544" t="inlineStr"/>
      <c r="K544" t="inlineStr"/>
      <c r="L544" t="inlineStr"/>
      <c r="M544" t="inlineStr"/>
      <c r="N544" t="inlineStr"/>
    </row>
    <row r="545">
      <c r="A545" s="1" t="n">
        <v>543</v>
      </c>
      <c r="B545" t="n">
        <v>61</v>
      </c>
      <c r="C545" t="inlineStr">
        <is>
          <t>Galeras</t>
        </is>
      </c>
      <c r="D545" t="inlineStr">
        <is>
          <t>GAL_61</t>
        </is>
      </c>
      <c r="E545" t="n">
        <v>1854</v>
      </c>
      <c r="F545" t="inlineStr">
        <is>
          <t>Sapotaceae</t>
        </is>
      </c>
      <c r="G545" t="inlineStr">
        <is>
          <t>Chrysophyllum</t>
        </is>
      </c>
      <c r="H545" t="inlineStr">
        <is>
          <t>cuneifolium</t>
        </is>
      </c>
      <c r="I545" s="2" t="n">
        <v>38901</v>
      </c>
      <c r="J545" t="inlineStr">
        <is>
          <t>3635</t>
        </is>
      </c>
      <c r="K545" t="inlineStr"/>
      <c r="L545" t="inlineStr"/>
      <c r="M545" t="inlineStr"/>
      <c r="N545" t="inlineStr"/>
    </row>
    <row r="546">
      <c r="A546" s="1" t="n">
        <v>544</v>
      </c>
      <c r="B546" t="n">
        <v>61</v>
      </c>
      <c r="C546" t="inlineStr">
        <is>
          <t>Galeras</t>
        </is>
      </c>
      <c r="D546" t="inlineStr">
        <is>
          <t>GAL_61</t>
        </is>
      </c>
      <c r="E546" t="n">
        <v>1855</v>
      </c>
      <c r="F546" t="inlineStr">
        <is>
          <t>Myrtaceae</t>
        </is>
      </c>
      <c r="G546" t="inlineStr">
        <is>
          <t>Siphoneugena</t>
        </is>
      </c>
      <c r="H546" t="inlineStr">
        <is>
          <t>densiflora</t>
        </is>
      </c>
      <c r="I546" s="2" t="n">
        <v>38901</v>
      </c>
      <c r="J546" t="inlineStr">
        <is>
          <t>3641</t>
        </is>
      </c>
      <c r="K546" t="inlineStr"/>
      <c r="L546" t="inlineStr"/>
      <c r="M546" t="inlineStr"/>
      <c r="N546" t="inlineStr"/>
    </row>
    <row r="547">
      <c r="A547" s="1" t="n">
        <v>545</v>
      </c>
      <c r="B547" t="n">
        <v>61</v>
      </c>
      <c r="C547" t="inlineStr">
        <is>
          <t>Galeras</t>
        </is>
      </c>
      <c r="D547" t="inlineStr">
        <is>
          <t>GAL_61</t>
        </is>
      </c>
      <c r="E547" t="n">
        <v>1856</v>
      </c>
      <c r="F547" t="inlineStr">
        <is>
          <t>Lauraceae</t>
        </is>
      </c>
      <c r="G547" t="inlineStr">
        <is>
          <t>Ocotea</t>
        </is>
      </c>
      <c r="H547" t="inlineStr">
        <is>
          <t>longifolia</t>
        </is>
      </c>
      <c r="I547" s="2" t="n">
        <v>38901</v>
      </c>
      <c r="J547" t="inlineStr">
        <is>
          <t>3640</t>
        </is>
      </c>
      <c r="K547" t="inlineStr"/>
      <c r="L547" t="inlineStr"/>
      <c r="M547" t="inlineStr"/>
      <c r="N547" t="inlineStr"/>
    </row>
    <row r="548">
      <c r="A548" s="1" t="n">
        <v>546</v>
      </c>
      <c r="B548" t="n">
        <v>61</v>
      </c>
      <c r="C548" t="inlineStr">
        <is>
          <t>Galeras</t>
        </is>
      </c>
      <c r="D548" t="inlineStr">
        <is>
          <t>GAL_61</t>
        </is>
      </c>
      <c r="E548" t="n">
        <v>1857</v>
      </c>
      <c r="F548" t="inlineStr">
        <is>
          <t>Sapindaceae</t>
        </is>
      </c>
      <c r="G548" t="inlineStr">
        <is>
          <t>Matayba</t>
        </is>
      </c>
      <c r="H548" t="inlineStr"/>
      <c r="I548" s="2" t="n">
        <v>38901</v>
      </c>
      <c r="J548" t="inlineStr"/>
      <c r="K548" t="inlineStr"/>
      <c r="L548" t="inlineStr"/>
      <c r="M548" t="inlineStr"/>
      <c r="N548" t="inlineStr"/>
    </row>
    <row r="549">
      <c r="A549" s="1" t="n">
        <v>547</v>
      </c>
      <c r="B549" t="n">
        <v>61</v>
      </c>
      <c r="C549" t="inlineStr">
        <is>
          <t>Galeras</t>
        </is>
      </c>
      <c r="D549" t="inlineStr">
        <is>
          <t>GAL_61</t>
        </is>
      </c>
      <c r="E549" t="n">
        <v>1858</v>
      </c>
      <c r="F549" t="inlineStr">
        <is>
          <t>Lauraceae</t>
        </is>
      </c>
      <c r="G549" t="inlineStr">
        <is>
          <t>Licaria</t>
        </is>
      </c>
      <c r="H549" t="inlineStr">
        <is>
          <t>terminalis</t>
        </is>
      </c>
      <c r="I549" s="2" t="n">
        <v>38901</v>
      </c>
      <c r="J549" t="inlineStr">
        <is>
          <t>3646</t>
        </is>
      </c>
      <c r="K549" t="inlineStr"/>
      <c r="L549" t="inlineStr"/>
      <c r="M549" t="inlineStr"/>
      <c r="N549" t="inlineStr"/>
    </row>
    <row r="550">
      <c r="A550" s="1" t="n">
        <v>548</v>
      </c>
      <c r="B550" t="n">
        <v>61</v>
      </c>
      <c r="C550" t="inlineStr">
        <is>
          <t>Galeras</t>
        </is>
      </c>
      <c r="D550" t="inlineStr">
        <is>
          <t>GAL_61</t>
        </is>
      </c>
      <c r="E550" t="n">
        <v>1859</v>
      </c>
      <c r="F550" t="inlineStr"/>
      <c r="G550" t="inlineStr"/>
      <c r="H550" t="inlineStr"/>
      <c r="I550" s="2" t="n">
        <v>38901</v>
      </c>
      <c r="J550" t="inlineStr"/>
      <c r="K550" t="inlineStr"/>
      <c r="L550" t="inlineStr"/>
      <c r="M550" t="inlineStr"/>
      <c r="N550" t="inlineStr"/>
    </row>
    <row r="551">
      <c r="A551" s="1" t="n">
        <v>549</v>
      </c>
      <c r="B551" t="n">
        <v>61</v>
      </c>
      <c r="C551" t="inlineStr">
        <is>
          <t>Galeras</t>
        </is>
      </c>
      <c r="D551" t="inlineStr">
        <is>
          <t>GAL_61</t>
        </is>
      </c>
      <c r="E551" t="n">
        <v>1860</v>
      </c>
      <c r="F551" t="inlineStr"/>
      <c r="G551" t="inlineStr"/>
      <c r="H551" t="inlineStr"/>
      <c r="I551" s="2" t="n">
        <v>38901</v>
      </c>
      <c r="J551" t="inlineStr"/>
      <c r="K551" t="inlineStr"/>
      <c r="L551" t="inlineStr"/>
      <c r="M551" t="inlineStr"/>
      <c r="N551" t="inlineStr"/>
    </row>
    <row r="552">
      <c r="A552" s="1" t="n">
        <v>550</v>
      </c>
      <c r="B552" t="n">
        <v>61</v>
      </c>
      <c r="C552" t="inlineStr">
        <is>
          <t>Galeras</t>
        </is>
      </c>
      <c r="D552" t="inlineStr">
        <is>
          <t>GAL_61</t>
        </is>
      </c>
      <c r="E552" t="n">
        <v>1861</v>
      </c>
      <c r="F552" t="inlineStr">
        <is>
          <t>Phyllanthaceae</t>
        </is>
      </c>
      <c r="G552" t="inlineStr">
        <is>
          <t>Hieronyma</t>
        </is>
      </c>
      <c r="H552" t="inlineStr">
        <is>
          <t>oblonga</t>
        </is>
      </c>
      <c r="I552" s="2" t="n">
        <v>38901</v>
      </c>
      <c r="J552" t="inlineStr"/>
      <c r="K552" t="inlineStr"/>
      <c r="L552" t="inlineStr"/>
      <c r="M552" t="inlineStr"/>
      <c r="N552" t="inlineStr"/>
    </row>
    <row r="553">
      <c r="A553" s="1" t="n">
        <v>551</v>
      </c>
      <c r="B553" t="n">
        <v>61</v>
      </c>
      <c r="C553" t="inlineStr">
        <is>
          <t>Galeras</t>
        </is>
      </c>
      <c r="D553" t="inlineStr">
        <is>
          <t>GAL_61</t>
        </is>
      </c>
      <c r="E553" t="n">
        <v>1862</v>
      </c>
      <c r="F553" t="inlineStr">
        <is>
          <t>Myrsinaceae</t>
        </is>
      </c>
      <c r="G553" t="inlineStr">
        <is>
          <t>Myrsine</t>
        </is>
      </c>
      <c r="H553" t="inlineStr">
        <is>
          <t>coriaceae</t>
        </is>
      </c>
      <c r="I553" s="2" t="n">
        <v>38901</v>
      </c>
      <c r="J553" t="inlineStr"/>
      <c r="K553" t="inlineStr"/>
      <c r="L553" t="inlineStr"/>
      <c r="M553" t="inlineStr"/>
      <c r="N553" t="inlineStr"/>
    </row>
    <row r="554">
      <c r="A554" s="1" t="n">
        <v>552</v>
      </c>
      <c r="B554" t="n">
        <v>61</v>
      </c>
      <c r="C554" t="inlineStr">
        <is>
          <t>Galeras</t>
        </is>
      </c>
      <c r="D554" t="inlineStr">
        <is>
          <t>GAL_61</t>
        </is>
      </c>
      <c r="E554" t="n">
        <v>1863</v>
      </c>
      <c r="F554" t="inlineStr">
        <is>
          <t>Rubiaceae</t>
        </is>
      </c>
      <c r="G554" t="inlineStr"/>
      <c r="H554" t="inlineStr"/>
      <c r="I554" s="2" t="n">
        <v>38901</v>
      </c>
      <c r="J554">
        <f>2505</f>
        <v/>
      </c>
      <c r="K554" t="inlineStr"/>
      <c r="L554" t="inlineStr"/>
      <c r="M554" t="inlineStr"/>
      <c r="N554" t="inlineStr"/>
    </row>
    <row r="555">
      <c r="A555" s="1" t="n">
        <v>553</v>
      </c>
      <c r="B555" t="n">
        <v>61</v>
      </c>
      <c r="C555" t="inlineStr">
        <is>
          <t>Galeras</t>
        </is>
      </c>
      <c r="D555" t="inlineStr">
        <is>
          <t>GAL_61</t>
        </is>
      </c>
      <c r="E555" t="n">
        <v>1864</v>
      </c>
      <c r="F555" t="inlineStr">
        <is>
          <t>Fabaceae</t>
        </is>
      </c>
      <c r="G555" t="inlineStr">
        <is>
          <t>Diplotropis</t>
        </is>
      </c>
      <c r="H555" t="inlineStr">
        <is>
          <t>aff purpurea</t>
        </is>
      </c>
      <c r="I555" s="2" t="n">
        <v>38901</v>
      </c>
      <c r="J555" t="inlineStr">
        <is>
          <t>3642</t>
        </is>
      </c>
      <c r="K555" t="inlineStr"/>
      <c r="L555" t="inlineStr"/>
      <c r="M555" t="inlineStr"/>
      <c r="N555" t="inlineStr"/>
    </row>
    <row r="556">
      <c r="A556" s="1" t="n">
        <v>554</v>
      </c>
      <c r="B556" t="n">
        <v>61</v>
      </c>
      <c r="C556" t="inlineStr">
        <is>
          <t>Galeras</t>
        </is>
      </c>
      <c r="D556" t="inlineStr">
        <is>
          <t>GAL_61</t>
        </is>
      </c>
      <c r="E556" t="n">
        <v>1865</v>
      </c>
      <c r="F556" t="inlineStr">
        <is>
          <t>Rosaceae</t>
        </is>
      </c>
      <c r="G556" t="inlineStr">
        <is>
          <t>Prunus</t>
        </is>
      </c>
      <c r="H556" t="inlineStr">
        <is>
          <t>opaca</t>
        </is>
      </c>
      <c r="I556" s="2" t="n">
        <v>38901</v>
      </c>
      <c r="J556">
        <f>3629</f>
        <v/>
      </c>
      <c r="K556" t="inlineStr"/>
      <c r="L556" t="inlineStr"/>
      <c r="M556" t="inlineStr"/>
      <c r="N556" t="inlineStr"/>
    </row>
    <row r="557">
      <c r="A557" s="1" t="n">
        <v>555</v>
      </c>
      <c r="B557" t="n">
        <v>61</v>
      </c>
      <c r="C557" t="inlineStr">
        <is>
          <t>Galeras</t>
        </is>
      </c>
      <c r="D557" t="inlineStr">
        <is>
          <t>GAL_61</t>
        </is>
      </c>
      <c r="E557" t="n">
        <v>1866</v>
      </c>
      <c r="F557" t="inlineStr">
        <is>
          <t>Sapotaceae</t>
        </is>
      </c>
      <c r="G557" t="inlineStr">
        <is>
          <t>Micropholis</t>
        </is>
      </c>
      <c r="H557" t="inlineStr">
        <is>
          <t>guyanensis</t>
        </is>
      </c>
      <c r="I557" s="2" t="n">
        <v>38901</v>
      </c>
      <c r="J557">
        <f>3568</f>
        <v/>
      </c>
      <c r="K557" t="inlineStr"/>
      <c r="L557" t="inlineStr"/>
      <c r="M557" t="inlineStr"/>
      <c r="N557" t="inlineStr"/>
    </row>
    <row r="558">
      <c r="A558" s="1" t="n">
        <v>556</v>
      </c>
      <c r="B558" t="n">
        <v>61</v>
      </c>
      <c r="C558" t="inlineStr">
        <is>
          <t>Galeras</t>
        </is>
      </c>
      <c r="D558" t="inlineStr">
        <is>
          <t>GAL_61</t>
        </is>
      </c>
      <c r="E558" t="n">
        <v>1867</v>
      </c>
      <c r="F558" t="inlineStr">
        <is>
          <t>Sapotaceae</t>
        </is>
      </c>
      <c r="G558" t="inlineStr">
        <is>
          <t>Pouteria</t>
        </is>
      </c>
      <c r="H558" t="inlineStr">
        <is>
          <t>cuspidata</t>
        </is>
      </c>
      <c r="I558" s="2" t="n">
        <v>38901</v>
      </c>
      <c r="J558" t="inlineStr"/>
      <c r="K558" t="inlineStr"/>
      <c r="L558" t="inlineStr"/>
      <c r="M558" t="inlineStr"/>
      <c r="N558" t="inlineStr"/>
    </row>
    <row r="559">
      <c r="A559" s="1" t="n">
        <v>557</v>
      </c>
      <c r="B559" t="n">
        <v>61</v>
      </c>
      <c r="C559" t="inlineStr">
        <is>
          <t>Galeras</t>
        </is>
      </c>
      <c r="D559" t="inlineStr">
        <is>
          <t>GAL_61</t>
        </is>
      </c>
      <c r="E559" t="n">
        <v>1868</v>
      </c>
      <c r="F559" t="inlineStr">
        <is>
          <t>Fabaceae</t>
        </is>
      </c>
      <c r="G559" t="inlineStr">
        <is>
          <t>Inga</t>
        </is>
      </c>
      <c r="H559" t="inlineStr">
        <is>
          <t>cf. vismiifolia</t>
        </is>
      </c>
      <c r="I559" s="2" t="n">
        <v>38901</v>
      </c>
      <c r="J559">
        <f>3619</f>
        <v/>
      </c>
      <c r="K559" t="inlineStr"/>
      <c r="L559" t="inlineStr"/>
      <c r="M559" t="inlineStr"/>
      <c r="N559" t="inlineStr"/>
    </row>
    <row r="560">
      <c r="A560" s="1" t="n">
        <v>558</v>
      </c>
      <c r="B560" t="n">
        <v>61</v>
      </c>
      <c r="C560" t="inlineStr">
        <is>
          <t>Galeras</t>
        </is>
      </c>
      <c r="D560" t="inlineStr">
        <is>
          <t>GAL_61</t>
        </is>
      </c>
      <c r="E560" t="n">
        <v>1869</v>
      </c>
      <c r="F560" t="inlineStr">
        <is>
          <t>Olacaceae</t>
        </is>
      </c>
      <c r="G560" t="inlineStr"/>
      <c r="H560" t="inlineStr"/>
      <c r="I560" s="2" t="n">
        <v>38901</v>
      </c>
      <c r="J560">
        <f>3600</f>
        <v/>
      </c>
      <c r="K560" t="inlineStr"/>
      <c r="L560" t="inlineStr"/>
      <c r="M560" t="inlineStr"/>
      <c r="N560" t="inlineStr"/>
    </row>
    <row r="561">
      <c r="A561" s="1" t="n">
        <v>559</v>
      </c>
      <c r="B561" t="n">
        <v>61</v>
      </c>
      <c r="C561" t="inlineStr">
        <is>
          <t>Galeras</t>
        </is>
      </c>
      <c r="D561" t="inlineStr">
        <is>
          <t>GAL_61</t>
        </is>
      </c>
      <c r="E561" t="n">
        <v>1870</v>
      </c>
      <c r="F561" t="inlineStr">
        <is>
          <t>Sapotaceae</t>
        </is>
      </c>
      <c r="G561" t="inlineStr">
        <is>
          <t>Pouteria</t>
        </is>
      </c>
      <c r="H561" t="inlineStr">
        <is>
          <t>baehniana</t>
        </is>
      </c>
      <c r="I561" s="2" t="n">
        <v>38901</v>
      </c>
      <c r="J561" t="inlineStr">
        <is>
          <t>3636</t>
        </is>
      </c>
      <c r="K561" t="inlineStr"/>
      <c r="L561" t="inlineStr"/>
      <c r="M561" t="inlineStr"/>
      <c r="N561" t="inlineStr"/>
    </row>
    <row r="562">
      <c r="A562" s="1" t="n">
        <v>560</v>
      </c>
      <c r="B562" t="n">
        <v>62</v>
      </c>
      <c r="C562" t="inlineStr">
        <is>
          <t>Galeras</t>
        </is>
      </c>
      <c r="D562" t="inlineStr">
        <is>
          <t>GAL_62</t>
        </is>
      </c>
      <c r="E562" t="n">
        <v>1872</v>
      </c>
      <c r="F562" t="inlineStr"/>
      <c r="G562" t="inlineStr"/>
      <c r="H562" t="inlineStr"/>
      <c r="I562" s="2" t="n">
        <v>38902</v>
      </c>
      <c r="J562" t="inlineStr">
        <is>
          <t>3595</t>
        </is>
      </c>
      <c r="K562" t="inlineStr"/>
      <c r="L562" t="inlineStr">
        <is>
          <t>Ο</t>
        </is>
      </c>
      <c r="M562" t="inlineStr">
        <is>
          <t>Ø</t>
        </is>
      </c>
      <c r="N562" t="n">
        <v>8920</v>
      </c>
    </row>
    <row r="563">
      <c r="A563" s="1" t="n">
        <v>561</v>
      </c>
      <c r="B563" t="n">
        <v>62</v>
      </c>
      <c r="C563" t="inlineStr">
        <is>
          <t>Galeras</t>
        </is>
      </c>
      <c r="D563" t="inlineStr">
        <is>
          <t>GAL_62</t>
        </is>
      </c>
      <c r="E563" t="n">
        <v>1874</v>
      </c>
      <c r="F563" t="inlineStr">
        <is>
          <t>Apocynaceae</t>
        </is>
      </c>
      <c r="G563" t="inlineStr">
        <is>
          <t>Apo28</t>
        </is>
      </c>
      <c r="H563" t="inlineStr"/>
      <c r="I563" s="2" t="n">
        <v>38902</v>
      </c>
      <c r="J563">
        <f>3568</f>
        <v/>
      </c>
      <c r="K563" t="inlineStr"/>
      <c r="L563" t="inlineStr"/>
      <c r="M563" t="inlineStr"/>
      <c r="N563" t="n">
        <v>8918</v>
      </c>
    </row>
    <row r="564">
      <c r="A564" s="1" t="n">
        <v>562</v>
      </c>
      <c r="B564" t="n">
        <v>62</v>
      </c>
      <c r="C564" t="inlineStr">
        <is>
          <t>Galeras</t>
        </is>
      </c>
      <c r="D564" t="inlineStr">
        <is>
          <t>GAL_62</t>
        </is>
      </c>
      <c r="E564" t="n">
        <v>1875</v>
      </c>
      <c r="F564" t="inlineStr">
        <is>
          <t>Primulaceae</t>
        </is>
      </c>
      <c r="G564" t="inlineStr">
        <is>
          <t>Geissanthus</t>
        </is>
      </c>
      <c r="H564" t="inlineStr"/>
      <c r="I564" s="2" t="n">
        <v>38902</v>
      </c>
      <c r="J564" t="inlineStr"/>
      <c r="K564" t="inlineStr"/>
      <c r="L564" t="inlineStr"/>
      <c r="M564" t="inlineStr"/>
      <c r="N564" t="n">
        <v>8917</v>
      </c>
    </row>
    <row r="565">
      <c r="A565" s="1" t="n">
        <v>563</v>
      </c>
      <c r="B565" t="n">
        <v>62</v>
      </c>
      <c r="C565" t="inlineStr">
        <is>
          <t>Galeras</t>
        </is>
      </c>
      <c r="D565" t="inlineStr">
        <is>
          <t>GAL_62</t>
        </is>
      </c>
      <c r="E565" t="n">
        <v>1879</v>
      </c>
      <c r="F565" t="inlineStr">
        <is>
          <t>Primulaceae</t>
        </is>
      </c>
      <c r="G565" t="inlineStr">
        <is>
          <t>Geissanthus</t>
        </is>
      </c>
      <c r="H565" t="inlineStr"/>
      <c r="I565" s="2" t="n">
        <v>38902</v>
      </c>
      <c r="J565" t="inlineStr"/>
      <c r="K565" t="inlineStr"/>
      <c r="L565" t="inlineStr"/>
      <c r="M565" t="inlineStr"/>
      <c r="N565" t="n">
        <v>8905</v>
      </c>
    </row>
    <row r="566">
      <c r="A566" s="1" t="n">
        <v>564</v>
      </c>
      <c r="B566" t="n">
        <v>62</v>
      </c>
      <c r="C566" t="inlineStr">
        <is>
          <t>Galeras</t>
        </is>
      </c>
      <c r="D566" t="inlineStr">
        <is>
          <t>GAL_62</t>
        </is>
      </c>
      <c r="E566" t="n">
        <v>1890</v>
      </c>
      <c r="F566" t="inlineStr">
        <is>
          <t>Rubiaceae</t>
        </is>
      </c>
      <c r="G566" t="inlineStr">
        <is>
          <t>Rubi28</t>
        </is>
      </c>
      <c r="H566" t="inlineStr"/>
      <c r="I566" s="2" t="n">
        <v>38902</v>
      </c>
      <c r="J566" t="inlineStr"/>
      <c r="K566" t="inlineStr"/>
      <c r="L566" t="inlineStr"/>
      <c r="M566" t="inlineStr"/>
      <c r="N566" t="n">
        <v>8901</v>
      </c>
    </row>
    <row r="567">
      <c r="A567" s="1" t="n">
        <v>565</v>
      </c>
      <c r="B567" t="n">
        <v>62</v>
      </c>
      <c r="C567" t="inlineStr">
        <is>
          <t>Galeras</t>
        </is>
      </c>
      <c r="D567" t="inlineStr">
        <is>
          <t>GAL_62</t>
        </is>
      </c>
      <c r="E567" t="n">
        <v>1905</v>
      </c>
      <c r="F567" t="inlineStr">
        <is>
          <t>Fabaceae</t>
        </is>
      </c>
      <c r="G567" t="inlineStr">
        <is>
          <t>Inga</t>
        </is>
      </c>
      <c r="H567" t="inlineStr"/>
      <c r="I567" s="2" t="n">
        <v>38902</v>
      </c>
      <c r="J567">
        <f>3609</f>
        <v/>
      </c>
      <c r="K567" t="inlineStr"/>
      <c r="L567" t="inlineStr">
        <is>
          <t>Ο</t>
        </is>
      </c>
      <c r="M567" t="inlineStr">
        <is>
          <t>Ø</t>
        </is>
      </c>
      <c r="N567" t="n">
        <v>8913</v>
      </c>
    </row>
    <row r="568">
      <c r="A568" s="1" t="n">
        <v>566</v>
      </c>
      <c r="B568" t="n">
        <v>62</v>
      </c>
      <c r="C568" t="inlineStr">
        <is>
          <t>Galeras</t>
        </is>
      </c>
      <c r="D568" t="inlineStr">
        <is>
          <t>GAL_62</t>
        </is>
      </c>
      <c r="E568" t="n">
        <v>1910</v>
      </c>
      <c r="F568" t="inlineStr">
        <is>
          <t>Primulaceae</t>
        </is>
      </c>
      <c r="G568" t="inlineStr">
        <is>
          <t>Geissanthus</t>
        </is>
      </c>
      <c r="H568" t="inlineStr"/>
      <c r="I568" s="2" t="n">
        <v>38902</v>
      </c>
      <c r="J568" t="inlineStr"/>
      <c r="K568" t="inlineStr"/>
      <c r="L568" t="inlineStr"/>
      <c r="M568" t="inlineStr"/>
      <c r="N568" t="n">
        <v>8930</v>
      </c>
    </row>
    <row r="569">
      <c r="A569" s="1" t="n">
        <v>567</v>
      </c>
      <c r="B569" t="n">
        <v>62</v>
      </c>
      <c r="C569" t="inlineStr">
        <is>
          <t>Galeras</t>
        </is>
      </c>
      <c r="D569" t="inlineStr">
        <is>
          <t>GAL_62</t>
        </is>
      </c>
      <c r="E569" t="n">
        <v>1911</v>
      </c>
      <c r="F569" t="inlineStr">
        <is>
          <t>Primulaceae</t>
        </is>
      </c>
      <c r="G569" t="inlineStr">
        <is>
          <t>Geissanthus</t>
        </is>
      </c>
      <c r="H569" t="inlineStr"/>
      <c r="I569" s="2" t="n">
        <v>38902</v>
      </c>
      <c r="J569" t="inlineStr"/>
      <c r="K569" t="inlineStr"/>
      <c r="L569" t="inlineStr"/>
      <c r="M569" t="inlineStr"/>
      <c r="N569" t="n">
        <v>8933</v>
      </c>
    </row>
    <row r="570">
      <c r="A570" s="1" t="n">
        <v>568</v>
      </c>
      <c r="B570" t="n">
        <v>62</v>
      </c>
      <c r="C570" t="inlineStr">
        <is>
          <t>Galeras</t>
        </is>
      </c>
      <c r="D570" t="inlineStr">
        <is>
          <t>GAL_62</t>
        </is>
      </c>
      <c r="E570" t="n">
        <v>1912</v>
      </c>
      <c r="F570" t="inlineStr">
        <is>
          <t>Primulaceae</t>
        </is>
      </c>
      <c r="G570" t="inlineStr">
        <is>
          <t>Geissanthus</t>
        </is>
      </c>
      <c r="H570" t="inlineStr"/>
      <c r="I570" s="2" t="n">
        <v>38902</v>
      </c>
      <c r="J570" t="inlineStr"/>
      <c r="K570" t="inlineStr"/>
      <c r="L570" t="inlineStr"/>
      <c r="M570" t="inlineStr"/>
      <c r="N570" t="n">
        <v>8929</v>
      </c>
    </row>
    <row r="571">
      <c r="A571" s="1" t="n">
        <v>569</v>
      </c>
      <c r="B571" t="n">
        <v>62</v>
      </c>
      <c r="C571" t="inlineStr">
        <is>
          <t>Galeras</t>
        </is>
      </c>
      <c r="D571" t="inlineStr">
        <is>
          <t>GAL_62</t>
        </is>
      </c>
      <c r="E571" t="n">
        <v>1871</v>
      </c>
      <c r="F571" t="inlineStr">
        <is>
          <t>Clusiaceae</t>
        </is>
      </c>
      <c r="G571" t="inlineStr"/>
      <c r="H571" t="inlineStr"/>
      <c r="I571" s="2" t="n">
        <v>38902</v>
      </c>
      <c r="J571" t="inlineStr"/>
      <c r="K571" t="inlineStr"/>
      <c r="L571" t="inlineStr"/>
      <c r="M571" t="inlineStr"/>
      <c r="N571" t="inlineStr"/>
    </row>
    <row r="572">
      <c r="A572" s="1" t="n">
        <v>570</v>
      </c>
      <c r="B572" t="n">
        <v>62</v>
      </c>
      <c r="C572" t="inlineStr">
        <is>
          <t>Galeras</t>
        </is>
      </c>
      <c r="D572" t="inlineStr">
        <is>
          <t>GAL_62</t>
        </is>
      </c>
      <c r="E572" t="n">
        <v>1873</v>
      </c>
      <c r="F572" t="inlineStr">
        <is>
          <t>Fabaceae</t>
        </is>
      </c>
      <c r="G572" t="inlineStr">
        <is>
          <t>Inga</t>
        </is>
      </c>
      <c r="H572" t="inlineStr">
        <is>
          <t>extra-nodis</t>
        </is>
      </c>
      <c r="I572" s="2" t="n">
        <v>38902</v>
      </c>
      <c r="J572" t="inlineStr">
        <is>
          <t>3603</t>
        </is>
      </c>
      <c r="K572" t="inlineStr"/>
      <c r="L572" t="inlineStr"/>
      <c r="M572" t="inlineStr"/>
      <c r="N572" t="inlineStr"/>
    </row>
    <row r="573">
      <c r="A573" s="1" t="n">
        <v>571</v>
      </c>
      <c r="B573" t="n">
        <v>62</v>
      </c>
      <c r="C573" t="inlineStr">
        <is>
          <t>Galeras</t>
        </is>
      </c>
      <c r="D573" t="inlineStr">
        <is>
          <t>GAL_62</t>
        </is>
      </c>
      <c r="E573" t="n">
        <v>1876</v>
      </c>
      <c r="F573" t="inlineStr">
        <is>
          <t>Myrtaceae</t>
        </is>
      </c>
      <c r="G573" t="inlineStr">
        <is>
          <t>Siphoneugena</t>
        </is>
      </c>
      <c r="H573" t="inlineStr">
        <is>
          <t>densiflora</t>
        </is>
      </c>
      <c r="I573" s="2" t="n">
        <v>38902</v>
      </c>
      <c r="J573">
        <f>3597,2537</f>
        <v/>
      </c>
      <c r="K573" t="inlineStr"/>
      <c r="L573" t="inlineStr"/>
      <c r="M573" t="inlineStr"/>
      <c r="N573" t="n">
        <v>8916</v>
      </c>
    </row>
    <row r="574">
      <c r="A574" s="1" t="n">
        <v>572</v>
      </c>
      <c r="B574" t="n">
        <v>62</v>
      </c>
      <c r="C574" t="inlineStr">
        <is>
          <t>Galeras</t>
        </is>
      </c>
      <c r="D574" t="inlineStr">
        <is>
          <t>GAL_62</t>
        </is>
      </c>
      <c r="E574" t="n">
        <v>1877</v>
      </c>
      <c r="F574" t="inlineStr">
        <is>
          <t>Lauraceae</t>
        </is>
      </c>
      <c r="G574" t="inlineStr">
        <is>
          <t>Ocotea</t>
        </is>
      </c>
      <c r="H574" t="inlineStr">
        <is>
          <t>subrutilans</t>
        </is>
      </c>
      <c r="I574" s="2" t="n">
        <v>38902</v>
      </c>
      <c r="J574">
        <f>3615</f>
        <v/>
      </c>
      <c r="K574" t="inlineStr"/>
      <c r="L574" t="inlineStr"/>
      <c r="M574" t="inlineStr"/>
      <c r="N574" t="inlineStr"/>
    </row>
    <row r="575">
      <c r="A575" s="1" t="n">
        <v>573</v>
      </c>
      <c r="B575" t="n">
        <v>62</v>
      </c>
      <c r="C575" t="inlineStr">
        <is>
          <t>Galeras</t>
        </is>
      </c>
      <c r="D575" t="inlineStr">
        <is>
          <t>GAL_62</t>
        </is>
      </c>
      <c r="E575" t="n">
        <v>1878</v>
      </c>
      <c r="F575" t="inlineStr">
        <is>
          <t>Rutaceae</t>
        </is>
      </c>
      <c r="G575" t="inlineStr">
        <is>
          <t>Zanthoxylum</t>
        </is>
      </c>
      <c r="H575" t="inlineStr">
        <is>
          <t>melanostictum</t>
        </is>
      </c>
      <c r="I575" s="2" t="n">
        <v>38902</v>
      </c>
      <c r="J575" t="inlineStr">
        <is>
          <t>3602</t>
        </is>
      </c>
      <c r="K575" t="inlineStr"/>
      <c r="L575" t="inlineStr"/>
      <c r="M575" t="inlineStr"/>
      <c r="N575" t="inlineStr"/>
    </row>
    <row r="576">
      <c r="A576" s="1" t="n">
        <v>574</v>
      </c>
      <c r="B576" t="n">
        <v>62</v>
      </c>
      <c r="C576" t="inlineStr">
        <is>
          <t>Galeras</t>
        </is>
      </c>
      <c r="D576" t="inlineStr">
        <is>
          <t>GAL_62</t>
        </is>
      </c>
      <c r="E576" t="n">
        <v>1880</v>
      </c>
      <c r="F576" t="inlineStr">
        <is>
          <t>Lauraceae</t>
        </is>
      </c>
      <c r="G576" t="inlineStr">
        <is>
          <t>Ocotea</t>
        </is>
      </c>
      <c r="H576" t="inlineStr">
        <is>
          <t>subrutilans</t>
        </is>
      </c>
      <c r="I576" s="2" t="n">
        <v>38902</v>
      </c>
      <c r="J576" t="inlineStr">
        <is>
          <t>3615</t>
        </is>
      </c>
      <c r="K576" t="inlineStr"/>
      <c r="L576" t="inlineStr"/>
      <c r="M576" t="inlineStr"/>
      <c r="N576" t="inlineStr"/>
    </row>
    <row r="577">
      <c r="A577" s="1" t="n">
        <v>575</v>
      </c>
      <c r="B577" t="n">
        <v>62</v>
      </c>
      <c r="C577" t="inlineStr">
        <is>
          <t>Galeras</t>
        </is>
      </c>
      <c r="D577" t="inlineStr">
        <is>
          <t>GAL_62</t>
        </is>
      </c>
      <c r="E577" t="n">
        <v>1881</v>
      </c>
      <c r="F577" t="inlineStr">
        <is>
          <t>Chloranthaceae</t>
        </is>
      </c>
      <c r="G577" t="inlineStr">
        <is>
          <t>Hedyosmum</t>
        </is>
      </c>
      <c r="H577" t="inlineStr">
        <is>
          <t>anisodorum</t>
        </is>
      </c>
      <c r="I577" s="2" t="n">
        <v>38902</v>
      </c>
      <c r="J577" t="inlineStr"/>
      <c r="K577" t="inlineStr"/>
      <c r="L577" t="inlineStr"/>
      <c r="M577" t="inlineStr"/>
      <c r="N577" t="inlineStr"/>
    </row>
    <row r="578">
      <c r="A578" s="1" t="n">
        <v>576</v>
      </c>
      <c r="B578" t="n">
        <v>62</v>
      </c>
      <c r="C578" t="inlineStr">
        <is>
          <t>Galeras</t>
        </is>
      </c>
      <c r="D578" t="inlineStr">
        <is>
          <t>GAL_62</t>
        </is>
      </c>
      <c r="E578" t="n">
        <v>1882</v>
      </c>
      <c r="F578" t="inlineStr">
        <is>
          <t>Symplocaceae</t>
        </is>
      </c>
      <c r="G578" t="inlineStr">
        <is>
          <t>Symplocos</t>
        </is>
      </c>
      <c r="H578" t="inlineStr">
        <is>
          <t>cf guacamayensis</t>
        </is>
      </c>
      <c r="I578" s="2" t="n">
        <v>38902</v>
      </c>
      <c r="J578" t="inlineStr">
        <is>
          <t>3612,2529</t>
        </is>
      </c>
      <c r="K578" t="inlineStr"/>
      <c r="L578" t="inlineStr">
        <is>
          <t>Ο</t>
        </is>
      </c>
      <c r="M578" t="inlineStr">
        <is>
          <t>Ø</t>
        </is>
      </c>
      <c r="N578" t="n">
        <v>8909</v>
      </c>
    </row>
    <row r="579">
      <c r="A579" s="1" t="n">
        <v>577</v>
      </c>
      <c r="B579" t="n">
        <v>62</v>
      </c>
      <c r="C579" t="inlineStr">
        <is>
          <t>Galeras</t>
        </is>
      </c>
      <c r="D579" t="inlineStr">
        <is>
          <t>GAL_62</t>
        </is>
      </c>
      <c r="E579" t="n">
        <v>1883</v>
      </c>
      <c r="F579" t="inlineStr">
        <is>
          <t>Rubiaceae</t>
        </is>
      </c>
      <c r="G579" t="inlineStr">
        <is>
          <t>Ladenbergia</t>
        </is>
      </c>
      <c r="H579" t="inlineStr">
        <is>
          <t>cf acutifolia</t>
        </is>
      </c>
      <c r="I579" s="2" t="n">
        <v>38902</v>
      </c>
      <c r="J579">
        <f>3611</f>
        <v/>
      </c>
      <c r="K579" t="inlineStr"/>
      <c r="L579" t="inlineStr"/>
      <c r="M579" t="inlineStr"/>
      <c r="N579" t="inlineStr"/>
    </row>
    <row r="580">
      <c r="A580" s="1" t="n">
        <v>578</v>
      </c>
      <c r="B580" t="n">
        <v>62</v>
      </c>
      <c r="C580" t="inlineStr">
        <is>
          <t>Galeras</t>
        </is>
      </c>
      <c r="D580" t="inlineStr">
        <is>
          <t>GAL_62</t>
        </is>
      </c>
      <c r="E580" t="n">
        <v>1884</v>
      </c>
      <c r="F580" t="inlineStr">
        <is>
          <t>Euphorbiaceae</t>
        </is>
      </c>
      <c r="G580" t="inlineStr">
        <is>
          <t>Chaetocarpus</t>
        </is>
      </c>
      <c r="H580" t="inlineStr"/>
      <c r="I580" s="2" t="n">
        <v>38902</v>
      </c>
      <c r="J580" t="inlineStr"/>
      <c r="K580" t="inlineStr"/>
      <c r="L580" t="inlineStr"/>
      <c r="M580" t="inlineStr"/>
      <c r="N580" t="inlineStr"/>
    </row>
    <row r="581">
      <c r="A581" s="1" t="n">
        <v>579</v>
      </c>
      <c r="B581" t="n">
        <v>62</v>
      </c>
      <c r="C581" t="inlineStr">
        <is>
          <t>Galeras</t>
        </is>
      </c>
      <c r="D581" t="inlineStr">
        <is>
          <t>GAL_62</t>
        </is>
      </c>
      <c r="E581" t="n">
        <v>1885</v>
      </c>
      <c r="F581" t="inlineStr">
        <is>
          <t>Rubiaceae</t>
        </is>
      </c>
      <c r="G581" t="inlineStr">
        <is>
          <t>Ladenbergia</t>
        </is>
      </c>
      <c r="H581" t="inlineStr">
        <is>
          <t>cf acutifolia</t>
        </is>
      </c>
      <c r="I581" s="2" t="n">
        <v>38902</v>
      </c>
      <c r="J581">
        <f>3611</f>
        <v/>
      </c>
      <c r="K581" t="inlineStr"/>
      <c r="L581" t="inlineStr"/>
      <c r="M581" t="inlineStr"/>
      <c r="N581" t="inlineStr"/>
    </row>
    <row r="582">
      <c r="A582" s="1" t="n">
        <v>580</v>
      </c>
      <c r="B582" t="n">
        <v>62</v>
      </c>
      <c r="C582" t="inlineStr">
        <is>
          <t>Galeras</t>
        </is>
      </c>
      <c r="D582" t="inlineStr">
        <is>
          <t>GAL_62</t>
        </is>
      </c>
      <c r="E582" t="n">
        <v>1886</v>
      </c>
      <c r="F582" t="inlineStr">
        <is>
          <t>Fabaceae</t>
        </is>
      </c>
      <c r="G582" t="inlineStr">
        <is>
          <t>Diplotropis</t>
        </is>
      </c>
      <c r="H582" t="inlineStr">
        <is>
          <t>aff purpurea</t>
        </is>
      </c>
      <c r="I582" s="2" t="n">
        <v>38902</v>
      </c>
      <c r="J582">
        <f>3614</f>
        <v/>
      </c>
      <c r="K582" t="inlineStr"/>
      <c r="L582" t="inlineStr"/>
      <c r="M582" t="inlineStr"/>
      <c r="N582" t="inlineStr"/>
    </row>
    <row r="583">
      <c r="A583" s="1" t="n">
        <v>581</v>
      </c>
      <c r="B583" t="n">
        <v>62</v>
      </c>
      <c r="C583" t="inlineStr">
        <is>
          <t>Galeras</t>
        </is>
      </c>
      <c r="D583" t="inlineStr">
        <is>
          <t>GAL_62</t>
        </is>
      </c>
      <c r="E583" t="n">
        <v>1887</v>
      </c>
      <c r="F583" t="inlineStr">
        <is>
          <t>Lauraceae</t>
        </is>
      </c>
      <c r="G583" t="inlineStr">
        <is>
          <t>Ocotea</t>
        </is>
      </c>
      <c r="H583" t="inlineStr">
        <is>
          <t>aciphylla</t>
        </is>
      </c>
      <c r="I583" s="2" t="n">
        <v>38902</v>
      </c>
      <c r="J583">
        <f>3608</f>
        <v/>
      </c>
      <c r="K583" t="inlineStr"/>
      <c r="L583" t="inlineStr"/>
      <c r="M583" t="inlineStr"/>
      <c r="N583" t="n">
        <v>8908</v>
      </c>
    </row>
    <row r="584">
      <c r="A584" s="1" t="n">
        <v>582</v>
      </c>
      <c r="B584" t="n">
        <v>62</v>
      </c>
      <c r="C584" t="inlineStr">
        <is>
          <t>Galeras</t>
        </is>
      </c>
      <c r="D584" t="inlineStr">
        <is>
          <t>GAL_62</t>
        </is>
      </c>
      <c r="E584" t="n">
        <v>1888</v>
      </c>
      <c r="F584" t="inlineStr">
        <is>
          <t>Lauraceae</t>
        </is>
      </c>
      <c r="G584" t="inlineStr">
        <is>
          <t>Ocotea</t>
        </is>
      </c>
      <c r="H584" t="inlineStr">
        <is>
          <t>aciphylla</t>
        </is>
      </c>
      <c r="I584" s="2" t="n">
        <v>38902</v>
      </c>
      <c r="J584">
        <f>3608</f>
        <v/>
      </c>
      <c r="K584" t="inlineStr"/>
      <c r="L584" t="inlineStr"/>
      <c r="M584" t="inlineStr"/>
      <c r="N584" t="n">
        <v>8907</v>
      </c>
    </row>
    <row r="585">
      <c r="A585" s="1" t="n">
        <v>583</v>
      </c>
      <c r="B585" t="n">
        <v>62</v>
      </c>
      <c r="C585" t="inlineStr">
        <is>
          <t>Galeras</t>
        </is>
      </c>
      <c r="D585" t="inlineStr">
        <is>
          <t>GAL_62</t>
        </is>
      </c>
      <c r="E585" t="inlineStr"/>
      <c r="F585" t="inlineStr">
        <is>
          <t>Lauraceae</t>
        </is>
      </c>
      <c r="G585" t="inlineStr">
        <is>
          <t>Ocotea</t>
        </is>
      </c>
      <c r="H585" t="inlineStr">
        <is>
          <t>aciphylla</t>
        </is>
      </c>
      <c r="I585" t="inlineStr"/>
      <c r="J585" t="inlineStr"/>
      <c r="K585" t="inlineStr"/>
      <c r="L585" t="inlineStr"/>
      <c r="M585" t="inlineStr"/>
      <c r="N585" t="n">
        <v>8906</v>
      </c>
    </row>
    <row r="586">
      <c r="A586" s="1" t="n">
        <v>584</v>
      </c>
      <c r="B586" t="n">
        <v>62</v>
      </c>
      <c r="C586" t="inlineStr">
        <is>
          <t>Galeras</t>
        </is>
      </c>
      <c r="D586" t="inlineStr">
        <is>
          <t>GAL_62</t>
        </is>
      </c>
      <c r="E586" t="n">
        <v>1889</v>
      </c>
      <c r="F586" t="inlineStr">
        <is>
          <t>Euphorbiaceae</t>
        </is>
      </c>
      <c r="G586" t="inlineStr">
        <is>
          <t>Chaetocarpus</t>
        </is>
      </c>
      <c r="H586" t="inlineStr"/>
      <c r="I586" s="2" t="n">
        <v>38902</v>
      </c>
      <c r="J586" t="inlineStr"/>
      <c r="K586" t="inlineStr"/>
      <c r="L586" t="inlineStr"/>
      <c r="M586" t="inlineStr"/>
      <c r="N586" t="n">
        <v>8940</v>
      </c>
    </row>
    <row r="587">
      <c r="A587" s="1" t="n">
        <v>585</v>
      </c>
      <c r="B587" t="n">
        <v>62</v>
      </c>
      <c r="C587" t="inlineStr">
        <is>
          <t>Galeras</t>
        </is>
      </c>
      <c r="D587" t="inlineStr">
        <is>
          <t>GAL_62</t>
        </is>
      </c>
      <c r="E587" t="n">
        <v>1891</v>
      </c>
      <c r="F587" t="inlineStr">
        <is>
          <t>Arecaceae</t>
        </is>
      </c>
      <c r="G587" t="inlineStr">
        <is>
          <t>Dictyocaryum</t>
        </is>
      </c>
      <c r="H587" t="inlineStr">
        <is>
          <t>lamarckianum</t>
        </is>
      </c>
      <c r="I587" s="2" t="n">
        <v>38902</v>
      </c>
      <c r="J587" t="inlineStr"/>
      <c r="K587" t="inlineStr"/>
      <c r="L587" t="inlineStr"/>
      <c r="M587" t="inlineStr"/>
      <c r="N587" t="inlineStr"/>
    </row>
    <row r="588">
      <c r="A588" s="1" t="n">
        <v>586</v>
      </c>
      <c r="B588" t="n">
        <v>62</v>
      </c>
      <c r="C588" t="inlineStr">
        <is>
          <t>Galeras</t>
        </is>
      </c>
      <c r="D588" t="inlineStr">
        <is>
          <t>GAL_62</t>
        </is>
      </c>
      <c r="E588" t="n">
        <v>1892</v>
      </c>
      <c r="F588" t="inlineStr">
        <is>
          <t>Primulaceae</t>
        </is>
      </c>
      <c r="G588" t="inlineStr">
        <is>
          <t>Geissanthus</t>
        </is>
      </c>
      <c r="H588" t="inlineStr"/>
      <c r="I588" s="2" t="n">
        <v>38902</v>
      </c>
      <c r="J588" t="inlineStr">
        <is>
          <t>3613</t>
        </is>
      </c>
      <c r="K588" t="inlineStr"/>
      <c r="L588" t="inlineStr"/>
      <c r="M588" t="inlineStr"/>
      <c r="N588" t="n">
        <v>8934</v>
      </c>
    </row>
    <row r="589">
      <c r="A589" s="1" t="n">
        <v>587</v>
      </c>
      <c r="B589" t="n">
        <v>62</v>
      </c>
      <c r="C589" t="inlineStr">
        <is>
          <t>Galeras</t>
        </is>
      </c>
      <c r="D589" t="inlineStr">
        <is>
          <t>GAL_62</t>
        </is>
      </c>
      <c r="E589" t="n">
        <v>1893</v>
      </c>
      <c r="F589" t="inlineStr">
        <is>
          <t>Rubiaceae</t>
        </is>
      </c>
      <c r="G589" t="inlineStr">
        <is>
          <t>Ladenbergia</t>
        </is>
      </c>
      <c r="H589" t="inlineStr">
        <is>
          <t>cf acutifolia</t>
        </is>
      </c>
      <c r="I589" s="2" t="n">
        <v>38902</v>
      </c>
      <c r="J589">
        <f>3611</f>
        <v/>
      </c>
      <c r="K589" t="inlineStr"/>
      <c r="L589" t="inlineStr"/>
      <c r="M589" t="inlineStr"/>
      <c r="N589" t="inlineStr"/>
    </row>
    <row r="590">
      <c r="A590" s="1" t="n">
        <v>588</v>
      </c>
      <c r="B590" t="n">
        <v>62</v>
      </c>
      <c r="C590" t="inlineStr">
        <is>
          <t>Galeras</t>
        </is>
      </c>
      <c r="D590" t="inlineStr">
        <is>
          <t>GAL_62</t>
        </is>
      </c>
      <c r="E590" t="n">
        <v>1894</v>
      </c>
      <c r="F590" t="inlineStr">
        <is>
          <t>Lauraceae</t>
        </is>
      </c>
      <c r="G590" t="inlineStr">
        <is>
          <t>Ocotea</t>
        </is>
      </c>
      <c r="H590" t="inlineStr">
        <is>
          <t>aciphylla</t>
        </is>
      </c>
      <c r="I590" s="2" t="n">
        <v>38902</v>
      </c>
      <c r="J590" t="inlineStr">
        <is>
          <t>3608,2530</t>
        </is>
      </c>
      <c r="K590" t="inlineStr"/>
      <c r="L590" t="inlineStr"/>
      <c r="M590" t="inlineStr"/>
      <c r="N590" t="inlineStr"/>
    </row>
    <row r="591">
      <c r="A591" s="1" t="n">
        <v>589</v>
      </c>
      <c r="B591" t="n">
        <v>62</v>
      </c>
      <c r="C591" t="inlineStr">
        <is>
          <t>Galeras</t>
        </is>
      </c>
      <c r="D591" t="inlineStr">
        <is>
          <t>GAL_62</t>
        </is>
      </c>
      <c r="E591" t="n">
        <v>1895</v>
      </c>
      <c r="F591" t="inlineStr">
        <is>
          <t>Euphorbiaceae</t>
        </is>
      </c>
      <c r="G591" t="inlineStr">
        <is>
          <t>Chaetocarpus</t>
        </is>
      </c>
      <c r="H591" t="inlineStr"/>
      <c r="I591" s="2" t="n">
        <v>38902</v>
      </c>
      <c r="J591" t="inlineStr">
        <is>
          <t>3610</t>
        </is>
      </c>
      <c r="K591" t="inlineStr"/>
      <c r="L591" t="inlineStr"/>
      <c r="M591" t="inlineStr"/>
      <c r="N591" t="n">
        <v>8903</v>
      </c>
    </row>
    <row r="592">
      <c r="A592" s="1" t="n">
        <v>590</v>
      </c>
      <c r="B592" t="n">
        <v>62</v>
      </c>
      <c r="C592" t="inlineStr">
        <is>
          <t>Galeras</t>
        </is>
      </c>
      <c r="D592" t="inlineStr">
        <is>
          <t>GAL_62</t>
        </is>
      </c>
      <c r="E592" t="n">
        <v>1896</v>
      </c>
      <c r="F592" t="inlineStr">
        <is>
          <t>Phyllanthaceae</t>
        </is>
      </c>
      <c r="G592" t="inlineStr">
        <is>
          <t>Hieronyma</t>
        </is>
      </c>
      <c r="H592" t="inlineStr">
        <is>
          <t>oblonga</t>
        </is>
      </c>
      <c r="I592" s="2" t="n">
        <v>38902</v>
      </c>
      <c r="J592" t="inlineStr">
        <is>
          <t>2531</t>
        </is>
      </c>
      <c r="K592" t="inlineStr"/>
      <c r="L592" t="inlineStr">
        <is>
          <t>Ο</t>
        </is>
      </c>
      <c r="M592" t="inlineStr">
        <is>
          <t>Ø</t>
        </is>
      </c>
      <c r="N592" t="n">
        <v>8904</v>
      </c>
    </row>
    <row r="593">
      <c r="A593" s="1" t="n">
        <v>591</v>
      </c>
      <c r="B593" t="n">
        <v>62</v>
      </c>
      <c r="C593" t="inlineStr">
        <is>
          <t>Galeras</t>
        </is>
      </c>
      <c r="D593" t="inlineStr">
        <is>
          <t>GAL_62</t>
        </is>
      </c>
      <c r="E593" t="n">
        <v>1897</v>
      </c>
      <c r="F593" t="inlineStr"/>
      <c r="G593" t="inlineStr"/>
      <c r="H593" t="inlineStr"/>
      <c r="I593" s="2" t="n">
        <v>38902</v>
      </c>
      <c r="J593" t="inlineStr"/>
      <c r="K593" t="inlineStr"/>
      <c r="L593" t="inlineStr"/>
      <c r="M593" t="inlineStr"/>
      <c r="N593" t="inlineStr"/>
    </row>
    <row r="594">
      <c r="A594" s="1" t="n">
        <v>592</v>
      </c>
      <c r="B594" t="n">
        <v>62</v>
      </c>
      <c r="C594" t="inlineStr">
        <is>
          <t>Galeras</t>
        </is>
      </c>
      <c r="D594" t="inlineStr">
        <is>
          <t>GAL_62</t>
        </is>
      </c>
      <c r="E594" t="n">
        <v>1898</v>
      </c>
      <c r="F594" t="inlineStr">
        <is>
          <t>Myrsinaceae</t>
        </is>
      </c>
      <c r="G594" t="inlineStr">
        <is>
          <t>Myrsine</t>
        </is>
      </c>
      <c r="H594" t="inlineStr">
        <is>
          <t>coriaceae</t>
        </is>
      </c>
      <c r="I594" s="2" t="n">
        <v>38902</v>
      </c>
      <c r="J594" t="inlineStr"/>
      <c r="K594" t="inlineStr"/>
      <c r="L594" t="inlineStr"/>
      <c r="M594" t="inlineStr"/>
      <c r="N594" t="inlineStr"/>
    </row>
    <row r="595">
      <c r="A595" s="1" t="n">
        <v>593</v>
      </c>
      <c r="B595" t="n">
        <v>62</v>
      </c>
      <c r="C595" t="inlineStr">
        <is>
          <t>Galeras</t>
        </is>
      </c>
      <c r="D595" t="inlineStr">
        <is>
          <t>GAL_62</t>
        </is>
      </c>
      <c r="E595" t="n">
        <v>1899</v>
      </c>
      <c r="F595" t="inlineStr">
        <is>
          <t>Rubiaceae</t>
        </is>
      </c>
      <c r="G595" t="inlineStr">
        <is>
          <t>Ladenbergia</t>
        </is>
      </c>
      <c r="H595" t="inlineStr">
        <is>
          <t>acutifolia</t>
        </is>
      </c>
      <c r="I595" s="2" t="n">
        <v>38902</v>
      </c>
      <c r="J595">
        <f>3611</f>
        <v/>
      </c>
      <c r="K595" t="inlineStr"/>
      <c r="L595" t="inlineStr"/>
      <c r="M595" t="inlineStr"/>
      <c r="N595" t="inlineStr"/>
    </row>
    <row r="596">
      <c r="A596" s="1" t="n">
        <v>594</v>
      </c>
      <c r="B596" t="n">
        <v>62</v>
      </c>
      <c r="C596" t="inlineStr">
        <is>
          <t>Galeras</t>
        </is>
      </c>
      <c r="D596" t="inlineStr">
        <is>
          <t>GAL_62</t>
        </is>
      </c>
      <c r="E596" t="n">
        <v>1900</v>
      </c>
      <c r="F596" t="inlineStr">
        <is>
          <t>Chloranthaceae</t>
        </is>
      </c>
      <c r="G596" t="inlineStr">
        <is>
          <t>Hedyosmum</t>
        </is>
      </c>
      <c r="H596" t="inlineStr">
        <is>
          <t>anisodorum</t>
        </is>
      </c>
      <c r="I596" s="2" t="n">
        <v>38902</v>
      </c>
      <c r="J596" t="inlineStr"/>
      <c r="K596" t="inlineStr"/>
      <c r="L596" t="inlineStr"/>
      <c r="M596" t="inlineStr"/>
      <c r="N596" t="inlineStr"/>
    </row>
    <row r="597">
      <c r="A597" s="1" t="n">
        <v>595</v>
      </c>
      <c r="B597" t="n">
        <v>62</v>
      </c>
      <c r="C597" t="inlineStr">
        <is>
          <t>Galeras</t>
        </is>
      </c>
      <c r="D597" t="inlineStr">
        <is>
          <t>GAL_62</t>
        </is>
      </c>
      <c r="E597" t="n">
        <v>1901</v>
      </c>
      <c r="F597" t="inlineStr">
        <is>
          <t>Rubiaceae</t>
        </is>
      </c>
      <c r="G597" t="inlineStr">
        <is>
          <t>Rubi28</t>
        </is>
      </c>
      <c r="H597" t="inlineStr"/>
      <c r="I597" s="2" t="n">
        <v>38902</v>
      </c>
      <c r="J597" t="inlineStr">
        <is>
          <t>3611</t>
        </is>
      </c>
      <c r="K597" t="inlineStr"/>
      <c r="L597" t="inlineStr"/>
      <c r="M597" t="inlineStr"/>
      <c r="N597" t="n">
        <v>8924</v>
      </c>
    </row>
    <row r="598">
      <c r="A598" s="1" t="n">
        <v>596</v>
      </c>
      <c r="B598" t="n">
        <v>62</v>
      </c>
      <c r="C598" t="inlineStr">
        <is>
          <t>Galeras</t>
        </is>
      </c>
      <c r="D598" t="inlineStr">
        <is>
          <t>GAL_62</t>
        </is>
      </c>
      <c r="E598" t="n">
        <v>1902</v>
      </c>
      <c r="F598" t="inlineStr">
        <is>
          <t>Arecaceae</t>
        </is>
      </c>
      <c r="G598" t="inlineStr">
        <is>
          <t>Dictyocaryum</t>
        </is>
      </c>
      <c r="H598" t="inlineStr">
        <is>
          <t>lamarckianum</t>
        </is>
      </c>
      <c r="I598" s="2" t="n">
        <v>38902</v>
      </c>
      <c r="J598" t="inlineStr"/>
      <c r="K598" t="inlineStr"/>
      <c r="L598" t="inlineStr"/>
      <c r="M598" t="inlineStr"/>
      <c r="N598" t="n">
        <v>8938</v>
      </c>
    </row>
    <row r="599">
      <c r="A599" s="1" t="n">
        <v>597</v>
      </c>
      <c r="B599" t="n">
        <v>62</v>
      </c>
      <c r="C599" t="inlineStr">
        <is>
          <t>Galeras</t>
        </is>
      </c>
      <c r="D599" t="inlineStr">
        <is>
          <t>GAL_62</t>
        </is>
      </c>
      <c r="E599" t="n">
        <v>1903</v>
      </c>
      <c r="F599" t="inlineStr">
        <is>
          <t>Theaceae</t>
        </is>
      </c>
      <c r="G599" t="inlineStr">
        <is>
          <t>Gordonia</t>
        </is>
      </c>
      <c r="H599" t="inlineStr">
        <is>
          <t>fruticosa</t>
        </is>
      </c>
      <c r="I599" s="2" t="n">
        <v>38902</v>
      </c>
      <c r="J599" t="inlineStr"/>
      <c r="K599" t="inlineStr"/>
      <c r="L599" t="inlineStr"/>
      <c r="M599" t="inlineStr"/>
      <c r="N599" t="inlineStr"/>
    </row>
    <row r="600">
      <c r="A600" s="1" t="n">
        <v>598</v>
      </c>
      <c r="B600" t="n">
        <v>62</v>
      </c>
      <c r="C600" t="inlineStr">
        <is>
          <t>Galeras</t>
        </is>
      </c>
      <c r="D600" t="inlineStr">
        <is>
          <t>GAL_62</t>
        </is>
      </c>
      <c r="E600" t="n">
        <v>1904</v>
      </c>
      <c r="F600" t="inlineStr">
        <is>
          <t>Myrsinaceae</t>
        </is>
      </c>
      <c r="G600" t="inlineStr">
        <is>
          <t>Myrsine</t>
        </is>
      </c>
      <c r="H600" t="inlineStr">
        <is>
          <t>coriaceae</t>
        </is>
      </c>
      <c r="I600" s="2" t="n">
        <v>38902</v>
      </c>
      <c r="J600" t="inlineStr"/>
      <c r="K600" t="inlineStr"/>
      <c r="L600" t="inlineStr"/>
      <c r="M600" t="inlineStr"/>
      <c r="N600" t="inlineStr"/>
    </row>
    <row r="601">
      <c r="A601" s="1" t="n">
        <v>599</v>
      </c>
      <c r="B601" t="n">
        <v>62</v>
      </c>
      <c r="C601" t="inlineStr">
        <is>
          <t>Galeras</t>
        </is>
      </c>
      <c r="D601" t="inlineStr">
        <is>
          <t>GAL_62</t>
        </is>
      </c>
      <c r="E601" t="n">
        <v>1906</v>
      </c>
      <c r="F601" t="inlineStr">
        <is>
          <t>Cunnoniaceae</t>
        </is>
      </c>
      <c r="G601" t="inlineStr">
        <is>
          <t>Weinmannia</t>
        </is>
      </c>
      <c r="H601" t="inlineStr">
        <is>
          <t>pinnata</t>
        </is>
      </c>
      <c r="I601" s="2" t="n">
        <v>38902</v>
      </c>
      <c r="J601" t="inlineStr">
        <is>
          <t>3607</t>
        </is>
      </c>
      <c r="K601" t="inlineStr"/>
      <c r="L601" t="inlineStr">
        <is>
          <t>Ο</t>
        </is>
      </c>
      <c r="M601" t="inlineStr">
        <is>
          <t>Ø</t>
        </is>
      </c>
      <c r="N601" t="n">
        <v>8911</v>
      </c>
    </row>
    <row r="602">
      <c r="A602" s="1" t="n">
        <v>600</v>
      </c>
      <c r="B602" t="n">
        <v>62</v>
      </c>
      <c r="C602" t="inlineStr">
        <is>
          <t>Galeras</t>
        </is>
      </c>
      <c r="D602" t="inlineStr">
        <is>
          <t>GAL_62</t>
        </is>
      </c>
      <c r="E602" t="n">
        <v>1907</v>
      </c>
      <c r="F602" t="inlineStr">
        <is>
          <t>Lauraceae</t>
        </is>
      </c>
      <c r="G602" t="inlineStr">
        <is>
          <t>Aniba</t>
        </is>
      </c>
      <c r="H602" t="inlineStr"/>
      <c r="I602" s="2" t="n">
        <v>38902</v>
      </c>
      <c r="J602" t="inlineStr">
        <is>
          <t>3609</t>
        </is>
      </c>
      <c r="K602" t="inlineStr"/>
      <c r="L602" t="inlineStr"/>
      <c r="M602" t="inlineStr"/>
      <c r="N602" t="n">
        <v>8915</v>
      </c>
    </row>
    <row r="603">
      <c r="A603" s="1" t="n">
        <v>601</v>
      </c>
      <c r="B603" t="n">
        <v>62</v>
      </c>
      <c r="C603" t="inlineStr">
        <is>
          <t>Galeras</t>
        </is>
      </c>
      <c r="D603" t="inlineStr">
        <is>
          <t>GAL_62</t>
        </is>
      </c>
      <c r="E603" t="n">
        <v>1908</v>
      </c>
      <c r="F603" t="inlineStr">
        <is>
          <t>Rubiaceae</t>
        </is>
      </c>
      <c r="G603" t="inlineStr">
        <is>
          <t>Elaeagia</t>
        </is>
      </c>
      <c r="H603" t="inlineStr">
        <is>
          <t>mariae</t>
        </is>
      </c>
      <c r="I603" s="2" t="n">
        <v>38902</v>
      </c>
      <c r="J603" t="inlineStr">
        <is>
          <t>2536</t>
        </is>
      </c>
      <c r="K603" t="inlineStr"/>
      <c r="L603" t="inlineStr"/>
      <c r="M603" t="inlineStr"/>
      <c r="N603" t="inlineStr"/>
    </row>
    <row r="604">
      <c r="A604" s="1" t="n">
        <v>602</v>
      </c>
      <c r="B604" t="n">
        <v>62</v>
      </c>
      <c r="C604" t="inlineStr">
        <is>
          <t>Galeras</t>
        </is>
      </c>
      <c r="D604" t="inlineStr">
        <is>
          <t>GAL_62</t>
        </is>
      </c>
      <c r="E604" t="n">
        <v>1909</v>
      </c>
      <c r="F604" t="inlineStr">
        <is>
          <t>Theaceae</t>
        </is>
      </c>
      <c r="G604" t="inlineStr">
        <is>
          <t>Gordonia</t>
        </is>
      </c>
      <c r="H604" t="inlineStr">
        <is>
          <t>fruticosa</t>
        </is>
      </c>
      <c r="I604" s="2" t="n">
        <v>38902</v>
      </c>
      <c r="J604" t="inlineStr"/>
      <c r="K604" t="inlineStr"/>
      <c r="L604" t="inlineStr"/>
      <c r="M604" t="inlineStr"/>
      <c r="N604" t="inlineStr"/>
    </row>
    <row r="605">
      <c r="A605" s="1" t="n">
        <v>603</v>
      </c>
      <c r="B605" t="n">
        <v>62</v>
      </c>
      <c r="C605" t="inlineStr">
        <is>
          <t>Galeras</t>
        </is>
      </c>
      <c r="D605" t="inlineStr">
        <is>
          <t>GAL_62</t>
        </is>
      </c>
      <c r="E605" t="inlineStr"/>
      <c r="F605" t="inlineStr">
        <is>
          <t>Primulaceae</t>
        </is>
      </c>
      <c r="G605" t="inlineStr">
        <is>
          <t>Geissanthus</t>
        </is>
      </c>
      <c r="H605" t="inlineStr"/>
      <c r="I605" t="inlineStr"/>
      <c r="J605" t="inlineStr"/>
      <c r="K605" t="inlineStr"/>
      <c r="L605" t="inlineStr"/>
      <c r="M605" t="inlineStr"/>
      <c r="N605" t="n">
        <v>8932</v>
      </c>
    </row>
    <row r="606">
      <c r="A606" s="1" t="n">
        <v>604</v>
      </c>
      <c r="B606" t="n">
        <v>62</v>
      </c>
      <c r="C606" t="inlineStr">
        <is>
          <t>Galeras</t>
        </is>
      </c>
      <c r="D606" t="inlineStr">
        <is>
          <t>GAL_62</t>
        </is>
      </c>
      <c r="E606" t="n">
        <v>1913</v>
      </c>
      <c r="F606" t="inlineStr">
        <is>
          <t>Lecythidaceae</t>
        </is>
      </c>
      <c r="G606" t="inlineStr">
        <is>
          <t>Eschweilera</t>
        </is>
      </c>
      <c r="H606" t="inlineStr"/>
      <c r="I606" s="2" t="n">
        <v>38902</v>
      </c>
      <c r="J606">
        <f>2532</f>
        <v/>
      </c>
      <c r="K606" t="inlineStr"/>
      <c r="L606" t="inlineStr"/>
      <c r="M606" t="inlineStr"/>
      <c r="N606" t="n">
        <v>8927</v>
      </c>
    </row>
    <row r="607">
      <c r="A607" s="1" t="n">
        <v>605</v>
      </c>
      <c r="B607" t="n">
        <v>62</v>
      </c>
      <c r="C607" t="inlineStr">
        <is>
          <t>Galeras</t>
        </is>
      </c>
      <c r="D607" t="inlineStr">
        <is>
          <t>GAL_62</t>
        </is>
      </c>
      <c r="E607" t="n">
        <v>1914</v>
      </c>
      <c r="F607" t="inlineStr">
        <is>
          <t>Arecaceae</t>
        </is>
      </c>
      <c r="G607" t="inlineStr">
        <is>
          <t>Wettinia</t>
        </is>
      </c>
      <c r="H607" t="inlineStr">
        <is>
          <t>anomala</t>
        </is>
      </c>
      <c r="I607" s="2" t="n">
        <v>38902</v>
      </c>
      <c r="J607" t="inlineStr"/>
      <c r="K607" t="inlineStr"/>
      <c r="L607" t="inlineStr"/>
      <c r="M607" t="inlineStr"/>
      <c r="N607" t="n">
        <v>8928</v>
      </c>
    </row>
    <row r="608">
      <c r="A608" s="1" t="n">
        <v>606</v>
      </c>
      <c r="B608" t="n">
        <v>62</v>
      </c>
      <c r="C608" t="inlineStr">
        <is>
          <t>Galeras</t>
        </is>
      </c>
      <c r="D608" t="inlineStr">
        <is>
          <t>GAL_62</t>
        </is>
      </c>
      <c r="E608" t="n">
        <v>1915</v>
      </c>
      <c r="F608" t="inlineStr">
        <is>
          <t>Melastomataceae</t>
        </is>
      </c>
      <c r="G608" t="inlineStr">
        <is>
          <t>Miconia</t>
        </is>
      </c>
      <c r="H608" t="inlineStr">
        <is>
          <t>punctata</t>
        </is>
      </c>
      <c r="I608" s="2" t="n">
        <v>38902</v>
      </c>
      <c r="J608">
        <f>3604</f>
        <v/>
      </c>
      <c r="K608" t="inlineStr"/>
      <c r="L608" t="inlineStr"/>
      <c r="M608" t="inlineStr"/>
      <c r="N608" t="n">
        <v>8926</v>
      </c>
    </row>
    <row r="609">
      <c r="A609" s="1" t="n">
        <v>607</v>
      </c>
      <c r="B609" t="n">
        <v>62</v>
      </c>
      <c r="C609" t="inlineStr">
        <is>
          <t>Galeras</t>
        </is>
      </c>
      <c r="D609" t="inlineStr">
        <is>
          <t>GAL_62</t>
        </is>
      </c>
      <c r="E609" t="n">
        <v>1916</v>
      </c>
      <c r="F609" t="inlineStr">
        <is>
          <t>Burseraceae</t>
        </is>
      </c>
      <c r="G609" t="inlineStr">
        <is>
          <t>Protium</t>
        </is>
      </c>
      <c r="H609" t="inlineStr">
        <is>
          <t>sp. nov. #4</t>
        </is>
      </c>
      <c r="I609" s="2" t="n">
        <v>38902</v>
      </c>
      <c r="J609" t="inlineStr"/>
      <c r="K609" t="inlineStr"/>
      <c r="L609" t="inlineStr"/>
      <c r="M609" t="inlineStr"/>
      <c r="N609" t="inlineStr"/>
    </row>
    <row r="610">
      <c r="A610" s="1" t="n">
        <v>608</v>
      </c>
      <c r="B610" t="n">
        <v>62</v>
      </c>
      <c r="C610" t="inlineStr">
        <is>
          <t>Galeras</t>
        </is>
      </c>
      <c r="D610" t="inlineStr">
        <is>
          <t>GAL_62</t>
        </is>
      </c>
      <c r="E610" t="n">
        <v>1917</v>
      </c>
      <c r="F610" t="inlineStr">
        <is>
          <t>Rubiaceae</t>
        </is>
      </c>
      <c r="G610" t="inlineStr">
        <is>
          <t>Elaeagia</t>
        </is>
      </c>
      <c r="H610" t="inlineStr">
        <is>
          <t>mariae</t>
        </is>
      </c>
      <c r="I610" s="2" t="n">
        <v>38902</v>
      </c>
      <c r="J610" t="inlineStr"/>
      <c r="K610" t="inlineStr"/>
      <c r="L610" t="inlineStr"/>
      <c r="M610" t="inlineStr"/>
      <c r="N610" t="inlineStr"/>
    </row>
    <row r="611">
      <c r="A611" s="1" t="n">
        <v>609</v>
      </c>
      <c r="B611" t="n">
        <v>62</v>
      </c>
      <c r="C611" t="inlineStr">
        <is>
          <t>Galeras</t>
        </is>
      </c>
      <c r="D611" t="inlineStr">
        <is>
          <t>GAL_62</t>
        </is>
      </c>
      <c r="E611" t="n">
        <v>1918</v>
      </c>
      <c r="F611" t="inlineStr">
        <is>
          <t>Fabaceae</t>
        </is>
      </c>
      <c r="G611" t="inlineStr">
        <is>
          <t>Diplotropis</t>
        </is>
      </c>
      <c r="H611" t="inlineStr">
        <is>
          <t>aff purpurea</t>
        </is>
      </c>
      <c r="I611" s="2" t="n">
        <v>38902</v>
      </c>
      <c r="J611" t="inlineStr">
        <is>
          <t>3614</t>
        </is>
      </c>
      <c r="K611" t="inlineStr"/>
      <c r="L611" t="inlineStr">
        <is>
          <t>Ο</t>
        </is>
      </c>
      <c r="M611" t="inlineStr">
        <is>
          <t>Ø</t>
        </is>
      </c>
      <c r="N611" t="n">
        <v>8923</v>
      </c>
    </row>
    <row r="612">
      <c r="A612" s="1" t="n">
        <v>610</v>
      </c>
      <c r="B612" t="n">
        <v>62</v>
      </c>
      <c r="C612" t="inlineStr">
        <is>
          <t>Galeras</t>
        </is>
      </c>
      <c r="D612" t="inlineStr">
        <is>
          <t>GAL_62</t>
        </is>
      </c>
      <c r="E612" t="inlineStr"/>
      <c r="F612" t="inlineStr">
        <is>
          <t>Rosaceae</t>
        </is>
      </c>
      <c r="G612" t="inlineStr">
        <is>
          <t>Prunus</t>
        </is>
      </c>
      <c r="H612" t="inlineStr"/>
      <c r="I612" t="inlineStr"/>
      <c r="J612" t="inlineStr"/>
      <c r="K612" t="inlineStr"/>
      <c r="L612" t="inlineStr"/>
      <c r="M612" t="inlineStr"/>
      <c r="N612" t="n">
        <v>8910</v>
      </c>
    </row>
    <row r="613">
      <c r="A613" s="1" t="n">
        <v>611</v>
      </c>
      <c r="B613" t="n">
        <v>62</v>
      </c>
      <c r="C613" t="inlineStr">
        <is>
          <t>Galeras</t>
        </is>
      </c>
      <c r="D613" t="inlineStr">
        <is>
          <t>GAL_62</t>
        </is>
      </c>
      <c r="E613" t="inlineStr"/>
      <c r="F613" t="inlineStr">
        <is>
          <t>Arecaceae</t>
        </is>
      </c>
      <c r="G613" t="inlineStr">
        <is>
          <t>Dictyocaryum</t>
        </is>
      </c>
      <c r="H613" t="inlineStr">
        <is>
          <t>lamarckianum</t>
        </is>
      </c>
      <c r="I613" t="inlineStr"/>
      <c r="J613" t="inlineStr"/>
      <c r="K613" t="inlineStr"/>
      <c r="L613" t="inlineStr"/>
      <c r="M613" t="inlineStr"/>
      <c r="N613" t="n">
        <v>8902</v>
      </c>
    </row>
    <row r="614">
      <c r="A614" s="1" t="n">
        <v>612</v>
      </c>
      <c r="B614" t="n">
        <v>62</v>
      </c>
      <c r="C614" t="inlineStr">
        <is>
          <t>Galeras</t>
        </is>
      </c>
      <c r="D614" t="inlineStr">
        <is>
          <t>GAL_62</t>
        </is>
      </c>
      <c r="E614" t="inlineStr"/>
      <c r="F614" t="inlineStr">
        <is>
          <t>Lauraceae</t>
        </is>
      </c>
      <c r="G614" t="inlineStr">
        <is>
          <t>Ocotea</t>
        </is>
      </c>
      <c r="H614" t="inlineStr"/>
      <c r="I614" t="inlineStr"/>
      <c r="J614" t="inlineStr"/>
      <c r="K614" t="inlineStr"/>
      <c r="L614" t="inlineStr"/>
      <c r="M614" t="inlineStr"/>
      <c r="N614" t="n">
        <v>8912</v>
      </c>
    </row>
    <row r="615">
      <c r="A615" s="1" t="n">
        <v>613</v>
      </c>
      <c r="B615" t="n">
        <v>62</v>
      </c>
      <c r="C615" t="inlineStr">
        <is>
          <t>Galeras</t>
        </is>
      </c>
      <c r="D615" t="inlineStr">
        <is>
          <t>GAL_62</t>
        </is>
      </c>
      <c r="E615" t="inlineStr"/>
      <c r="F615" t="inlineStr">
        <is>
          <t>Rubiaceae</t>
        </is>
      </c>
      <c r="G615" t="inlineStr">
        <is>
          <t>Rubi28</t>
        </is>
      </c>
      <c r="H615" t="inlineStr"/>
      <c r="I615" t="inlineStr"/>
      <c r="J615" t="inlineStr"/>
      <c r="K615" t="inlineStr"/>
      <c r="L615" t="inlineStr"/>
      <c r="M615" t="inlineStr"/>
      <c r="N615" t="n">
        <v>8914</v>
      </c>
    </row>
    <row r="616">
      <c r="A616" s="1" t="n">
        <v>614</v>
      </c>
      <c r="B616" t="n">
        <v>62</v>
      </c>
      <c r="C616" t="inlineStr">
        <is>
          <t>Galeras</t>
        </is>
      </c>
      <c r="D616" t="inlineStr">
        <is>
          <t>GAL_62</t>
        </is>
      </c>
      <c r="E616" t="inlineStr"/>
      <c r="F616" t="inlineStr">
        <is>
          <t>Arecaceae</t>
        </is>
      </c>
      <c r="G616" t="inlineStr">
        <is>
          <t>Dictyocaryum</t>
        </is>
      </c>
      <c r="H616" t="inlineStr">
        <is>
          <t>lamarckianum</t>
        </is>
      </c>
      <c r="I616" t="inlineStr"/>
      <c r="J616" t="inlineStr"/>
      <c r="K616" t="inlineStr"/>
      <c r="L616" t="inlineStr"/>
      <c r="M616" t="inlineStr"/>
      <c r="N616" t="n">
        <v>8919</v>
      </c>
    </row>
    <row r="617">
      <c r="A617" s="1" t="n">
        <v>615</v>
      </c>
      <c r="B617" t="n">
        <v>62</v>
      </c>
      <c r="C617" t="inlineStr">
        <is>
          <t>Galeras</t>
        </is>
      </c>
      <c r="D617" t="inlineStr">
        <is>
          <t>GAL_62</t>
        </is>
      </c>
      <c r="E617" t="inlineStr"/>
      <c r="F617" t="inlineStr">
        <is>
          <t>Moraceae</t>
        </is>
      </c>
      <c r="G617" t="inlineStr">
        <is>
          <t>Helicostylis</t>
        </is>
      </c>
      <c r="H617" t="inlineStr">
        <is>
          <t>tovariensis</t>
        </is>
      </c>
      <c r="I617" t="inlineStr"/>
      <c r="J617" t="inlineStr"/>
      <c r="K617" t="inlineStr"/>
      <c r="L617" t="inlineStr"/>
      <c r="M617" t="inlineStr"/>
      <c r="N617" t="n">
        <v>8921</v>
      </c>
    </row>
    <row r="618">
      <c r="A618" s="1" t="n">
        <v>616</v>
      </c>
      <c r="B618" t="n">
        <v>62</v>
      </c>
      <c r="C618" t="inlineStr">
        <is>
          <t>Galeras</t>
        </is>
      </c>
      <c r="D618" t="inlineStr">
        <is>
          <t>GAL_62</t>
        </is>
      </c>
      <c r="E618" t="inlineStr"/>
      <c r="F618" t="inlineStr">
        <is>
          <t>Myrtaceae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n">
        <v>8922</v>
      </c>
    </row>
    <row r="619">
      <c r="A619" s="1" t="n">
        <v>617</v>
      </c>
      <c r="B619" t="n">
        <v>62</v>
      </c>
      <c r="C619" t="inlineStr">
        <is>
          <t>Galeras</t>
        </is>
      </c>
      <c r="D619" t="inlineStr">
        <is>
          <t>GAL_62</t>
        </is>
      </c>
      <c r="E619" t="inlineStr"/>
      <c r="F619" t="inlineStr">
        <is>
          <t>Rubiaceae</t>
        </is>
      </c>
      <c r="G619" t="inlineStr">
        <is>
          <t>Rubi28</t>
        </is>
      </c>
      <c r="H619" t="inlineStr"/>
      <c r="I619" t="inlineStr"/>
      <c r="J619" t="inlineStr"/>
      <c r="K619" t="inlineStr"/>
      <c r="L619" t="inlineStr"/>
      <c r="M619" t="inlineStr"/>
      <c r="N619" t="n">
        <v>8931</v>
      </c>
    </row>
    <row r="620">
      <c r="A620" s="1" t="n">
        <v>618</v>
      </c>
      <c r="B620" t="n">
        <v>62</v>
      </c>
      <c r="C620" t="inlineStr">
        <is>
          <t>Galeras</t>
        </is>
      </c>
      <c r="D620" t="inlineStr">
        <is>
          <t>GAL_62</t>
        </is>
      </c>
      <c r="E620" t="inlineStr"/>
      <c r="F620" t="inlineStr">
        <is>
          <t>Clusiaceae</t>
        </is>
      </c>
      <c r="G620" t="inlineStr">
        <is>
          <t>Tovomita</t>
        </is>
      </c>
      <c r="H620" t="inlineStr"/>
      <c r="I620" t="inlineStr"/>
      <c r="J620" t="inlineStr"/>
      <c r="K620" t="inlineStr"/>
      <c r="L620" t="inlineStr"/>
      <c r="M620" t="inlineStr"/>
      <c r="N620" t="n">
        <v>8935</v>
      </c>
    </row>
    <row r="621">
      <c r="A621" s="1" t="n">
        <v>619</v>
      </c>
      <c r="B621" t="n">
        <v>62</v>
      </c>
      <c r="C621" t="inlineStr">
        <is>
          <t>Galeras</t>
        </is>
      </c>
      <c r="D621" t="inlineStr">
        <is>
          <t>GAL_62</t>
        </is>
      </c>
      <c r="E621" t="inlineStr"/>
      <c r="F621" t="inlineStr">
        <is>
          <t>Arecaceae</t>
        </is>
      </c>
      <c r="G621" t="inlineStr">
        <is>
          <t>Dictyocaryum</t>
        </is>
      </c>
      <c r="H621" t="inlineStr">
        <is>
          <t>lamarckianum</t>
        </is>
      </c>
      <c r="I621" t="inlineStr"/>
      <c r="J621" t="inlineStr"/>
      <c r="K621" t="inlineStr"/>
      <c r="L621" t="inlineStr"/>
      <c r="M621" t="inlineStr"/>
      <c r="N621" t="n">
        <v>8936</v>
      </c>
    </row>
    <row r="622">
      <c r="A622" s="1" t="n">
        <v>620</v>
      </c>
      <c r="B622" t="n">
        <v>62</v>
      </c>
      <c r="C622" t="inlineStr">
        <is>
          <t>Galeras</t>
        </is>
      </c>
      <c r="D622" t="inlineStr">
        <is>
          <t>GAL_62</t>
        </is>
      </c>
      <c r="E622" t="inlineStr"/>
      <c r="F622" t="inlineStr">
        <is>
          <t>Myrsinaceae</t>
        </is>
      </c>
      <c r="G622" t="inlineStr">
        <is>
          <t>Myrsine</t>
        </is>
      </c>
      <c r="H622" t="inlineStr">
        <is>
          <t>coriaceae</t>
        </is>
      </c>
      <c r="I622" t="inlineStr"/>
      <c r="J622" t="inlineStr"/>
      <c r="K622" t="inlineStr"/>
      <c r="L622" t="inlineStr"/>
      <c r="M622" t="inlineStr"/>
      <c r="N622" t="n">
        <v>8937</v>
      </c>
    </row>
    <row r="623">
      <c r="A623" s="1" t="n">
        <v>621</v>
      </c>
      <c r="B623" t="n">
        <v>62</v>
      </c>
      <c r="C623" t="inlineStr">
        <is>
          <t>Galeras</t>
        </is>
      </c>
      <c r="D623" t="inlineStr">
        <is>
          <t>GAL_62</t>
        </is>
      </c>
      <c r="E623" t="inlineStr"/>
      <c r="F623" t="inlineStr">
        <is>
          <t>Clusiaceae</t>
        </is>
      </c>
      <c r="G623" t="inlineStr">
        <is>
          <t>Tovomita</t>
        </is>
      </c>
      <c r="H623" t="inlineStr"/>
      <c r="I623" t="inlineStr"/>
      <c r="J623" t="inlineStr"/>
      <c r="K623" t="inlineStr"/>
      <c r="L623" t="inlineStr"/>
      <c r="M623" t="inlineStr"/>
      <c r="N623" t="n">
        <v>8941</v>
      </c>
    </row>
    <row r="624">
      <c r="A624" s="1" t="n">
        <v>622</v>
      </c>
      <c r="B624" t="n">
        <v>62</v>
      </c>
      <c r="C624" t="inlineStr">
        <is>
          <t>Galeras</t>
        </is>
      </c>
      <c r="D624" t="inlineStr">
        <is>
          <t>GAL_62</t>
        </is>
      </c>
      <c r="E624" t="inlineStr"/>
      <c r="F624" t="inlineStr">
        <is>
          <t>Lauraceae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n">
        <v>8942</v>
      </c>
    </row>
    <row r="625">
      <c r="A625" s="1" t="n">
        <v>623</v>
      </c>
      <c r="B625" t="n">
        <v>62</v>
      </c>
      <c r="C625" t="inlineStr">
        <is>
          <t>Galeras</t>
        </is>
      </c>
      <c r="D625" t="inlineStr">
        <is>
          <t>GAL_62</t>
        </is>
      </c>
      <c r="E625" t="inlineStr"/>
      <c r="F625" t="inlineStr">
        <is>
          <t>Chloranthaceae</t>
        </is>
      </c>
      <c r="G625" t="inlineStr">
        <is>
          <t>Hedyosmum</t>
        </is>
      </c>
      <c r="H625" t="inlineStr"/>
      <c r="I625" t="inlineStr"/>
      <c r="J625" t="inlineStr"/>
      <c r="K625" t="inlineStr"/>
      <c r="L625" t="inlineStr"/>
      <c r="M625" t="inlineStr"/>
      <c r="N625" t="n">
        <v>8943</v>
      </c>
    </row>
    <row r="626">
      <c r="A626" s="1" t="n">
        <v>624</v>
      </c>
      <c r="B626" t="n">
        <v>62</v>
      </c>
      <c r="C626" t="inlineStr">
        <is>
          <t>Galeras</t>
        </is>
      </c>
      <c r="D626" t="inlineStr">
        <is>
          <t>GAL_62</t>
        </is>
      </c>
      <c r="E626" t="inlineStr"/>
      <c r="F626" t="inlineStr"/>
      <c r="G626" t="inlineStr">
        <is>
          <t>Liana62</t>
        </is>
      </c>
      <c r="H626" t="inlineStr"/>
      <c r="I626" t="inlineStr"/>
      <c r="J626" t="inlineStr"/>
      <c r="K626" t="inlineStr"/>
      <c r="L626" t="inlineStr"/>
      <c r="M626" t="inlineStr"/>
      <c r="N626" t="n">
        <v>8944</v>
      </c>
    </row>
    <row r="627">
      <c r="A627" s="1" t="n">
        <v>625</v>
      </c>
      <c r="B627" t="n">
        <v>62</v>
      </c>
      <c r="C627" t="inlineStr">
        <is>
          <t>Galeras</t>
        </is>
      </c>
      <c r="D627" t="inlineStr">
        <is>
          <t>GAL_62</t>
        </is>
      </c>
      <c r="E627" t="inlineStr"/>
      <c r="F627" t="inlineStr">
        <is>
          <t>Rubiaceae</t>
        </is>
      </c>
      <c r="G627" t="inlineStr">
        <is>
          <t>Rubi28</t>
        </is>
      </c>
      <c r="H627" t="inlineStr"/>
      <c r="I627" t="inlineStr"/>
      <c r="J627" t="inlineStr"/>
      <c r="K627" t="inlineStr"/>
      <c r="L627" t="inlineStr"/>
      <c r="M627" t="inlineStr"/>
      <c r="N627" t="n">
        <v>8939</v>
      </c>
    </row>
    <row r="628">
      <c r="A628" s="1" t="n">
        <v>626</v>
      </c>
      <c r="B628" t="n">
        <v>62</v>
      </c>
      <c r="C628" t="inlineStr">
        <is>
          <t>Galeras</t>
        </is>
      </c>
      <c r="D628" t="inlineStr">
        <is>
          <t>GAL_62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n">
        <v>8925</v>
      </c>
    </row>
    <row r="629">
      <c r="A629" s="1" t="n">
        <v>627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>
        <is>
          <t>ø</t>
        </is>
      </c>
      <c r="N629" t="inlineStr"/>
    </row>
    <row r="630">
      <c r="A630" s="1" t="n">
        <v>628</v>
      </c>
      <c r="B630" t="n">
        <v>48</v>
      </c>
      <c r="C630" t="inlineStr">
        <is>
          <t>Galeras</t>
        </is>
      </c>
      <c r="D630" t="inlineStr">
        <is>
          <t>GAL_48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>
        <is>
          <t>ø</t>
        </is>
      </c>
      <c r="N630" t="n">
        <v>8659</v>
      </c>
    </row>
    <row r="631">
      <c r="A631" s="1" t="n">
        <v>629</v>
      </c>
      <c r="B631" t="n">
        <v>48</v>
      </c>
      <c r="C631" t="inlineStr">
        <is>
          <t>Galeras</t>
        </is>
      </c>
      <c r="D631" t="inlineStr">
        <is>
          <t>GAL_48</t>
        </is>
      </c>
      <c r="E631" t="inlineStr"/>
      <c r="F631" t="inlineStr">
        <is>
          <t>Rubiaceae</t>
        </is>
      </c>
      <c r="G631" t="inlineStr">
        <is>
          <t>landerbergia</t>
        </is>
      </c>
      <c r="H631" t="inlineStr"/>
      <c r="I631" t="inlineStr"/>
      <c r="J631" t="inlineStr"/>
      <c r="K631" t="inlineStr"/>
      <c r="L631" t="inlineStr"/>
      <c r="M631" t="inlineStr">
        <is>
          <t>ø</t>
        </is>
      </c>
      <c r="N631" t="n">
        <v>8660</v>
      </c>
    </row>
    <row r="632">
      <c r="A632" s="1" t="n">
        <v>630</v>
      </c>
      <c r="B632" t="n">
        <v>48</v>
      </c>
      <c r="C632" t="inlineStr">
        <is>
          <t>Galeras</t>
        </is>
      </c>
      <c r="D632" t="inlineStr">
        <is>
          <t>GAL_48</t>
        </is>
      </c>
      <c r="E632" t="inlineStr"/>
      <c r="F632" t="inlineStr">
        <is>
          <t>Melastomatacea</t>
        </is>
      </c>
      <c r="G632" t="inlineStr"/>
      <c r="H632" t="inlineStr"/>
      <c r="I632" t="inlineStr"/>
      <c r="J632" t="inlineStr"/>
      <c r="K632" t="inlineStr"/>
      <c r="L632" t="inlineStr"/>
      <c r="M632" t="inlineStr">
        <is>
          <t>ø</t>
        </is>
      </c>
      <c r="N632" t="n">
        <v>8670</v>
      </c>
    </row>
    <row r="633">
      <c r="A633" s="1" t="n">
        <v>631</v>
      </c>
      <c r="B633" t="n">
        <v>48</v>
      </c>
      <c r="C633" t="inlineStr">
        <is>
          <t>Galeras</t>
        </is>
      </c>
      <c r="D633" t="inlineStr">
        <is>
          <t>GAL_48</t>
        </is>
      </c>
      <c r="E633" t="inlineStr"/>
      <c r="F633" t="inlineStr">
        <is>
          <t>Melastomatacea sp1.</t>
        </is>
      </c>
      <c r="G633" t="inlineStr"/>
      <c r="H633" t="inlineStr"/>
      <c r="I633" t="inlineStr"/>
      <c r="J633" t="inlineStr"/>
      <c r="K633" t="inlineStr"/>
      <c r="L633" t="inlineStr"/>
      <c r="M633" t="inlineStr">
        <is>
          <t>ø</t>
        </is>
      </c>
      <c r="N633" t="n">
        <v>8673</v>
      </c>
    </row>
    <row r="634">
      <c r="A634" s="1" t="n">
        <v>632</v>
      </c>
      <c r="B634" t="n">
        <v>48</v>
      </c>
      <c r="C634" t="inlineStr">
        <is>
          <t>Galeras</t>
        </is>
      </c>
      <c r="D634" t="inlineStr">
        <is>
          <t>GAL_48</t>
        </is>
      </c>
      <c r="E634" t="inlineStr"/>
      <c r="F634" t="inlineStr">
        <is>
          <t>Melasto/Miconia 2</t>
        </is>
      </c>
      <c r="G634" t="inlineStr"/>
      <c r="H634" t="inlineStr"/>
      <c r="I634" t="inlineStr"/>
      <c r="J634" t="inlineStr"/>
      <c r="K634" t="inlineStr"/>
      <c r="L634" t="inlineStr"/>
      <c r="M634" t="inlineStr">
        <is>
          <t>ø</t>
        </is>
      </c>
      <c r="N634" t="n">
        <v>8674</v>
      </c>
    </row>
    <row r="635">
      <c r="A635" s="1" t="n">
        <v>633</v>
      </c>
      <c r="B635" t="n">
        <v>49</v>
      </c>
      <c r="C635" t="inlineStr">
        <is>
          <t>Galeras</t>
        </is>
      </c>
      <c r="D635" t="inlineStr">
        <is>
          <t>GAL_48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>
        <is>
          <t>ø</t>
        </is>
      </c>
      <c r="N635" t="n">
        <v>8677</v>
      </c>
    </row>
    <row r="636">
      <c r="A636" s="1" t="n">
        <v>634</v>
      </c>
      <c r="B636" t="n">
        <v>24</v>
      </c>
      <c r="C636" t="inlineStr">
        <is>
          <t>Galeras</t>
        </is>
      </c>
      <c r="D636" t="inlineStr">
        <is>
          <t>GAL_24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n">
        <v>8638</v>
      </c>
    </row>
    <row r="637">
      <c r="A637" s="1" t="n">
        <v>635</v>
      </c>
      <c r="B637" t="n">
        <v>24</v>
      </c>
      <c r="C637" t="inlineStr">
        <is>
          <t>Galeras</t>
        </is>
      </c>
      <c r="D637" t="inlineStr">
        <is>
          <t>GAL_24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n">
        <v>8646</v>
      </c>
    </row>
    <row r="638">
      <c r="A638" s="1" t="n">
        <v>636</v>
      </c>
      <c r="B638" t="n">
        <v>49</v>
      </c>
      <c r="C638" t="inlineStr">
        <is>
          <t>Galeras</t>
        </is>
      </c>
      <c r="D638" t="inlineStr">
        <is>
          <t>GAL_48</t>
        </is>
      </c>
      <c r="E638" t="inlineStr"/>
      <c r="F638" t="inlineStr">
        <is>
          <t>Fabaceae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n">
        <v>8657</v>
      </c>
    </row>
    <row r="639">
      <c r="A639" s="1" t="n">
        <v>637</v>
      </c>
      <c r="B639" t="n">
        <v>49</v>
      </c>
      <c r="C639" t="inlineStr">
        <is>
          <t>Galeras</t>
        </is>
      </c>
      <c r="D639" t="inlineStr">
        <is>
          <t>GAL_48</t>
        </is>
      </c>
      <c r="E639" t="inlineStr"/>
      <c r="F639" t="inlineStr">
        <is>
          <t>Myrtaceae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n">
        <v>8675</v>
      </c>
    </row>
    <row r="640">
      <c r="A640" s="1" t="n">
        <v>638</v>
      </c>
      <c r="B640" t="n">
        <v>49</v>
      </c>
      <c r="C640" t="inlineStr">
        <is>
          <t>Galeras</t>
        </is>
      </c>
      <c r="D640" t="inlineStr">
        <is>
          <t>GAL_48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n">
        <v>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2026-02-02T09:39:11Z</dcterms:created>
  <dcterms:modified xmlns:dcterms="http://purl.org/dc/terms/" xmlns:xsi="http://www.w3.org/2001/XMLSchema-instance" xsi:type="dcterms:W3CDTF">2026-02-02T09:39:11Z</dcterms:modified>
</cp:coreProperties>
</file>
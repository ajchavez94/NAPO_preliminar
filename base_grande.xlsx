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old_treeID</t>
        </is>
      </c>
      <c r="C1" s="1" t="inlineStr">
        <is>
          <t>new_TreeID</t>
        </is>
      </c>
      <c r="D1" s="1" t="inlineStr">
        <is>
          <t>family</t>
        </is>
      </c>
      <c r="E1" s="1" t="inlineStr">
        <is>
          <t>JH herbarium collections</t>
        </is>
      </c>
      <c r="F1" s="1" t="inlineStr">
        <is>
          <t>genus</t>
        </is>
      </c>
      <c r="G1" s="1" t="inlineStr">
        <is>
          <t>species</t>
        </is>
      </c>
    </row>
    <row r="2">
      <c r="A2" s="1" t="n">
        <v>0</v>
      </c>
      <c r="B2" t="n">
        <v>2146</v>
      </c>
      <c r="C2" t="n">
        <v>8865</v>
      </c>
      <c r="D2" t="inlineStr">
        <is>
          <t>Violaceae</t>
        </is>
      </c>
      <c r="E2" t="inlineStr">
        <is>
          <t>3928</t>
        </is>
      </c>
      <c r="F2" t="inlineStr">
        <is>
          <t>Leonia</t>
        </is>
      </c>
      <c r="G2" t="inlineStr">
        <is>
          <t>glycycarpa</t>
        </is>
      </c>
    </row>
    <row r="3">
      <c r="A3" s="1" t="n">
        <v>1</v>
      </c>
      <c r="B3" t="n">
        <v>2144</v>
      </c>
      <c r="C3" t="n">
        <v>8866</v>
      </c>
      <c r="D3" t="inlineStr">
        <is>
          <t>Sapotaceae</t>
        </is>
      </c>
      <c r="E3" t="inlineStr">
        <is>
          <t>3926</t>
        </is>
      </c>
      <c r="F3" t="inlineStr">
        <is>
          <t>Chrysophyllum</t>
        </is>
      </c>
      <c r="G3" t="inlineStr">
        <is>
          <t>argenteum</t>
        </is>
      </c>
    </row>
    <row r="4">
      <c r="A4" s="1" t="n">
        <v>2</v>
      </c>
      <c r="B4" t="n">
        <v>2142</v>
      </c>
      <c r="C4" t="n">
        <v>8867</v>
      </c>
      <c r="D4" t="inlineStr">
        <is>
          <t>Rhizophoraceae</t>
        </is>
      </c>
      <c r="E4" t="inlineStr">
        <is>
          <t>3925</t>
        </is>
      </c>
      <c r="F4" t="inlineStr">
        <is>
          <t>Cassipourea</t>
        </is>
      </c>
      <c r="G4" t="inlineStr">
        <is>
          <t>guianensis</t>
        </is>
      </c>
    </row>
    <row r="5">
      <c r="A5" s="1" t="n">
        <v>3</v>
      </c>
      <c r="B5" t="n">
        <v>2143</v>
      </c>
      <c r="C5" t="n">
        <v>8868</v>
      </c>
      <c r="D5" t="inlineStr">
        <is>
          <t>Myristicaceae</t>
        </is>
      </c>
      <c r="E5" t="inlineStr"/>
      <c r="F5" t="inlineStr">
        <is>
          <t>Otoba</t>
        </is>
      </c>
      <c r="G5" t="inlineStr">
        <is>
          <t>parvifolia</t>
        </is>
      </c>
    </row>
    <row r="6">
      <c r="A6" s="1" t="n">
        <v>4</v>
      </c>
      <c r="B6" t="n">
        <v>2141</v>
      </c>
      <c r="C6" t="n">
        <v>8869</v>
      </c>
      <c r="D6" t="inlineStr">
        <is>
          <t>Sapotaceae</t>
        </is>
      </c>
      <c r="E6" t="inlineStr">
        <is>
          <t>3924</t>
        </is>
      </c>
      <c r="F6" t="inlineStr">
        <is>
          <t>Sarcaulus</t>
        </is>
      </c>
      <c r="G6" t="inlineStr">
        <is>
          <t>aff. oblatus</t>
        </is>
      </c>
    </row>
    <row r="7">
      <c r="A7" s="1" t="n">
        <v>5</v>
      </c>
      <c r="B7" t="n">
        <v>2139</v>
      </c>
      <c r="C7" t="n">
        <v>8870</v>
      </c>
      <c r="D7" t="inlineStr">
        <is>
          <t>Lauraceae</t>
        </is>
      </c>
      <c r="E7" t="inlineStr">
        <is>
          <t>3923</t>
        </is>
      </c>
      <c r="F7" t="inlineStr">
        <is>
          <t>Ocotea</t>
        </is>
      </c>
      <c r="G7" t="inlineStr"/>
    </row>
    <row r="8">
      <c r="A8" s="1" t="n">
        <v>6</v>
      </c>
      <c r="B8" t="n">
        <v>2140</v>
      </c>
      <c r="C8" t="n">
        <v>8871</v>
      </c>
      <c r="D8" t="inlineStr">
        <is>
          <t>Myristicaceae</t>
        </is>
      </c>
      <c r="E8" t="inlineStr"/>
      <c r="F8" t="inlineStr">
        <is>
          <t>Otoba</t>
        </is>
      </c>
      <c r="G8" t="inlineStr">
        <is>
          <t>parvifolia</t>
        </is>
      </c>
    </row>
    <row r="9">
      <c r="A9" s="1" t="n">
        <v>7</v>
      </c>
      <c r="B9" t="inlineStr"/>
      <c r="C9" t="n">
        <v>8872</v>
      </c>
      <c r="D9" t="inlineStr">
        <is>
          <t>Fabaceae</t>
        </is>
      </c>
      <c r="E9" t="inlineStr"/>
      <c r="F9" t="inlineStr">
        <is>
          <t>Macrolobium</t>
        </is>
      </c>
      <c r="G9" t="inlineStr">
        <is>
          <t>cf. ischnocalyx</t>
        </is>
      </c>
    </row>
    <row r="10">
      <c r="A10" s="1" t="n">
        <v>8</v>
      </c>
      <c r="B10" t="n">
        <v>2134</v>
      </c>
      <c r="C10" t="n">
        <v>8873</v>
      </c>
      <c r="D10" t="inlineStr">
        <is>
          <t>Euphorbiaceae</t>
        </is>
      </c>
      <c r="E10" t="inlineStr"/>
      <c r="F10" t="inlineStr">
        <is>
          <t>Pseudosenefeldera</t>
        </is>
      </c>
      <c r="G10" t="inlineStr">
        <is>
          <t>inclinata</t>
        </is>
      </c>
    </row>
    <row r="11">
      <c r="A11" s="1" t="n">
        <v>9</v>
      </c>
      <c r="B11" t="inlineStr"/>
      <c r="C11" t="n">
        <v>8874</v>
      </c>
      <c r="D11" t="inlineStr">
        <is>
          <t>Euphorbiaceae</t>
        </is>
      </c>
      <c r="E11" t="inlineStr"/>
      <c r="F11" t="inlineStr">
        <is>
          <t>Pseudosenefeldera</t>
        </is>
      </c>
      <c r="G11" t="inlineStr">
        <is>
          <t>inclinata</t>
        </is>
      </c>
    </row>
    <row r="12">
      <c r="A12" s="1" t="n">
        <v>10</v>
      </c>
      <c r="B12" t="n">
        <v>2137</v>
      </c>
      <c r="C12" t="n">
        <v>8875</v>
      </c>
      <c r="D12" t="inlineStr">
        <is>
          <t>Myristicaceae</t>
        </is>
      </c>
      <c r="E12" t="inlineStr"/>
      <c r="F12" t="inlineStr">
        <is>
          <t>Virola</t>
        </is>
      </c>
      <c r="G12" t="inlineStr">
        <is>
          <t>calophylla</t>
        </is>
      </c>
    </row>
    <row r="13">
      <c r="A13" s="1" t="n">
        <v>11</v>
      </c>
      <c r="B13" t="n">
        <v>2133</v>
      </c>
      <c r="C13" t="n">
        <v>8876</v>
      </c>
      <c r="D13" t="inlineStr">
        <is>
          <t>Sapotaceae</t>
        </is>
      </c>
      <c r="E13" t="inlineStr">
        <is>
          <t>3918</t>
        </is>
      </c>
      <c r="F13" t="inlineStr">
        <is>
          <t>Pouteria</t>
        </is>
      </c>
      <c r="G13" t="inlineStr">
        <is>
          <t>torta</t>
        </is>
      </c>
    </row>
    <row r="14">
      <c r="A14" s="1" t="n">
        <v>12</v>
      </c>
      <c r="B14" t="n">
        <v>2135</v>
      </c>
      <c r="C14" t="n">
        <v>8877</v>
      </c>
      <c r="D14" t="inlineStr">
        <is>
          <t>Malvaceae</t>
        </is>
      </c>
      <c r="E14" t="inlineStr"/>
      <c r="F14" t="inlineStr">
        <is>
          <t>Theobroma</t>
        </is>
      </c>
      <c r="G14" t="inlineStr">
        <is>
          <t>speciosum</t>
        </is>
      </c>
    </row>
    <row r="15">
      <c r="A15" s="1" t="n">
        <v>13</v>
      </c>
      <c r="B15" t="n">
        <v>2136</v>
      </c>
      <c r="C15" t="n">
        <v>8878</v>
      </c>
      <c r="D15" t="inlineStr">
        <is>
          <t>Rubiaceae</t>
        </is>
      </c>
      <c r="E15" t="inlineStr">
        <is>
          <t>3920</t>
        </is>
      </c>
      <c r="F15" t="inlineStr">
        <is>
          <t>Duroia</t>
        </is>
      </c>
      <c r="G15" t="inlineStr">
        <is>
          <t>hirsuta</t>
        </is>
      </c>
    </row>
    <row r="16">
      <c r="A16" s="1" t="n">
        <v>14</v>
      </c>
      <c r="B16" t="n">
        <v>2160</v>
      </c>
      <c r="C16" t="n">
        <v>8879</v>
      </c>
      <c r="D16" t="inlineStr">
        <is>
          <t>Burseraceae</t>
        </is>
      </c>
      <c r="E16" t="inlineStr"/>
      <c r="F16" t="inlineStr">
        <is>
          <t>Protium</t>
        </is>
      </c>
      <c r="G16" t="inlineStr">
        <is>
          <t>stevensonii</t>
        </is>
      </c>
    </row>
    <row r="17">
      <c r="A17" s="1" t="n">
        <v>15</v>
      </c>
      <c r="B17" t="inlineStr"/>
      <c r="C17" t="n">
        <v>8880</v>
      </c>
      <c r="D17" t="inlineStr">
        <is>
          <t>Rubiaceae</t>
        </is>
      </c>
      <c r="E17" t="inlineStr"/>
      <c r="F17" t="inlineStr"/>
      <c r="G17" t="inlineStr"/>
    </row>
    <row r="18">
      <c r="A18" s="1" t="n">
        <v>16</v>
      </c>
      <c r="B18" t="n">
        <v>2159</v>
      </c>
      <c r="C18" t="inlineStr"/>
      <c r="D18" t="inlineStr">
        <is>
          <t>Burseraceae</t>
        </is>
      </c>
      <c r="E18" t="inlineStr"/>
      <c r="F18" t="inlineStr">
        <is>
          <t>Protium</t>
        </is>
      </c>
      <c r="G18" t="inlineStr">
        <is>
          <t>amazonicum</t>
        </is>
      </c>
    </row>
    <row r="19">
      <c r="A19" s="1" t="n">
        <v>17</v>
      </c>
      <c r="B19" t="n">
        <v>2157</v>
      </c>
      <c r="C19" t="n">
        <v>8881</v>
      </c>
      <c r="D19" t="inlineStr">
        <is>
          <t>Lauraceae</t>
        </is>
      </c>
      <c r="E19">
        <f>3865 oder 3862</f>
        <v/>
      </c>
      <c r="F19" t="inlineStr">
        <is>
          <t>Ocotea</t>
        </is>
      </c>
      <c r="G19" t="inlineStr"/>
    </row>
    <row r="20">
      <c r="A20" s="1" t="n">
        <v>18</v>
      </c>
      <c r="B20" t="n">
        <v>2158</v>
      </c>
      <c r="C20" t="n">
        <v>8882</v>
      </c>
      <c r="D20" t="inlineStr">
        <is>
          <t>Malvaceae</t>
        </is>
      </c>
      <c r="E20" t="inlineStr"/>
      <c r="F20" t="inlineStr">
        <is>
          <t>Theobroma</t>
        </is>
      </c>
      <c r="G20" t="inlineStr">
        <is>
          <t>speciosum</t>
        </is>
      </c>
    </row>
    <row r="21">
      <c r="A21" s="1" t="n">
        <v>19</v>
      </c>
      <c r="B21" t="n">
        <v>2155</v>
      </c>
      <c r="C21" t="n">
        <v>8883</v>
      </c>
      <c r="D21" t="inlineStr">
        <is>
          <t>Melastomataceae</t>
        </is>
      </c>
      <c r="E21">
        <f>3899</f>
        <v/>
      </c>
      <c r="F21" t="inlineStr">
        <is>
          <t>Miconia</t>
        </is>
      </c>
      <c r="G21" t="inlineStr">
        <is>
          <t>sp</t>
        </is>
      </c>
    </row>
    <row r="22">
      <c r="A22" s="1" t="n">
        <v>20</v>
      </c>
      <c r="B22" t="inlineStr"/>
      <c r="C22" t="n">
        <v>8884</v>
      </c>
      <c r="D22" t="inlineStr">
        <is>
          <t>Fabaceae</t>
        </is>
      </c>
      <c r="E22" t="inlineStr"/>
      <c r="F22" t="inlineStr">
        <is>
          <t>Macrolobium</t>
        </is>
      </c>
      <c r="G22" t="inlineStr">
        <is>
          <t>cf. ischnocalyx</t>
        </is>
      </c>
    </row>
    <row r="23">
      <c r="A23" s="1" t="n">
        <v>21</v>
      </c>
      <c r="B23" t="n">
        <v>2154</v>
      </c>
      <c r="C23" t="n">
        <v>8885</v>
      </c>
      <c r="D23" t="inlineStr">
        <is>
          <t>Apocynaceae</t>
        </is>
      </c>
      <c r="E23" t="inlineStr">
        <is>
          <t>3921</t>
        </is>
      </c>
      <c r="F23" t="inlineStr">
        <is>
          <t>Aspidosperma</t>
        </is>
      </c>
      <c r="G23" t="inlineStr">
        <is>
          <t>aff. excelsum</t>
        </is>
      </c>
    </row>
    <row r="24">
      <c r="A24" s="1" t="n">
        <v>22</v>
      </c>
      <c r="B24" t="inlineStr"/>
      <c r="C24" t="n">
        <v>8886</v>
      </c>
      <c r="D24" t="inlineStr">
        <is>
          <t>Indet</t>
        </is>
      </c>
      <c r="E24" t="inlineStr"/>
      <c r="F24" t="inlineStr"/>
      <c r="G24" t="inlineStr"/>
    </row>
    <row r="25">
      <c r="A25" s="1" t="n">
        <v>23</v>
      </c>
      <c r="B25" t="n">
        <v>2149</v>
      </c>
      <c r="C25" t="n">
        <v>8887</v>
      </c>
      <c r="D25" t="inlineStr">
        <is>
          <t>Vochysiaceae</t>
        </is>
      </c>
      <c r="E25">
        <f>3868</f>
        <v/>
      </c>
      <c r="F25" t="inlineStr">
        <is>
          <t>Vochysia</t>
        </is>
      </c>
      <c r="G25" t="inlineStr">
        <is>
          <t>punctata</t>
        </is>
      </c>
    </row>
    <row r="26">
      <c r="A26" s="1" t="n">
        <v>24</v>
      </c>
      <c r="B26" t="n">
        <v>2148</v>
      </c>
      <c r="C26" t="n">
        <v>8888</v>
      </c>
      <c r="D26" t="inlineStr">
        <is>
          <t>Simaroubaceae</t>
        </is>
      </c>
      <c r="E26" t="inlineStr">
        <is>
          <t>3929</t>
        </is>
      </c>
      <c r="F26" t="inlineStr">
        <is>
          <t>Simaba</t>
        </is>
      </c>
      <c r="G26" t="inlineStr">
        <is>
          <t>polyphylla</t>
        </is>
      </c>
    </row>
    <row r="27">
      <c r="A27" s="1" t="n">
        <v>25</v>
      </c>
      <c r="B27" t="n">
        <v>2147</v>
      </c>
      <c r="C27" t="n">
        <v>8889</v>
      </c>
      <c r="D27" t="inlineStr">
        <is>
          <t>Euphorbiaceae</t>
        </is>
      </c>
      <c r="E27" t="inlineStr"/>
      <c r="F27" t="inlineStr">
        <is>
          <t>Pseudosenefeldera</t>
        </is>
      </c>
      <c r="G27" t="inlineStr">
        <is>
          <t>inclinata</t>
        </is>
      </c>
    </row>
    <row r="28">
      <c r="A28" s="1" t="n">
        <v>26</v>
      </c>
      <c r="B28" t="n">
        <v>2132</v>
      </c>
      <c r="C28" t="inlineStr"/>
      <c r="D28" t="inlineStr">
        <is>
          <t>Myristicaceae</t>
        </is>
      </c>
      <c r="E28" t="inlineStr"/>
      <c r="F28" t="inlineStr">
        <is>
          <t>Virola</t>
        </is>
      </c>
      <c r="G28" t="inlineStr">
        <is>
          <t>duckei</t>
        </is>
      </c>
    </row>
    <row r="29">
      <c r="A29" s="1" t="n">
        <v>27</v>
      </c>
      <c r="B29" t="n">
        <v>2138</v>
      </c>
      <c r="C29" t="inlineStr"/>
      <c r="D29" t="inlineStr">
        <is>
          <t>Fabaceae</t>
        </is>
      </c>
      <c r="E29" t="inlineStr">
        <is>
          <t>3922</t>
        </is>
      </c>
      <c r="F29" t="inlineStr">
        <is>
          <t>Tachigali</t>
        </is>
      </c>
      <c r="G29" t="inlineStr">
        <is>
          <t>chrysophylla</t>
        </is>
      </c>
    </row>
    <row r="30">
      <c r="A30" s="1" t="n">
        <v>28</v>
      </c>
      <c r="B30" t="n">
        <v>2145</v>
      </c>
      <c r="C30" t="inlineStr"/>
      <c r="D30" t="inlineStr">
        <is>
          <t>Clusiaceae</t>
        </is>
      </c>
      <c r="E30" t="inlineStr">
        <is>
          <t>3927</t>
        </is>
      </c>
      <c r="F30" t="inlineStr">
        <is>
          <t>Garcinia</t>
        </is>
      </c>
      <c r="G30" t="inlineStr">
        <is>
          <t>madruno</t>
        </is>
      </c>
    </row>
    <row r="31">
      <c r="A31" s="1" t="n">
        <v>29</v>
      </c>
      <c r="B31" t="n">
        <v>2150</v>
      </c>
      <c r="C31" t="inlineStr"/>
      <c r="D31" t="inlineStr">
        <is>
          <t>Opiliaceae</t>
        </is>
      </c>
      <c r="E31" t="inlineStr">
        <is>
          <t>3919</t>
        </is>
      </c>
      <c r="F31" t="inlineStr">
        <is>
          <t>Agonandra</t>
        </is>
      </c>
      <c r="G31" t="inlineStr">
        <is>
          <t>peruviana</t>
        </is>
      </c>
    </row>
    <row r="32">
      <c r="A32" s="1" t="n">
        <v>30</v>
      </c>
      <c r="B32" t="n">
        <v>2151</v>
      </c>
      <c r="C32" t="inlineStr"/>
      <c r="D32" t="inlineStr">
        <is>
          <t>Euphorbiaceae</t>
        </is>
      </c>
      <c r="E32" t="inlineStr"/>
      <c r="F32" t="inlineStr">
        <is>
          <t>Pseudosenefeldera</t>
        </is>
      </c>
      <c r="G32" t="inlineStr">
        <is>
          <t>inclinata</t>
        </is>
      </c>
    </row>
    <row r="33">
      <c r="A33" s="1" t="n">
        <v>31</v>
      </c>
      <c r="B33" t="n">
        <v>2152</v>
      </c>
      <c r="C33" t="inlineStr"/>
      <c r="D33" t="inlineStr">
        <is>
          <t>Cardiopteridaceae</t>
        </is>
      </c>
      <c r="E33" t="inlineStr"/>
      <c r="F33" t="inlineStr">
        <is>
          <t>Dendrobangia</t>
        </is>
      </c>
      <c r="G33" t="inlineStr">
        <is>
          <t>boliviana</t>
        </is>
      </c>
    </row>
    <row r="34">
      <c r="A34" s="1" t="n">
        <v>32</v>
      </c>
      <c r="B34" t="n">
        <v>2153</v>
      </c>
      <c r="C34" t="inlineStr"/>
      <c r="D34" t="inlineStr">
        <is>
          <t>Rubiaceae</t>
        </is>
      </c>
      <c r="E34" t="inlineStr"/>
      <c r="F34" t="inlineStr">
        <is>
          <t>Faramea</t>
        </is>
      </c>
      <c r="G34" t="inlineStr">
        <is>
          <t>oblongifolia</t>
        </is>
      </c>
    </row>
    <row r="35">
      <c r="A35" s="1" t="n">
        <v>33</v>
      </c>
      <c r="B35" t="n">
        <v>2156</v>
      </c>
      <c r="C35" t="inlineStr"/>
      <c r="D35" t="inlineStr"/>
      <c r="E35" t="inlineStr"/>
      <c r="F35" t="inlineStr"/>
      <c r="G35" t="inlineStr"/>
    </row>
    <row r="36">
      <c r="A36" s="1" t="n">
        <v>34</v>
      </c>
      <c r="B36" t="n">
        <v>2161</v>
      </c>
      <c r="C36" t="inlineStr"/>
      <c r="D36" t="inlineStr">
        <is>
          <t>Arecaceae</t>
        </is>
      </c>
      <c r="E36" t="inlineStr"/>
      <c r="F36" t="inlineStr">
        <is>
          <t>Iriartea</t>
        </is>
      </c>
      <c r="G36" t="inlineStr">
        <is>
          <t>deltoidea</t>
        </is>
      </c>
    </row>
    <row r="37">
      <c r="A37" s="1" t="n">
        <v>35</v>
      </c>
      <c r="B37" t="n">
        <v>2164</v>
      </c>
      <c r="C37" t="n">
        <v>3601</v>
      </c>
      <c r="D37" t="inlineStr">
        <is>
          <t>Euphorbiaceae</t>
        </is>
      </c>
      <c r="E37" t="inlineStr"/>
      <c r="F37" t="inlineStr">
        <is>
          <t>Pseudosenefeldera</t>
        </is>
      </c>
      <c r="G37" t="inlineStr">
        <is>
          <t>inclinata</t>
        </is>
      </c>
    </row>
    <row r="38">
      <c r="A38" s="1" t="n">
        <v>36</v>
      </c>
      <c r="B38" t="n">
        <v>2166</v>
      </c>
      <c r="C38" t="n">
        <v>3602</v>
      </c>
      <c r="D38" t="inlineStr">
        <is>
          <t>Euphorbiaceae</t>
        </is>
      </c>
      <c r="E38" t="inlineStr"/>
      <c r="F38" t="inlineStr">
        <is>
          <t>Hevea</t>
        </is>
      </c>
      <c r="G38" t="inlineStr">
        <is>
          <t>cf guianensis</t>
        </is>
      </c>
    </row>
    <row r="39">
      <c r="A39" s="1" t="n">
        <v>37</v>
      </c>
      <c r="B39" t="n">
        <v>2168</v>
      </c>
      <c r="C39" t="n">
        <v>3603</v>
      </c>
      <c r="D39" t="inlineStr">
        <is>
          <t>Myristicaceae</t>
        </is>
      </c>
      <c r="E39" t="inlineStr"/>
      <c r="F39" t="inlineStr">
        <is>
          <t>Virola</t>
        </is>
      </c>
      <c r="G39" t="inlineStr">
        <is>
          <t>calophylla</t>
        </is>
      </c>
    </row>
    <row r="40">
      <c r="A40" s="1" t="n">
        <v>38</v>
      </c>
      <c r="B40" t="inlineStr"/>
      <c r="C40" t="n">
        <v>3604</v>
      </c>
      <c r="D40" t="inlineStr">
        <is>
          <t>Meliaceae</t>
        </is>
      </c>
      <c r="E40" t="inlineStr"/>
      <c r="F40" t="inlineStr">
        <is>
          <t>Guarea</t>
        </is>
      </c>
      <c r="G40" t="inlineStr"/>
    </row>
    <row r="41">
      <c r="A41" s="1" t="n">
        <v>39</v>
      </c>
      <c r="B41" t="n">
        <v>2171</v>
      </c>
      <c r="C41" t="n">
        <v>3605</v>
      </c>
      <c r="D41" t="inlineStr">
        <is>
          <t>Moraceae</t>
        </is>
      </c>
      <c r="E41" t="inlineStr">
        <is>
          <t>3841</t>
        </is>
      </c>
      <c r="F41" t="inlineStr">
        <is>
          <t>Ficus</t>
        </is>
      </c>
      <c r="G41" t="inlineStr">
        <is>
          <t>pulchella</t>
        </is>
      </c>
    </row>
    <row r="42">
      <c r="A42" s="1" t="n">
        <v>40</v>
      </c>
      <c r="B42" t="n">
        <v>2172</v>
      </c>
      <c r="C42" t="n">
        <v>3606</v>
      </c>
      <c r="D42" t="inlineStr">
        <is>
          <t>Moraceae</t>
        </is>
      </c>
      <c r="E42" t="inlineStr">
        <is>
          <t>3842</t>
        </is>
      </c>
      <c r="F42" t="inlineStr">
        <is>
          <t>Batocarpus</t>
        </is>
      </c>
      <c r="G42" t="inlineStr">
        <is>
          <t>orinocensis</t>
        </is>
      </c>
    </row>
    <row r="43">
      <c r="A43" s="1" t="n">
        <v>41</v>
      </c>
      <c r="B43" t="inlineStr"/>
      <c r="C43" t="n">
        <v>3607</v>
      </c>
      <c r="D43" t="inlineStr">
        <is>
          <t>Indet</t>
        </is>
      </c>
      <c r="E43" t="inlineStr"/>
      <c r="F43" t="inlineStr"/>
      <c r="G43" t="inlineStr"/>
    </row>
    <row r="44">
      <c r="A44" s="1" t="n">
        <v>42</v>
      </c>
      <c r="B44" t="n">
        <v>2170</v>
      </c>
      <c r="C44" t="n">
        <v>3608</v>
      </c>
      <c r="D44" t="inlineStr">
        <is>
          <t>Meliaceae</t>
        </is>
      </c>
      <c r="E44" t="inlineStr">
        <is>
          <t>3840</t>
        </is>
      </c>
      <c r="F44" t="inlineStr">
        <is>
          <t>Guarea</t>
        </is>
      </c>
      <c r="G44" t="inlineStr">
        <is>
          <t>kunthiana</t>
        </is>
      </c>
    </row>
    <row r="45">
      <c r="A45" s="1" t="n">
        <v>43</v>
      </c>
      <c r="B45" t="n">
        <v>2167</v>
      </c>
      <c r="C45" t="n">
        <v>3609</v>
      </c>
      <c r="D45" t="inlineStr">
        <is>
          <t>Euphorbiaceae</t>
        </is>
      </c>
      <c r="E45" t="inlineStr"/>
      <c r="F45" t="inlineStr">
        <is>
          <t>Pseudosenefeldera</t>
        </is>
      </c>
      <c r="G45" t="inlineStr">
        <is>
          <t>inclinata</t>
        </is>
      </c>
    </row>
    <row r="46">
      <c r="A46" s="1" t="n">
        <v>44</v>
      </c>
      <c r="B46" t="n">
        <v>2163</v>
      </c>
      <c r="C46" t="n">
        <v>3610</v>
      </c>
      <c r="D46" t="inlineStr">
        <is>
          <t>Indet</t>
        </is>
      </c>
      <c r="E46" t="inlineStr">
        <is>
          <t>3838</t>
        </is>
      </c>
      <c r="F46" t="inlineStr"/>
      <c r="G46" t="inlineStr"/>
    </row>
    <row r="47">
      <c r="A47" s="1" t="n">
        <v>45</v>
      </c>
      <c r="B47" t="n">
        <v>2180</v>
      </c>
      <c r="C47" t="n">
        <v>3612</v>
      </c>
      <c r="D47" t="inlineStr">
        <is>
          <t>Myristicaceae</t>
        </is>
      </c>
      <c r="E47" t="inlineStr"/>
      <c r="F47" t="inlineStr">
        <is>
          <t>Otoba</t>
        </is>
      </c>
      <c r="G47" t="inlineStr">
        <is>
          <t>parvifolia</t>
        </is>
      </c>
    </row>
    <row r="48">
      <c r="A48" s="1" t="n">
        <v>46</v>
      </c>
      <c r="B48" t="inlineStr"/>
      <c r="C48" t="n">
        <v>3613</v>
      </c>
      <c r="D48" t="inlineStr">
        <is>
          <t>Euphorbiaceae</t>
        </is>
      </c>
      <c r="E48" t="inlineStr"/>
      <c r="F48" t="inlineStr">
        <is>
          <t>Pseudosenefeldera</t>
        </is>
      </c>
      <c r="G48" t="inlineStr">
        <is>
          <t>inclinata</t>
        </is>
      </c>
    </row>
    <row r="49">
      <c r="A49" s="1" t="n">
        <v>47</v>
      </c>
      <c r="B49" t="n">
        <v>2175</v>
      </c>
      <c r="C49" t="n">
        <v>3614</v>
      </c>
      <c r="D49" t="inlineStr">
        <is>
          <t>Myristicaceae</t>
        </is>
      </c>
      <c r="E49" t="inlineStr"/>
      <c r="F49" t="inlineStr">
        <is>
          <t>Virola</t>
        </is>
      </c>
      <c r="G49" t="inlineStr">
        <is>
          <t>duckei</t>
        </is>
      </c>
    </row>
    <row r="50">
      <c r="A50" s="1" t="n">
        <v>48</v>
      </c>
      <c r="B50" t="n">
        <v>2176</v>
      </c>
      <c r="C50" t="n">
        <v>3615</v>
      </c>
      <c r="D50" t="inlineStr">
        <is>
          <t>Myristicaceae</t>
        </is>
      </c>
      <c r="E50" t="inlineStr"/>
      <c r="F50" t="inlineStr">
        <is>
          <t>Otoba</t>
        </is>
      </c>
      <c r="G50" t="inlineStr">
        <is>
          <t>parvifolia</t>
        </is>
      </c>
    </row>
    <row r="51">
      <c r="A51" s="1" t="n">
        <v>49</v>
      </c>
      <c r="B51" t="n">
        <v>2182</v>
      </c>
      <c r="C51" t="n">
        <v>3616</v>
      </c>
      <c r="D51" t="inlineStr">
        <is>
          <t>Fabaceae</t>
        </is>
      </c>
      <c r="E51" t="inlineStr">
        <is>
          <t>3846</t>
        </is>
      </c>
      <c r="F51" t="inlineStr">
        <is>
          <t>Inga</t>
        </is>
      </c>
      <c r="G51" t="inlineStr">
        <is>
          <t>nobilis</t>
        </is>
      </c>
    </row>
    <row r="52">
      <c r="A52" s="1" t="n">
        <v>50</v>
      </c>
      <c r="B52" t="n">
        <v>2177</v>
      </c>
      <c r="C52" t="n">
        <v>3617</v>
      </c>
      <c r="D52" t="inlineStr">
        <is>
          <t>Fabaceae</t>
        </is>
      </c>
      <c r="E52" t="inlineStr">
        <is>
          <t>3844</t>
        </is>
      </c>
      <c r="F52" t="inlineStr">
        <is>
          <t>Browneopsis</t>
        </is>
      </c>
      <c r="G52" t="inlineStr">
        <is>
          <t>ucayalina</t>
        </is>
      </c>
    </row>
    <row r="53">
      <c r="A53" s="1" t="n">
        <v>51</v>
      </c>
      <c r="B53" t="n">
        <v>2178</v>
      </c>
      <c r="C53" t="n">
        <v>3618</v>
      </c>
      <c r="D53" t="inlineStr">
        <is>
          <t>Euphorbiaceae</t>
        </is>
      </c>
      <c r="E53" t="inlineStr"/>
      <c r="F53" t="inlineStr">
        <is>
          <t>Pseudosenefeldera</t>
        </is>
      </c>
      <c r="G53" t="inlineStr">
        <is>
          <t>inclinata</t>
        </is>
      </c>
    </row>
    <row r="54">
      <c r="A54" s="1" t="n">
        <v>52</v>
      </c>
      <c r="B54" t="n">
        <v>2179</v>
      </c>
      <c r="C54" t="n">
        <v>3619</v>
      </c>
      <c r="D54" t="inlineStr">
        <is>
          <t>Salicaceae</t>
        </is>
      </c>
      <c r="E54" t="inlineStr"/>
      <c r="F54" t="inlineStr">
        <is>
          <t>Tetrathylacium</t>
        </is>
      </c>
      <c r="G54" t="inlineStr">
        <is>
          <t>macrophyllum</t>
        </is>
      </c>
    </row>
    <row r="55">
      <c r="A55" s="1" t="n">
        <v>53</v>
      </c>
      <c r="B55" t="n">
        <v>2189</v>
      </c>
      <c r="C55" t="n">
        <v>3620</v>
      </c>
      <c r="D55" t="inlineStr">
        <is>
          <t>Myristicaceae</t>
        </is>
      </c>
      <c r="E55" t="inlineStr"/>
      <c r="F55" t="inlineStr">
        <is>
          <t>Virola</t>
        </is>
      </c>
      <c r="G55" t="inlineStr">
        <is>
          <t>duckei</t>
        </is>
      </c>
    </row>
    <row r="56">
      <c r="A56" s="1" t="n">
        <v>54</v>
      </c>
      <c r="B56" t="n">
        <v>2183</v>
      </c>
      <c r="C56" t="n">
        <v>3621</v>
      </c>
      <c r="D56" t="inlineStr">
        <is>
          <t>Arecaceae</t>
        </is>
      </c>
      <c r="E56" t="inlineStr"/>
      <c r="F56" t="inlineStr">
        <is>
          <t>Iriartea</t>
        </is>
      </c>
      <c r="G56" t="inlineStr">
        <is>
          <t>deltoidea</t>
        </is>
      </c>
    </row>
    <row r="57">
      <c r="A57" s="1" t="n">
        <v>55</v>
      </c>
      <c r="B57" t="n">
        <v>2186</v>
      </c>
      <c r="C57" t="n">
        <v>8890</v>
      </c>
      <c r="D57" t="inlineStr">
        <is>
          <t>Urticaceae</t>
        </is>
      </c>
      <c r="E57" t="inlineStr"/>
      <c r="F57" t="inlineStr">
        <is>
          <t>Pourouma</t>
        </is>
      </c>
      <c r="G57" t="inlineStr">
        <is>
          <t>minor</t>
        </is>
      </c>
    </row>
    <row r="58">
      <c r="A58" s="1" t="n">
        <v>56</v>
      </c>
      <c r="B58" t="n">
        <v>2185</v>
      </c>
      <c r="C58" t="n">
        <v>8891</v>
      </c>
      <c r="D58" t="inlineStr">
        <is>
          <t>Sapindaceae</t>
        </is>
      </c>
      <c r="E58" t="inlineStr">
        <is>
          <t>3848</t>
        </is>
      </c>
      <c r="F58" t="inlineStr">
        <is>
          <t>Allophylus</t>
        </is>
      </c>
      <c r="G58" t="inlineStr">
        <is>
          <t>punctatus</t>
        </is>
      </c>
    </row>
    <row r="59">
      <c r="A59" s="1" t="n">
        <v>57</v>
      </c>
      <c r="B59" t="n">
        <v>2184</v>
      </c>
      <c r="C59" t="n">
        <v>8892</v>
      </c>
      <c r="D59" t="inlineStr">
        <is>
          <t>Rubiaceae</t>
        </is>
      </c>
      <c r="E59" t="inlineStr">
        <is>
          <t>3847</t>
        </is>
      </c>
      <c r="F59" t="inlineStr">
        <is>
          <t>Pentagonia</t>
        </is>
      </c>
      <c r="G59" t="inlineStr">
        <is>
          <t>amazonica</t>
        </is>
      </c>
    </row>
    <row r="60">
      <c r="A60" s="1" t="n">
        <v>58</v>
      </c>
      <c r="B60" t="n">
        <v>2199</v>
      </c>
      <c r="C60" t="n">
        <v>8893</v>
      </c>
      <c r="D60" t="inlineStr">
        <is>
          <t>Moraceae</t>
        </is>
      </c>
      <c r="E60" t="inlineStr">
        <is>
          <t>3855</t>
        </is>
      </c>
      <c r="F60" t="inlineStr">
        <is>
          <t>Pseudolmedia</t>
        </is>
      </c>
      <c r="G60" t="inlineStr">
        <is>
          <t>macrophylla</t>
        </is>
      </c>
    </row>
    <row r="61">
      <c r="A61" s="1" t="n">
        <v>59</v>
      </c>
      <c r="B61" t="n">
        <v>2195</v>
      </c>
      <c r="C61" t="n">
        <v>8895</v>
      </c>
      <c r="D61" t="inlineStr">
        <is>
          <t>Celastraceae</t>
        </is>
      </c>
      <c r="E61" t="inlineStr">
        <is>
          <t>3852</t>
        </is>
      </c>
      <c r="F61" t="inlineStr">
        <is>
          <t>Salacia</t>
        </is>
      </c>
      <c r="G61" t="inlineStr">
        <is>
          <t>aff. cordata</t>
        </is>
      </c>
    </row>
    <row r="62">
      <c r="A62" s="1" t="n">
        <v>60</v>
      </c>
      <c r="B62" t="n">
        <v>2194</v>
      </c>
      <c r="C62" t="n">
        <v>8896</v>
      </c>
      <c r="D62" t="inlineStr">
        <is>
          <t>Euphorbiaceae</t>
        </is>
      </c>
      <c r="E62" t="inlineStr"/>
      <c r="F62" t="inlineStr">
        <is>
          <t>Hevea</t>
        </is>
      </c>
      <c r="G62" t="inlineStr">
        <is>
          <t>cf guianensis</t>
        </is>
      </c>
    </row>
    <row r="63">
      <c r="A63" s="1" t="n">
        <v>61</v>
      </c>
      <c r="B63" t="n">
        <v>2193</v>
      </c>
      <c r="C63" t="n">
        <v>8897</v>
      </c>
      <c r="D63" t="inlineStr">
        <is>
          <t>Salicaceae</t>
        </is>
      </c>
      <c r="E63" t="inlineStr"/>
      <c r="F63" t="inlineStr">
        <is>
          <t>Tetrathylacium</t>
        </is>
      </c>
      <c r="G63" t="inlineStr">
        <is>
          <t>macrophyllum</t>
        </is>
      </c>
    </row>
    <row r="64">
      <c r="A64" s="1" t="n">
        <v>62</v>
      </c>
      <c r="B64" t="n">
        <v>2191</v>
      </c>
      <c r="C64" t="n">
        <v>8898</v>
      </c>
      <c r="D64" t="inlineStr">
        <is>
          <t>Euphorbiaceae</t>
        </is>
      </c>
      <c r="E64" t="inlineStr"/>
      <c r="F64" t="inlineStr">
        <is>
          <t>Pseudosenefeldera</t>
        </is>
      </c>
      <c r="G64" t="inlineStr">
        <is>
          <t>inclinata</t>
        </is>
      </c>
    </row>
    <row r="65">
      <c r="A65" s="1" t="n">
        <v>63</v>
      </c>
      <c r="B65" t="n">
        <v>2188</v>
      </c>
      <c r="C65" t="n">
        <v>8900</v>
      </c>
      <c r="D65" t="inlineStr">
        <is>
          <t>Araliaceae</t>
        </is>
      </c>
      <c r="E65" t="inlineStr"/>
      <c r="F65" t="inlineStr">
        <is>
          <t>Didymopanax</t>
        </is>
      </c>
      <c r="G65" t="inlineStr">
        <is>
          <t>morototoni</t>
        </is>
      </c>
    </row>
    <row r="66">
      <c r="A66" s="1" t="n">
        <v>64</v>
      </c>
      <c r="B66" t="n">
        <v>2187</v>
      </c>
      <c r="C66" t="inlineStr"/>
      <c r="D66" t="inlineStr">
        <is>
          <t>Myrtaceae</t>
        </is>
      </c>
      <c r="E66" t="inlineStr">
        <is>
          <t>3849</t>
        </is>
      </c>
      <c r="F66" t="inlineStr">
        <is>
          <t>Myrcia</t>
        </is>
      </c>
      <c r="G66" t="inlineStr">
        <is>
          <t>cf. crassimarginata</t>
        </is>
      </c>
    </row>
    <row r="67">
      <c r="A67" s="1" t="n">
        <v>65</v>
      </c>
      <c r="B67" t="n">
        <v>2162</v>
      </c>
      <c r="C67" t="n">
        <v>3611</v>
      </c>
      <c r="D67" t="inlineStr">
        <is>
          <t>Euphorbiaceae</t>
        </is>
      </c>
      <c r="E67" t="inlineStr"/>
      <c r="F67" t="inlineStr">
        <is>
          <t>Pseudosenefeldera</t>
        </is>
      </c>
      <c r="G67" t="inlineStr">
        <is>
          <t>inclinata</t>
        </is>
      </c>
    </row>
    <row r="68">
      <c r="A68" s="1" t="n">
        <v>66</v>
      </c>
      <c r="B68" t="n">
        <v>2165</v>
      </c>
      <c r="C68" t="inlineStr"/>
      <c r="D68" t="inlineStr">
        <is>
          <t>Meliaceae</t>
        </is>
      </c>
      <c r="E68" t="inlineStr"/>
      <c r="F68" t="inlineStr">
        <is>
          <t>Guarea</t>
        </is>
      </c>
      <c r="G68" t="inlineStr">
        <is>
          <t>kunthiana</t>
        </is>
      </c>
    </row>
    <row r="69">
      <c r="A69" s="1" t="n">
        <v>67</v>
      </c>
      <c r="B69" t="n">
        <v>2169</v>
      </c>
      <c r="C69" t="inlineStr"/>
      <c r="D69" t="inlineStr">
        <is>
          <t>Euphorbiaceae</t>
        </is>
      </c>
      <c r="E69" t="inlineStr">
        <is>
          <t>3839</t>
        </is>
      </c>
      <c r="F69" t="inlineStr">
        <is>
          <t>Pseudosenefeldera</t>
        </is>
      </c>
      <c r="G69" t="inlineStr">
        <is>
          <t>inclinata</t>
        </is>
      </c>
    </row>
    <row r="70">
      <c r="A70" s="1" t="n">
        <v>68</v>
      </c>
      <c r="B70" t="n">
        <v>2173</v>
      </c>
      <c r="C70" t="inlineStr"/>
      <c r="D70" t="inlineStr">
        <is>
          <t>Apocynaceae</t>
        </is>
      </c>
      <c r="E70" t="inlineStr">
        <is>
          <t>3843</t>
        </is>
      </c>
      <c r="F70" t="inlineStr"/>
      <c r="G70" t="inlineStr"/>
    </row>
    <row r="71">
      <c r="A71" s="1" t="n">
        <v>69</v>
      </c>
      <c r="B71" t="n">
        <v>2174</v>
      </c>
      <c r="C71" t="inlineStr"/>
      <c r="D71" t="inlineStr">
        <is>
          <t>Myristicaceae</t>
        </is>
      </c>
      <c r="E71" t="inlineStr"/>
      <c r="F71" t="inlineStr">
        <is>
          <t>Otoba</t>
        </is>
      </c>
      <c r="G71" t="inlineStr">
        <is>
          <t>parvifolia</t>
        </is>
      </c>
    </row>
    <row r="72">
      <c r="A72" s="1" t="n">
        <v>70</v>
      </c>
      <c r="B72" t="n">
        <v>2181</v>
      </c>
      <c r="C72" t="inlineStr"/>
      <c r="D72" t="inlineStr">
        <is>
          <t>Lauraceae</t>
        </is>
      </c>
      <c r="E72" t="inlineStr">
        <is>
          <t>3845</t>
        </is>
      </c>
      <c r="F72" t="inlineStr">
        <is>
          <t>Endlicheria</t>
        </is>
      </c>
      <c r="G72" t="inlineStr">
        <is>
          <t>metallica</t>
        </is>
      </c>
    </row>
    <row r="73">
      <c r="A73" s="1" t="n">
        <v>71</v>
      </c>
      <c r="B73" t="n">
        <v>2190</v>
      </c>
      <c r="C73" t="n">
        <v>8899</v>
      </c>
      <c r="D73" t="inlineStr">
        <is>
          <t>Lacistemataceae</t>
        </is>
      </c>
      <c r="E73" t="inlineStr">
        <is>
          <t>3850</t>
        </is>
      </c>
      <c r="F73" t="inlineStr">
        <is>
          <t>Lozania</t>
        </is>
      </c>
      <c r="G73" t="inlineStr">
        <is>
          <t>klugii</t>
        </is>
      </c>
    </row>
    <row r="74">
      <c r="A74" s="1" t="n">
        <v>72</v>
      </c>
      <c r="B74" t="n">
        <v>2192</v>
      </c>
      <c r="C74" t="inlineStr"/>
      <c r="D74" t="inlineStr">
        <is>
          <t>Fabaceae</t>
        </is>
      </c>
      <c r="E74" t="inlineStr"/>
      <c r="F74" t="inlineStr">
        <is>
          <t>Inga</t>
        </is>
      </c>
      <c r="G74" t="inlineStr">
        <is>
          <t>sapindoides</t>
        </is>
      </c>
    </row>
    <row r="75">
      <c r="A75" s="1" t="n">
        <v>73</v>
      </c>
      <c r="B75" t="n">
        <v>2196</v>
      </c>
      <c r="C75" t="inlineStr"/>
      <c r="D75" t="inlineStr">
        <is>
          <t>Cecropiaceae</t>
        </is>
      </c>
      <c r="E75" t="inlineStr"/>
      <c r="F75" t="inlineStr">
        <is>
          <t>Pourouma</t>
        </is>
      </c>
      <c r="G75" t="inlineStr">
        <is>
          <t>minor</t>
        </is>
      </c>
    </row>
    <row r="76">
      <c r="A76" s="1" t="n">
        <v>74</v>
      </c>
      <c r="B76" t="n">
        <v>2197</v>
      </c>
      <c r="C76" t="n">
        <v>8894</v>
      </c>
      <c r="D76" t="inlineStr">
        <is>
          <t>Moraceae</t>
        </is>
      </c>
      <c r="E76" t="inlineStr">
        <is>
          <t>3853</t>
        </is>
      </c>
      <c r="F76" t="inlineStr">
        <is>
          <t>Brosimum</t>
        </is>
      </c>
      <c r="G76" t="inlineStr">
        <is>
          <t>lactescens</t>
        </is>
      </c>
    </row>
    <row r="77">
      <c r="A77" s="1" t="n">
        <v>75</v>
      </c>
      <c r="B77" t="n">
        <v>2198</v>
      </c>
      <c r="C77" t="inlineStr"/>
      <c r="D77" t="inlineStr">
        <is>
          <t>Lauraceae</t>
        </is>
      </c>
      <c r="E77" t="inlineStr">
        <is>
          <t>3854</t>
        </is>
      </c>
      <c r="F77" t="inlineStr">
        <is>
          <t>Ocotea</t>
        </is>
      </c>
      <c r="G77" t="inlineStr">
        <is>
          <t>aff. oblonga</t>
        </is>
      </c>
    </row>
    <row r="78">
      <c r="A78" s="1" t="n">
        <v>76</v>
      </c>
      <c r="B78" t="n">
        <v>2220</v>
      </c>
      <c r="C78" t="n">
        <v>3622</v>
      </c>
      <c r="D78" t="inlineStr">
        <is>
          <t>Clusiaceae</t>
        </is>
      </c>
      <c r="E78" t="n">
        <v>3892</v>
      </c>
      <c r="F78" t="inlineStr">
        <is>
          <t>Chrysochlamys</t>
        </is>
      </c>
      <c r="G78" t="inlineStr">
        <is>
          <t>membranacea</t>
        </is>
      </c>
    </row>
    <row r="79">
      <c r="A79" s="1" t="n">
        <v>77</v>
      </c>
      <c r="B79" t="n">
        <v>2218</v>
      </c>
      <c r="C79" t="n">
        <v>3623</v>
      </c>
      <c r="D79" t="inlineStr">
        <is>
          <t>Melastomataceae</t>
        </is>
      </c>
      <c r="E79" t="n">
        <v>3882</v>
      </c>
      <c r="F79" t="inlineStr">
        <is>
          <t>Miconia</t>
        </is>
      </c>
      <c r="G79" t="inlineStr">
        <is>
          <t>elata</t>
        </is>
      </c>
    </row>
    <row r="80">
      <c r="A80" s="1" t="n">
        <v>78</v>
      </c>
      <c r="B80" t="n">
        <v>2217</v>
      </c>
      <c r="C80" t="n">
        <v>3624</v>
      </c>
      <c r="D80" t="inlineStr">
        <is>
          <t>Myristicaceae</t>
        </is>
      </c>
      <c r="E80" t="n">
        <v>3881</v>
      </c>
      <c r="F80" t="inlineStr">
        <is>
          <t>Virola</t>
        </is>
      </c>
      <c r="G80" t="inlineStr">
        <is>
          <t>flexuosa</t>
        </is>
      </c>
    </row>
    <row r="81">
      <c r="A81" s="1" t="n">
        <v>79</v>
      </c>
      <c r="B81" t="inlineStr"/>
      <c r="C81" t="n">
        <v>3625</v>
      </c>
      <c r="D81" t="inlineStr">
        <is>
          <t>indet</t>
        </is>
      </c>
      <c r="E81" t="inlineStr"/>
      <c r="F81" t="inlineStr"/>
      <c r="G81" t="inlineStr"/>
    </row>
    <row r="82">
      <c r="A82" s="1" t="n">
        <v>80</v>
      </c>
      <c r="B82" t="inlineStr"/>
      <c r="C82" t="n">
        <v>3626</v>
      </c>
      <c r="D82" t="inlineStr">
        <is>
          <t>Lauraceae</t>
        </is>
      </c>
      <c r="E82" t="inlineStr"/>
      <c r="F82" t="inlineStr"/>
      <c r="G82" t="inlineStr"/>
    </row>
    <row r="83">
      <c r="A83" s="1" t="n">
        <v>81</v>
      </c>
      <c r="B83" t="inlineStr"/>
      <c r="C83" t="n">
        <v>3627</v>
      </c>
      <c r="D83" t="inlineStr">
        <is>
          <t>Meliaceae</t>
        </is>
      </c>
      <c r="E83" t="inlineStr"/>
      <c r="F83" t="inlineStr">
        <is>
          <t>Guarea</t>
        </is>
      </c>
      <c r="G83" t="inlineStr"/>
    </row>
    <row r="84">
      <c r="A84" s="1" t="n">
        <v>82</v>
      </c>
      <c r="B84" t="n">
        <v>2216</v>
      </c>
      <c r="C84" t="n">
        <v>3660</v>
      </c>
      <c r="D84" t="inlineStr">
        <is>
          <t>Myristicaceae</t>
        </is>
      </c>
      <c r="E84" t="inlineStr"/>
      <c r="F84" t="inlineStr">
        <is>
          <t>Otoba</t>
        </is>
      </c>
      <c r="G84" t="inlineStr">
        <is>
          <t>parvifolia</t>
        </is>
      </c>
    </row>
    <row r="85">
      <c r="A85" s="1" t="n">
        <v>83</v>
      </c>
      <c r="B85" t="n">
        <v>2224</v>
      </c>
      <c r="C85" t="n">
        <v>3629</v>
      </c>
      <c r="D85" t="inlineStr">
        <is>
          <t>Meliaceae</t>
        </is>
      </c>
      <c r="E85" t="n">
        <v>3885</v>
      </c>
      <c r="F85" t="inlineStr">
        <is>
          <t>Trichilia</t>
        </is>
      </c>
      <c r="G85" t="inlineStr">
        <is>
          <t>septentrionalis</t>
        </is>
      </c>
    </row>
    <row r="86">
      <c r="A86" s="1" t="n">
        <v>84</v>
      </c>
      <c r="B86" t="n">
        <v>2225</v>
      </c>
      <c r="C86" t="n">
        <v>3630</v>
      </c>
      <c r="D86" t="inlineStr">
        <is>
          <t>Malvaceae</t>
        </is>
      </c>
      <c r="E86" t="inlineStr"/>
      <c r="F86" t="inlineStr">
        <is>
          <t>Theobroma</t>
        </is>
      </c>
      <c r="G86" t="inlineStr">
        <is>
          <t>speciosum</t>
        </is>
      </c>
    </row>
    <row r="87">
      <c r="A87" s="1" t="n">
        <v>85</v>
      </c>
      <c r="B87" t="n">
        <v>2246</v>
      </c>
      <c r="C87" t="n">
        <v>3631</v>
      </c>
      <c r="D87" t="inlineStr">
        <is>
          <t>Lauraceae</t>
        </is>
      </c>
      <c r="E87" t="n">
        <v>3903</v>
      </c>
      <c r="F87" t="inlineStr">
        <is>
          <t>Mespilodaphne</t>
        </is>
      </c>
      <c r="G87" t="inlineStr">
        <is>
          <t>quixos</t>
        </is>
      </c>
    </row>
    <row r="88">
      <c r="A88" s="1" t="n">
        <v>86</v>
      </c>
      <c r="B88" t="inlineStr"/>
      <c r="C88" t="n">
        <v>3632</v>
      </c>
      <c r="D88" t="inlineStr">
        <is>
          <t>Moraceae</t>
        </is>
      </c>
      <c r="E88" t="inlineStr"/>
      <c r="F88" t="inlineStr">
        <is>
          <t>Pseudolmedia</t>
        </is>
      </c>
      <c r="G88" t="inlineStr">
        <is>
          <t>laevigata</t>
        </is>
      </c>
    </row>
    <row r="89">
      <c r="A89" s="1" t="n">
        <v>87</v>
      </c>
      <c r="B89" t="n">
        <v>2242</v>
      </c>
      <c r="C89" t="n">
        <v>3633</v>
      </c>
      <c r="D89" t="inlineStr">
        <is>
          <t>Rubiaceae</t>
        </is>
      </c>
      <c r="E89" t="inlineStr"/>
      <c r="F89" t="inlineStr">
        <is>
          <t>Chimarrhis</t>
        </is>
      </c>
      <c r="G89" t="inlineStr">
        <is>
          <t>cf glabriflora</t>
        </is>
      </c>
    </row>
    <row r="90">
      <c r="A90" s="1" t="n">
        <v>88</v>
      </c>
      <c r="B90" t="n">
        <v>2245</v>
      </c>
      <c r="C90" t="n">
        <v>3634</v>
      </c>
      <c r="D90" t="inlineStr">
        <is>
          <t>Annonaceae</t>
        </is>
      </c>
      <c r="E90" t="n">
        <v>3902</v>
      </c>
      <c r="F90" t="inlineStr">
        <is>
          <t>Guatteria</t>
        </is>
      </c>
      <c r="G90" t="inlineStr">
        <is>
          <t>cf multivenia</t>
        </is>
      </c>
    </row>
    <row r="91">
      <c r="A91" s="1" t="n">
        <v>89</v>
      </c>
      <c r="B91" t="n">
        <v>2238</v>
      </c>
      <c r="C91" t="n">
        <v>3635</v>
      </c>
      <c r="D91" t="inlineStr">
        <is>
          <t>Annonaceae</t>
        </is>
      </c>
      <c r="E91" t="n">
        <v>3889</v>
      </c>
      <c r="F91" t="inlineStr">
        <is>
          <t>Annona</t>
        </is>
      </c>
      <c r="G91" t="inlineStr">
        <is>
          <t>helosioides</t>
        </is>
      </c>
    </row>
    <row r="92">
      <c r="A92" s="1" t="n">
        <v>90</v>
      </c>
      <c r="B92" t="n">
        <v>2234</v>
      </c>
      <c r="C92" t="n">
        <v>3636</v>
      </c>
      <c r="D92" t="inlineStr">
        <is>
          <t>Hypericaceae</t>
        </is>
      </c>
      <c r="E92" t="inlineStr"/>
      <c r="F92" t="inlineStr">
        <is>
          <t>Vismia</t>
        </is>
      </c>
      <c r="G92" t="inlineStr">
        <is>
          <t>baccifera</t>
        </is>
      </c>
    </row>
    <row r="93">
      <c r="A93" s="1" t="n">
        <v>91</v>
      </c>
      <c r="B93" t="n">
        <v>2236</v>
      </c>
      <c r="C93" t="n">
        <v>3637</v>
      </c>
      <c r="D93" t="inlineStr">
        <is>
          <t>Sapotaceae</t>
        </is>
      </c>
      <c r="E93" t="n">
        <v>3888</v>
      </c>
      <c r="F93" t="inlineStr">
        <is>
          <t>Pouteria</t>
        </is>
      </c>
      <c r="G93" t="inlineStr">
        <is>
          <t>torta</t>
        </is>
      </c>
    </row>
    <row r="94">
      <c r="A94" s="1" t="n">
        <v>92</v>
      </c>
      <c r="B94" t="n">
        <v>2237</v>
      </c>
      <c r="C94" t="n">
        <v>3638</v>
      </c>
      <c r="D94" t="inlineStr">
        <is>
          <t>Sapotaceae</t>
        </is>
      </c>
      <c r="E94" t="inlineStr"/>
      <c r="F94" t="inlineStr">
        <is>
          <t>Ecclinusa</t>
        </is>
      </c>
      <c r="G94" t="inlineStr">
        <is>
          <t>guianensis</t>
        </is>
      </c>
    </row>
    <row r="95">
      <c r="A95" s="1" t="n">
        <v>93</v>
      </c>
      <c r="B95" t="inlineStr"/>
      <c r="C95" t="n">
        <v>3639</v>
      </c>
      <c r="D95" t="inlineStr">
        <is>
          <t>Euphorbiaceae</t>
        </is>
      </c>
      <c r="E95" t="inlineStr"/>
      <c r="F95" t="inlineStr">
        <is>
          <t xml:space="preserve">Alchornea </t>
        </is>
      </c>
      <c r="G95" t="inlineStr"/>
    </row>
    <row r="96">
      <c r="A96" s="1" t="n">
        <v>94</v>
      </c>
      <c r="B96" t="inlineStr"/>
      <c r="C96" t="n">
        <v>3640</v>
      </c>
      <c r="D96" t="inlineStr">
        <is>
          <t>Salicaceae</t>
        </is>
      </c>
      <c r="E96" t="inlineStr"/>
      <c r="F96" t="inlineStr">
        <is>
          <t>Banara</t>
        </is>
      </c>
      <c r="G96" t="inlineStr">
        <is>
          <t>nitida</t>
        </is>
      </c>
    </row>
    <row r="97">
      <c r="A97" s="1" t="n">
        <v>95</v>
      </c>
      <c r="B97" t="inlineStr"/>
      <c r="C97" t="n">
        <v>3641</v>
      </c>
      <c r="D97" t="inlineStr">
        <is>
          <t>indet</t>
        </is>
      </c>
      <c r="E97" t="inlineStr"/>
      <c r="F97" t="inlineStr"/>
      <c r="G97" t="inlineStr"/>
    </row>
    <row r="98">
      <c r="A98" s="1" t="n">
        <v>96</v>
      </c>
      <c r="B98" t="n">
        <v>2233</v>
      </c>
      <c r="C98" t="n">
        <v>3642</v>
      </c>
      <c r="D98" t="inlineStr">
        <is>
          <t>Rubiaceae</t>
        </is>
      </c>
      <c r="E98" t="n">
        <v>3897</v>
      </c>
      <c r="F98" t="inlineStr">
        <is>
          <t>Chimarrhis</t>
        </is>
      </c>
      <c r="G98" t="inlineStr">
        <is>
          <t>cf glabriflora</t>
        </is>
      </c>
    </row>
    <row r="99">
      <c r="A99" s="1" t="n">
        <v>97</v>
      </c>
      <c r="B99" t="n">
        <v>2239</v>
      </c>
      <c r="C99" t="n">
        <v>3643</v>
      </c>
      <c r="D99" t="inlineStr">
        <is>
          <t>Melastomataceae</t>
        </is>
      </c>
      <c r="E99" t="n">
        <v>3899</v>
      </c>
      <c r="F99" t="inlineStr">
        <is>
          <t>Miconia</t>
        </is>
      </c>
      <c r="G99" t="inlineStr"/>
    </row>
    <row r="100">
      <c r="A100" s="1" t="n">
        <v>98</v>
      </c>
      <c r="B100" t="inlineStr"/>
      <c r="C100" t="n">
        <v>3644</v>
      </c>
      <c r="D100" t="inlineStr">
        <is>
          <t>Salicacia</t>
        </is>
      </c>
      <c r="E100" t="inlineStr"/>
      <c r="F100" t="inlineStr">
        <is>
          <t>Laetia</t>
        </is>
      </c>
      <c r="G100" t="inlineStr"/>
    </row>
    <row r="101">
      <c r="A101" s="1" t="n">
        <v>99</v>
      </c>
      <c r="B101" t="inlineStr"/>
      <c r="C101" t="n">
        <v>3645</v>
      </c>
      <c r="D101" t="inlineStr">
        <is>
          <t>Salicacia</t>
        </is>
      </c>
      <c r="E101" t="inlineStr"/>
      <c r="F101" t="inlineStr">
        <is>
          <t>Laetia</t>
        </is>
      </c>
      <c r="G101" t="inlineStr"/>
    </row>
    <row r="102">
      <c r="A102" s="1" t="n">
        <v>100</v>
      </c>
      <c r="B102" t="n">
        <v>2204</v>
      </c>
      <c r="C102" t="n">
        <v>3653</v>
      </c>
      <c r="D102" t="inlineStr">
        <is>
          <t>Rutaceae</t>
        </is>
      </c>
      <c r="E102" t="n">
        <v>3886</v>
      </c>
      <c r="F102" t="inlineStr">
        <is>
          <t>Amyris</t>
        </is>
      </c>
      <c r="G102" t="inlineStr">
        <is>
          <t>macrocarpa</t>
        </is>
      </c>
    </row>
    <row r="103">
      <c r="A103" s="1" t="n">
        <v>101</v>
      </c>
      <c r="B103" t="n">
        <v>2206</v>
      </c>
      <c r="C103" t="n">
        <v>3646</v>
      </c>
      <c r="D103" t="inlineStr">
        <is>
          <t>Bignoniaceae</t>
        </is>
      </c>
      <c r="E103" t="inlineStr"/>
      <c r="F103" t="inlineStr">
        <is>
          <t>Jacaranda</t>
        </is>
      </c>
      <c r="G103" t="inlineStr">
        <is>
          <t>copaia</t>
        </is>
      </c>
    </row>
    <row r="104">
      <c r="A104" s="1" t="n">
        <v>102</v>
      </c>
      <c r="B104" t="n">
        <v>2207</v>
      </c>
      <c r="C104" t="n">
        <v>3647</v>
      </c>
      <c r="D104" t="inlineStr">
        <is>
          <t>Moraceae</t>
        </is>
      </c>
      <c r="E104" t="n">
        <v>3877</v>
      </c>
      <c r="F104" t="inlineStr">
        <is>
          <t>Maclura</t>
        </is>
      </c>
      <c r="G104" t="inlineStr">
        <is>
          <t>tinctoria</t>
        </is>
      </c>
    </row>
    <row r="105">
      <c r="A105" s="1" t="n">
        <v>103</v>
      </c>
      <c r="B105" t="n">
        <v>2208</v>
      </c>
      <c r="C105" t="n">
        <v>3648</v>
      </c>
      <c r="D105" t="inlineStr">
        <is>
          <t>Burseraceae</t>
        </is>
      </c>
      <c r="E105" t="inlineStr"/>
      <c r="F105" t="inlineStr">
        <is>
          <t>Protium</t>
        </is>
      </c>
      <c r="G105" t="inlineStr"/>
    </row>
    <row r="106">
      <c r="A106" s="1" t="n">
        <v>104</v>
      </c>
      <c r="B106" t="n">
        <v>2231</v>
      </c>
      <c r="C106" t="inlineStr"/>
      <c r="D106" t="inlineStr">
        <is>
          <t>Salicaceae</t>
        </is>
      </c>
      <c r="E106" t="n">
        <v>3895</v>
      </c>
      <c r="F106" t="inlineStr">
        <is>
          <t>Laetia</t>
        </is>
      </c>
      <c r="G106" t="inlineStr">
        <is>
          <t>procera</t>
        </is>
      </c>
    </row>
    <row r="107">
      <c r="A107" s="1" t="n">
        <v>105</v>
      </c>
      <c r="B107" t="inlineStr"/>
      <c r="C107" t="n">
        <v>3650</v>
      </c>
      <c r="D107" t="inlineStr">
        <is>
          <t>indet</t>
        </is>
      </c>
      <c r="E107" t="inlineStr"/>
      <c r="F107" t="inlineStr"/>
      <c r="G107" t="inlineStr"/>
    </row>
    <row r="108">
      <c r="A108" s="1" t="n">
        <v>106</v>
      </c>
      <c r="B108" t="inlineStr"/>
      <c r="C108" t="n">
        <v>3652</v>
      </c>
      <c r="D108" t="inlineStr">
        <is>
          <t>Meliaceae</t>
        </is>
      </c>
      <c r="E108" t="inlineStr"/>
      <c r="F108" t="inlineStr">
        <is>
          <t>Guarea</t>
        </is>
      </c>
      <c r="G108" t="inlineStr"/>
    </row>
    <row r="109">
      <c r="A109" s="1" t="n">
        <v>107</v>
      </c>
      <c r="B109" t="n">
        <v>2205</v>
      </c>
      <c r="C109" t="n">
        <v>3654</v>
      </c>
      <c r="D109" t="inlineStr">
        <is>
          <t>Rubiaceae</t>
        </is>
      </c>
      <c r="E109" t="n">
        <v>3876</v>
      </c>
      <c r="F109" t="inlineStr">
        <is>
          <t>Faramea</t>
        </is>
      </c>
      <c r="G109" t="inlineStr">
        <is>
          <t>parvibractea</t>
        </is>
      </c>
    </row>
    <row r="110">
      <c r="A110" s="1" t="n">
        <v>108</v>
      </c>
      <c r="B110" t="n">
        <v>2205</v>
      </c>
      <c r="C110" t="n">
        <v>3654</v>
      </c>
      <c r="D110" t="inlineStr">
        <is>
          <t>Rubiaceae</t>
        </is>
      </c>
      <c r="E110" t="inlineStr">
        <is>
          <t>3876</t>
        </is>
      </c>
      <c r="F110" t="inlineStr">
        <is>
          <t>Faramea</t>
        </is>
      </c>
      <c r="G110" t="inlineStr">
        <is>
          <t>parvibractea</t>
        </is>
      </c>
    </row>
    <row r="111">
      <c r="A111" s="1" t="n">
        <v>109</v>
      </c>
      <c r="B111" t="n">
        <v>2230</v>
      </c>
      <c r="C111" t="n">
        <v>3655</v>
      </c>
      <c r="D111" t="inlineStr">
        <is>
          <t>Bignoniaceae</t>
        </is>
      </c>
      <c r="E111" t="n">
        <v>3887</v>
      </c>
      <c r="F111" t="inlineStr">
        <is>
          <t>Jacaranda</t>
        </is>
      </c>
      <c r="G111" t="inlineStr">
        <is>
          <t>copaia</t>
        </is>
      </c>
    </row>
    <row r="112">
      <c r="A112" s="1" t="n">
        <v>110</v>
      </c>
      <c r="B112" t="inlineStr"/>
      <c r="C112" t="n">
        <v>3656</v>
      </c>
      <c r="D112" t="inlineStr">
        <is>
          <t>indet</t>
        </is>
      </c>
      <c r="E112" t="inlineStr"/>
      <c r="F112" t="inlineStr"/>
      <c r="G112" t="inlineStr"/>
    </row>
    <row r="113">
      <c r="A113" s="1" t="n">
        <v>111</v>
      </c>
      <c r="B113" t="n">
        <v>2201</v>
      </c>
      <c r="C113" t="n">
        <v>3657</v>
      </c>
      <c r="D113" t="inlineStr">
        <is>
          <t>Malvaceae</t>
        </is>
      </c>
      <c r="E113" t="n">
        <v>3872</v>
      </c>
      <c r="F113" t="inlineStr">
        <is>
          <t>Sterculia</t>
        </is>
      </c>
      <c r="G113" t="inlineStr">
        <is>
          <t>apeibophylla</t>
        </is>
      </c>
    </row>
    <row r="114">
      <c r="A114" s="1" t="n">
        <v>112</v>
      </c>
      <c r="B114" t="n">
        <v>2202</v>
      </c>
      <c r="C114" t="n">
        <v>3658</v>
      </c>
      <c r="D114" t="inlineStr">
        <is>
          <t>Achariaceae</t>
        </is>
      </c>
      <c r="E114" t="n">
        <v>3873</v>
      </c>
      <c r="F114" t="inlineStr">
        <is>
          <t>Lindackeria</t>
        </is>
      </c>
      <c r="G114" t="inlineStr">
        <is>
          <t>paludosa</t>
        </is>
      </c>
    </row>
    <row r="115">
      <c r="A115" s="1" t="n">
        <v>113</v>
      </c>
      <c r="B115" t="inlineStr"/>
      <c r="C115" t="n">
        <v>3659</v>
      </c>
      <c r="D115" t="inlineStr">
        <is>
          <t>Meliaceae</t>
        </is>
      </c>
      <c r="E115" t="inlineStr"/>
      <c r="F115" t="inlineStr">
        <is>
          <t>Guarea</t>
        </is>
      </c>
      <c r="G115" t="inlineStr">
        <is>
          <t>pterorhachis</t>
        </is>
      </c>
    </row>
    <row r="116">
      <c r="A116" s="1" t="n">
        <v>114</v>
      </c>
      <c r="B116" t="n">
        <v>2209</v>
      </c>
      <c r="C116" t="inlineStr"/>
      <c r="D116" t="inlineStr">
        <is>
          <t>Salicaceae</t>
        </is>
      </c>
      <c r="E116" t="n">
        <v>3875</v>
      </c>
      <c r="F116" t="inlineStr">
        <is>
          <t>Laetia</t>
        </is>
      </c>
      <c r="G116" t="inlineStr">
        <is>
          <t>procera</t>
        </is>
      </c>
    </row>
    <row r="117">
      <c r="A117" s="1" t="n">
        <v>115</v>
      </c>
      <c r="B117" t="n">
        <v>2200</v>
      </c>
      <c r="C117" t="inlineStr"/>
      <c r="D117" t="inlineStr">
        <is>
          <t>Lecythidaceae</t>
        </is>
      </c>
      <c r="E117" t="n">
        <v>3871</v>
      </c>
      <c r="F117" t="inlineStr">
        <is>
          <t>Gustavia</t>
        </is>
      </c>
      <c r="G117" t="inlineStr">
        <is>
          <t>hexapetala</t>
        </is>
      </c>
    </row>
    <row r="118">
      <c r="A118" s="1" t="n">
        <v>116</v>
      </c>
      <c r="B118" t="n">
        <v>2203</v>
      </c>
      <c r="C118" t="inlineStr"/>
      <c r="D118" t="inlineStr">
        <is>
          <t>Fabaceae</t>
        </is>
      </c>
      <c r="E118" t="n">
        <v>3874</v>
      </c>
      <c r="F118" t="inlineStr">
        <is>
          <t>Inga</t>
        </is>
      </c>
      <c r="G118" t="inlineStr">
        <is>
          <t>umbellifera</t>
        </is>
      </c>
    </row>
    <row r="119">
      <c r="A119" s="1" t="n">
        <v>117</v>
      </c>
      <c r="B119" t="n">
        <v>2210</v>
      </c>
      <c r="C119" t="n">
        <v>3649</v>
      </c>
      <c r="D119" t="inlineStr">
        <is>
          <t>Sapotaceae</t>
        </is>
      </c>
      <c r="E119" t="n">
        <v>3878</v>
      </c>
      <c r="F119" t="inlineStr">
        <is>
          <t>Micropholis</t>
        </is>
      </c>
      <c r="G119" t="inlineStr">
        <is>
          <t>guyanensis</t>
        </is>
      </c>
    </row>
    <row r="120">
      <c r="A120" s="1" t="n">
        <v>118</v>
      </c>
      <c r="B120" t="n">
        <v>2211</v>
      </c>
      <c r="C120" t="n">
        <v>3651</v>
      </c>
      <c r="D120" t="inlineStr">
        <is>
          <t>Myristicaceae</t>
        </is>
      </c>
      <c r="E120" t="inlineStr"/>
      <c r="F120" t="inlineStr">
        <is>
          <t>Otoba</t>
        </is>
      </c>
      <c r="G120" t="inlineStr">
        <is>
          <t>parvifolia</t>
        </is>
      </c>
    </row>
    <row r="121">
      <c r="A121" s="1" t="n">
        <v>119</v>
      </c>
      <c r="B121" t="n">
        <v>2212</v>
      </c>
      <c r="C121" t="inlineStr"/>
      <c r="D121" t="inlineStr">
        <is>
          <t>Rubiaceae</t>
        </is>
      </c>
      <c r="E121" t="n">
        <v>3879</v>
      </c>
      <c r="F121" t="inlineStr">
        <is>
          <t>Hippotis</t>
        </is>
      </c>
      <c r="G121" t="inlineStr"/>
    </row>
    <row r="122">
      <c r="A122" s="1" t="n">
        <v>120</v>
      </c>
      <c r="B122" t="n">
        <v>2213</v>
      </c>
      <c r="C122" t="inlineStr"/>
      <c r="D122" t="inlineStr">
        <is>
          <t>Myristicaceae</t>
        </is>
      </c>
      <c r="E122" t="n">
        <v>3880</v>
      </c>
      <c r="F122" t="inlineStr">
        <is>
          <t>Iryanthera</t>
        </is>
      </c>
      <c r="G122" t="inlineStr">
        <is>
          <t>juruensis</t>
        </is>
      </c>
    </row>
    <row r="123">
      <c r="A123" s="1" t="n">
        <v>121</v>
      </c>
      <c r="B123" t="n">
        <v>2214</v>
      </c>
      <c r="C123" t="inlineStr"/>
      <c r="D123" t="inlineStr">
        <is>
          <t>Meliaceae</t>
        </is>
      </c>
      <c r="E123" t="n">
        <v>3890</v>
      </c>
      <c r="F123" t="inlineStr">
        <is>
          <t>Guarea</t>
        </is>
      </c>
      <c r="G123" t="inlineStr">
        <is>
          <t>pterorhachis</t>
        </is>
      </c>
    </row>
    <row r="124">
      <c r="A124" s="1" t="n">
        <v>122</v>
      </c>
      <c r="B124" t="n">
        <v>2215</v>
      </c>
      <c r="C124" t="inlineStr"/>
      <c r="D124" t="inlineStr">
        <is>
          <t>Lauraceae</t>
        </is>
      </c>
      <c r="E124" t="n">
        <v>3891</v>
      </c>
      <c r="F124" t="inlineStr">
        <is>
          <t>Nectandra</t>
        </is>
      </c>
      <c r="G124" t="inlineStr"/>
    </row>
    <row r="125">
      <c r="A125" s="1" t="n">
        <v>123</v>
      </c>
      <c r="B125" t="n">
        <v>2219</v>
      </c>
      <c r="C125" t="inlineStr"/>
      <c r="D125" t="inlineStr">
        <is>
          <t>Anacardiaceae</t>
        </is>
      </c>
      <c r="E125" t="n">
        <v>3883</v>
      </c>
      <c r="F125" t="inlineStr">
        <is>
          <t>Tapirira</t>
        </is>
      </c>
      <c r="G125" t="inlineStr">
        <is>
          <t>guianensis</t>
        </is>
      </c>
    </row>
    <row r="126">
      <c r="A126" s="1" t="n">
        <v>124</v>
      </c>
      <c r="B126" t="n">
        <v>2221</v>
      </c>
      <c r="C126" t="inlineStr"/>
      <c r="D126" t="inlineStr">
        <is>
          <t>Myristicaceae</t>
        </is>
      </c>
      <c r="E126" t="inlineStr"/>
      <c r="F126" t="inlineStr">
        <is>
          <t>Otoba</t>
        </is>
      </c>
      <c r="G126" t="inlineStr">
        <is>
          <t>parvifolia</t>
        </is>
      </c>
    </row>
    <row r="127">
      <c r="A127" s="1" t="n">
        <v>125</v>
      </c>
      <c r="B127" t="n">
        <v>2222</v>
      </c>
      <c r="C127" t="inlineStr"/>
      <c r="D127" t="inlineStr">
        <is>
          <t>indet</t>
        </is>
      </c>
      <c r="E127" t="n">
        <v>3884</v>
      </c>
      <c r="F127" t="inlineStr"/>
      <c r="G127" t="inlineStr"/>
    </row>
    <row r="128">
      <c r="A128" s="1" t="n">
        <v>126</v>
      </c>
      <c r="B128" t="n">
        <v>2223</v>
      </c>
      <c r="C128" t="n">
        <v>3628</v>
      </c>
      <c r="D128" t="inlineStr">
        <is>
          <t>Myristicaceae</t>
        </is>
      </c>
      <c r="E128" t="n">
        <v>3893</v>
      </c>
      <c r="F128" t="inlineStr">
        <is>
          <t>Otoba</t>
        </is>
      </c>
      <c r="G128" t="inlineStr">
        <is>
          <t>parvifolia</t>
        </is>
      </c>
    </row>
    <row r="129">
      <c r="A129" s="1" t="n">
        <v>127</v>
      </c>
      <c r="B129" t="n">
        <v>2226</v>
      </c>
      <c r="C129" t="inlineStr"/>
      <c r="D129" t="inlineStr">
        <is>
          <t>Euphorbiaceae</t>
        </is>
      </c>
      <c r="E129" t="inlineStr"/>
      <c r="F129" t="inlineStr">
        <is>
          <t>Pseudosenefeldera</t>
        </is>
      </c>
      <c r="G129" t="inlineStr">
        <is>
          <t>inclinata</t>
        </is>
      </c>
    </row>
    <row r="130">
      <c r="A130" s="1" t="n">
        <v>128</v>
      </c>
      <c r="B130" t="n">
        <v>2227</v>
      </c>
      <c r="C130" t="inlineStr"/>
      <c r="D130" t="inlineStr">
        <is>
          <t>Myristicaceae</t>
        </is>
      </c>
      <c r="E130" t="n">
        <v>3894</v>
      </c>
      <c r="F130" t="inlineStr">
        <is>
          <t>Virola</t>
        </is>
      </c>
      <c r="G130" t="inlineStr">
        <is>
          <t>sebifera</t>
        </is>
      </c>
    </row>
    <row r="131">
      <c r="A131" s="1" t="n">
        <v>129</v>
      </c>
      <c r="B131" t="n">
        <v>2228</v>
      </c>
      <c r="C131" t="inlineStr"/>
      <c r="D131" t="inlineStr">
        <is>
          <t>Meliaceae</t>
        </is>
      </c>
      <c r="E131" t="inlineStr"/>
      <c r="F131" t="inlineStr">
        <is>
          <t>Guarea</t>
        </is>
      </c>
      <c r="G131" t="inlineStr">
        <is>
          <t>kunthiana</t>
        </is>
      </c>
    </row>
    <row r="132">
      <c r="A132" s="1" t="n">
        <v>130</v>
      </c>
      <c r="B132" t="n">
        <v>2229</v>
      </c>
      <c r="C132" t="inlineStr"/>
      <c r="D132" t="inlineStr">
        <is>
          <t>Anacardiaceae</t>
        </is>
      </c>
      <c r="E132" t="inlineStr"/>
      <c r="F132" t="inlineStr">
        <is>
          <t>Tapirira</t>
        </is>
      </c>
      <c r="G132" t="inlineStr">
        <is>
          <t>guianensis</t>
        </is>
      </c>
    </row>
    <row r="133">
      <c r="A133" s="1" t="n">
        <v>131</v>
      </c>
      <c r="B133" t="n">
        <v>2232</v>
      </c>
      <c r="C133" t="inlineStr"/>
      <c r="D133" t="inlineStr">
        <is>
          <t>Fabaceae</t>
        </is>
      </c>
      <c r="E133" t="n">
        <v>3896</v>
      </c>
      <c r="F133" t="inlineStr">
        <is>
          <t>Inga</t>
        </is>
      </c>
      <c r="G133" t="inlineStr">
        <is>
          <t>thibaudiana</t>
        </is>
      </c>
    </row>
    <row r="134">
      <c r="A134" s="1" t="n">
        <v>132</v>
      </c>
      <c r="B134" t="n">
        <v>2235</v>
      </c>
      <c r="C134" t="inlineStr"/>
      <c r="D134" t="inlineStr">
        <is>
          <t>Euphorbiaceae</t>
        </is>
      </c>
      <c r="E134" t="n">
        <v>3898</v>
      </c>
      <c r="F134" t="inlineStr">
        <is>
          <t>Tetrorchidium</t>
        </is>
      </c>
      <c r="G134" t="inlineStr">
        <is>
          <t>macrophyllum</t>
        </is>
      </c>
    </row>
    <row r="135">
      <c r="A135" s="1" t="n">
        <v>133</v>
      </c>
      <c r="B135" t="n">
        <v>2240</v>
      </c>
      <c r="C135" t="inlineStr"/>
      <c r="D135" t="inlineStr">
        <is>
          <t>Hypericaceae</t>
        </is>
      </c>
      <c r="E135" t="inlineStr"/>
      <c r="F135" t="inlineStr">
        <is>
          <t>Vismia</t>
        </is>
      </c>
      <c r="G135" t="inlineStr">
        <is>
          <t>baccifera</t>
        </is>
      </c>
    </row>
    <row r="136">
      <c r="A136" s="1" t="n">
        <v>134</v>
      </c>
      <c r="B136" t="n">
        <v>2241</v>
      </c>
      <c r="C136" t="inlineStr"/>
      <c r="D136" t="inlineStr">
        <is>
          <t>Urticaceae</t>
        </is>
      </c>
      <c r="E136" t="inlineStr"/>
      <c r="F136" t="inlineStr">
        <is>
          <t>Cecropia</t>
        </is>
      </c>
      <c r="G136" t="inlineStr">
        <is>
          <t>herthae</t>
        </is>
      </c>
    </row>
    <row r="137">
      <c r="A137" s="1" t="n">
        <v>135</v>
      </c>
      <c r="B137" t="n">
        <v>2243</v>
      </c>
      <c r="C137" t="inlineStr"/>
      <c r="D137" t="inlineStr">
        <is>
          <t>Moraceae</t>
        </is>
      </c>
      <c r="E137" t="n">
        <v>3900</v>
      </c>
      <c r="F137" t="inlineStr"/>
      <c r="G137" t="inlineStr"/>
    </row>
    <row r="138">
      <c r="A138" s="1" t="n">
        <v>136</v>
      </c>
      <c r="B138" t="n">
        <v>2244</v>
      </c>
      <c r="C138" t="inlineStr"/>
      <c r="D138" t="inlineStr">
        <is>
          <t>Violaceae</t>
        </is>
      </c>
      <c r="E138" t="n">
        <v>3901</v>
      </c>
      <c r="F138" t="inlineStr">
        <is>
          <t>Fusispermum</t>
        </is>
      </c>
      <c r="G138" t="inlineStr">
        <is>
          <t>laxiflorum</t>
        </is>
      </c>
    </row>
    <row r="139">
      <c r="A139" s="1" t="n">
        <v>137</v>
      </c>
      <c r="B139" t="inlineStr">
        <is>
          <t>x</t>
        </is>
      </c>
      <c r="C139" t="inlineStr"/>
      <c r="D139" t="inlineStr">
        <is>
          <t>Melastomataceae</t>
        </is>
      </c>
      <c r="E139" t="inlineStr"/>
      <c r="F139" t="inlineStr"/>
      <c r="G139" t="inlineStr"/>
    </row>
    <row r="140">
      <c r="A140" s="1" t="n">
        <v>138</v>
      </c>
      <c r="B140" t="inlineStr">
        <is>
          <t>y</t>
        </is>
      </c>
      <c r="C140" t="inlineStr"/>
      <c r="D140" t="inlineStr">
        <is>
          <t>indet</t>
        </is>
      </c>
      <c r="E140" t="inlineStr"/>
      <c r="F140" t="inlineStr"/>
      <c r="G140" t="inlineStr"/>
    </row>
    <row r="141">
      <c r="A141" s="1" t="n">
        <v>139</v>
      </c>
      <c r="B141" t="n">
        <v>2247</v>
      </c>
      <c r="C141" t="inlineStr"/>
      <c r="D141" t="inlineStr">
        <is>
          <t>Euphorbiaceae</t>
        </is>
      </c>
      <c r="E141" t="inlineStr"/>
      <c r="F141" t="inlineStr">
        <is>
          <t>Pseudosenefeldera</t>
        </is>
      </c>
      <c r="G141" t="inlineStr">
        <is>
          <t>inclinata</t>
        </is>
      </c>
    </row>
    <row r="142">
      <c r="A142" s="1" t="n">
        <v>140</v>
      </c>
      <c r="B142" t="n">
        <v>2248</v>
      </c>
      <c r="C142" t="inlineStr"/>
      <c r="D142" t="inlineStr">
        <is>
          <t>Moraceae</t>
        </is>
      </c>
      <c r="E142" t="inlineStr">
        <is>
          <t>3172</t>
        </is>
      </c>
      <c r="F142" t="inlineStr">
        <is>
          <t>Brosimum</t>
        </is>
      </c>
      <c r="G142" t="inlineStr"/>
    </row>
    <row r="143">
      <c r="A143" s="1" t="n">
        <v>141</v>
      </c>
      <c r="B143" t="n">
        <v>2249</v>
      </c>
      <c r="C143" t="inlineStr"/>
      <c r="D143" t="inlineStr">
        <is>
          <t>Lecythidaceae</t>
        </is>
      </c>
      <c r="E143" t="inlineStr"/>
      <c r="F143" t="inlineStr">
        <is>
          <t>Eschweilera</t>
        </is>
      </c>
      <c r="G143" t="inlineStr">
        <is>
          <t>coriacea</t>
        </is>
      </c>
    </row>
    <row r="144">
      <c r="A144" s="1" t="n">
        <v>142</v>
      </c>
      <c r="B144" t="n">
        <v>2250</v>
      </c>
      <c r="C144" t="inlineStr"/>
      <c r="D144" t="inlineStr">
        <is>
          <t>Euphorbiaceae</t>
        </is>
      </c>
      <c r="E144" t="inlineStr"/>
      <c r="F144" t="inlineStr">
        <is>
          <t>Pseudosenefeldera</t>
        </is>
      </c>
      <c r="G144" t="inlineStr">
        <is>
          <t>inclinata</t>
        </is>
      </c>
    </row>
    <row r="145">
      <c r="A145" s="1" t="n">
        <v>143</v>
      </c>
      <c r="B145" t="n">
        <v>2251</v>
      </c>
      <c r="C145" t="inlineStr"/>
      <c r="D145" t="inlineStr">
        <is>
          <t>Calophyllaceae</t>
        </is>
      </c>
      <c r="E145" t="inlineStr">
        <is>
          <t>3167</t>
        </is>
      </c>
      <c r="F145" t="inlineStr">
        <is>
          <t>Marila</t>
        </is>
      </c>
      <c r="G145" t="inlineStr">
        <is>
          <t>tomentosa</t>
        </is>
      </c>
    </row>
    <row r="146">
      <c r="A146" s="1" t="n">
        <v>144</v>
      </c>
      <c r="B146" t="n">
        <v>2252</v>
      </c>
      <c r="C146" t="inlineStr"/>
      <c r="D146" t="inlineStr">
        <is>
          <t>Moraceae</t>
        </is>
      </c>
      <c r="E146" t="inlineStr">
        <is>
          <t>3170</t>
        </is>
      </c>
      <c r="F146" t="inlineStr"/>
      <c r="G146" t="inlineStr"/>
    </row>
    <row r="147">
      <c r="A147" s="1" t="n">
        <v>145</v>
      </c>
      <c r="B147" t="n">
        <v>2253</v>
      </c>
      <c r="C147" t="inlineStr"/>
      <c r="D147" t="inlineStr">
        <is>
          <t>Fabaceae</t>
        </is>
      </c>
      <c r="E147" t="inlineStr">
        <is>
          <t>3174</t>
        </is>
      </c>
      <c r="F147" t="inlineStr">
        <is>
          <t>Inga</t>
        </is>
      </c>
      <c r="G147" t="inlineStr">
        <is>
          <t>aff. bourgonii</t>
        </is>
      </c>
    </row>
    <row r="148">
      <c r="A148" s="1" t="n">
        <v>146</v>
      </c>
      <c r="B148" t="n">
        <v>2254</v>
      </c>
      <c r="C148" t="inlineStr"/>
      <c r="D148" t="inlineStr">
        <is>
          <t>Euphorbiaceae</t>
        </is>
      </c>
      <c r="E148" t="inlineStr"/>
      <c r="F148" t="inlineStr">
        <is>
          <t>Hevea</t>
        </is>
      </c>
      <c r="G148" t="inlineStr">
        <is>
          <t>cf guianensis</t>
        </is>
      </c>
    </row>
    <row r="149">
      <c r="A149" s="1" t="n">
        <v>147</v>
      </c>
      <c r="B149" t="n">
        <v>2255</v>
      </c>
      <c r="C149" t="inlineStr"/>
      <c r="D149" t="inlineStr">
        <is>
          <t>Euphorbiaceae</t>
        </is>
      </c>
      <c r="E149" t="inlineStr">
        <is>
          <t>3168</t>
        </is>
      </c>
      <c r="F149" t="inlineStr">
        <is>
          <t>Pseudosenefeldera</t>
        </is>
      </c>
      <c r="G149" t="inlineStr">
        <is>
          <t>inclinata</t>
        </is>
      </c>
    </row>
    <row r="150">
      <c r="A150" s="1" t="n">
        <v>148</v>
      </c>
      <c r="B150" t="n">
        <v>2256</v>
      </c>
      <c r="C150" t="inlineStr"/>
      <c r="D150" t="inlineStr">
        <is>
          <t>Meliaceae</t>
        </is>
      </c>
      <c r="E150" t="inlineStr">
        <is>
          <t>3182</t>
        </is>
      </c>
      <c r="F150" t="inlineStr">
        <is>
          <t>Trichilia</t>
        </is>
      </c>
      <c r="G150" t="inlineStr">
        <is>
          <t>micrantha</t>
        </is>
      </c>
    </row>
    <row r="151">
      <c r="A151" s="1" t="n">
        <v>149</v>
      </c>
      <c r="B151" t="n">
        <v>2257</v>
      </c>
      <c r="C151" t="inlineStr"/>
      <c r="D151" t="inlineStr">
        <is>
          <t>Moraceae</t>
        </is>
      </c>
      <c r="E151" t="inlineStr"/>
      <c r="F151" t="inlineStr">
        <is>
          <t>Brosimum</t>
        </is>
      </c>
      <c r="G151" t="inlineStr"/>
    </row>
    <row r="152">
      <c r="A152" s="1" t="n">
        <v>150</v>
      </c>
      <c r="B152" t="n">
        <v>2258</v>
      </c>
      <c r="C152" t="inlineStr"/>
      <c r="D152" t="inlineStr">
        <is>
          <t>Calophyllaceae</t>
        </is>
      </c>
      <c r="E152" t="inlineStr"/>
      <c r="F152" t="inlineStr">
        <is>
          <t>Marila</t>
        </is>
      </c>
      <c r="G152" t="inlineStr">
        <is>
          <t>tomentosa</t>
        </is>
      </c>
    </row>
    <row r="153">
      <c r="A153" s="1" t="n">
        <v>151</v>
      </c>
      <c r="B153" t="n">
        <v>2259</v>
      </c>
      <c r="C153" t="inlineStr"/>
      <c r="D153" t="inlineStr">
        <is>
          <t>Chrysobalanaceae</t>
        </is>
      </c>
      <c r="E153" t="inlineStr">
        <is>
          <t>3175</t>
        </is>
      </c>
      <c r="F153" t="inlineStr">
        <is>
          <t>Licania</t>
        </is>
      </c>
      <c r="G153" t="inlineStr">
        <is>
          <t>apetala</t>
        </is>
      </c>
    </row>
    <row r="154">
      <c r="A154" s="1" t="n">
        <v>152</v>
      </c>
      <c r="B154" t="n">
        <v>2260</v>
      </c>
      <c r="C154" t="inlineStr"/>
      <c r="D154" t="inlineStr">
        <is>
          <t>Olacaceae</t>
        </is>
      </c>
      <c r="E154" t="inlineStr">
        <is>
          <t>3176</t>
        </is>
      </c>
      <c r="F154" t="inlineStr">
        <is>
          <t>Minquartia</t>
        </is>
      </c>
      <c r="G154" t="inlineStr">
        <is>
          <t>guianensis</t>
        </is>
      </c>
    </row>
    <row r="155">
      <c r="A155" s="1" t="n">
        <v>153</v>
      </c>
      <c r="B155" t="n">
        <v>2261</v>
      </c>
      <c r="C155" t="inlineStr"/>
      <c r="D155" t="inlineStr">
        <is>
          <t>Moraceae</t>
        </is>
      </c>
      <c r="E155" t="inlineStr">
        <is>
          <t>3171</t>
        </is>
      </c>
      <c r="F155" t="inlineStr">
        <is>
          <t>Ficus</t>
        </is>
      </c>
      <c r="G155" t="inlineStr"/>
    </row>
    <row r="156">
      <c r="A156" s="1" t="n">
        <v>154</v>
      </c>
      <c r="B156" t="n">
        <v>2262</v>
      </c>
      <c r="C156" t="inlineStr"/>
      <c r="D156" t="inlineStr">
        <is>
          <t>Violaceae</t>
        </is>
      </c>
      <c r="E156" t="inlineStr">
        <is>
          <t>3177</t>
        </is>
      </c>
      <c r="F156" t="inlineStr">
        <is>
          <t>Gloeospermum</t>
        </is>
      </c>
      <c r="G156" t="inlineStr">
        <is>
          <t>longifolium</t>
        </is>
      </c>
    </row>
    <row r="157">
      <c r="A157" s="1" t="n">
        <v>155</v>
      </c>
      <c r="B157" t="n">
        <v>2263</v>
      </c>
      <c r="C157" t="inlineStr"/>
      <c r="D157" t="inlineStr">
        <is>
          <t>Calophyllaceae</t>
        </is>
      </c>
      <c r="E157" t="inlineStr"/>
      <c r="F157" t="inlineStr">
        <is>
          <t>Marila</t>
        </is>
      </c>
      <c r="G157" t="inlineStr">
        <is>
          <t>tomentosa</t>
        </is>
      </c>
    </row>
    <row r="158">
      <c r="A158" s="1" t="n">
        <v>156</v>
      </c>
      <c r="B158" t="n">
        <v>2264</v>
      </c>
      <c r="C158" t="inlineStr"/>
      <c r="D158" t="inlineStr">
        <is>
          <t>Styracaceae</t>
        </is>
      </c>
      <c r="E158" t="inlineStr">
        <is>
          <t>3178</t>
        </is>
      </c>
      <c r="F158" t="inlineStr">
        <is>
          <t>Styrax</t>
        </is>
      </c>
      <c r="G158" t="inlineStr"/>
    </row>
    <row r="159">
      <c r="A159" s="1" t="n">
        <v>157</v>
      </c>
      <c r="B159" t="n">
        <v>2265</v>
      </c>
      <c r="C159" t="inlineStr"/>
      <c r="D159" t="inlineStr">
        <is>
          <t>Moraceae</t>
        </is>
      </c>
      <c r="E159" t="inlineStr"/>
      <c r="F159" t="inlineStr">
        <is>
          <t>Brosimum</t>
        </is>
      </c>
      <c r="G159" t="inlineStr"/>
    </row>
    <row r="160">
      <c r="A160" s="1" t="n">
        <v>158</v>
      </c>
      <c r="B160" t="n">
        <v>2266</v>
      </c>
      <c r="C160" t="inlineStr"/>
      <c r="D160" t="inlineStr">
        <is>
          <t>Euphorbiaceae</t>
        </is>
      </c>
      <c r="E160" t="inlineStr">
        <is>
          <t>3169</t>
        </is>
      </c>
      <c r="F160" t="inlineStr">
        <is>
          <t>Hevea</t>
        </is>
      </c>
      <c r="G160" t="inlineStr">
        <is>
          <t>cf guianensis</t>
        </is>
      </c>
    </row>
    <row r="161">
      <c r="A161" s="1" t="n">
        <v>159</v>
      </c>
      <c r="B161" t="n">
        <v>2267</v>
      </c>
      <c r="C161" t="inlineStr"/>
      <c r="D161" t="inlineStr">
        <is>
          <t>Moraceae</t>
        </is>
      </c>
      <c r="E161" t="inlineStr">
        <is>
          <t>3173</t>
        </is>
      </c>
      <c r="F161" t="inlineStr">
        <is>
          <t>Pseudolmedia</t>
        </is>
      </c>
      <c r="G161" t="inlineStr">
        <is>
          <t>macrophylla</t>
        </is>
      </c>
    </row>
    <row r="162">
      <c r="A162" s="1" t="n">
        <v>160</v>
      </c>
      <c r="B162" t="n">
        <v>2268</v>
      </c>
      <c r="C162" t="inlineStr"/>
      <c r="D162" t="inlineStr">
        <is>
          <t>Euphorbiaceae</t>
        </is>
      </c>
      <c r="E162" t="inlineStr"/>
      <c r="F162" t="inlineStr">
        <is>
          <t>Hevea</t>
        </is>
      </c>
      <c r="G162" t="inlineStr">
        <is>
          <t>cf guianensis</t>
        </is>
      </c>
    </row>
    <row r="163">
      <c r="A163" s="1" t="n">
        <v>161</v>
      </c>
      <c r="B163" t="n">
        <v>2269</v>
      </c>
      <c r="C163" t="inlineStr"/>
      <c r="D163" t="inlineStr">
        <is>
          <t>Euphorbiaceae</t>
        </is>
      </c>
      <c r="E163" t="inlineStr"/>
      <c r="F163" t="inlineStr">
        <is>
          <t>Pseudosenefeldera</t>
        </is>
      </c>
      <c r="G163" t="inlineStr">
        <is>
          <t>inclinata</t>
        </is>
      </c>
    </row>
    <row r="164">
      <c r="A164" s="1" t="n">
        <v>162</v>
      </c>
      <c r="B164" t="n">
        <v>2270</v>
      </c>
      <c r="C164" t="inlineStr"/>
      <c r="D164" t="inlineStr">
        <is>
          <t>Sapotaceae</t>
        </is>
      </c>
      <c r="E164" t="inlineStr">
        <is>
          <t>3184</t>
        </is>
      </c>
      <c r="F164" t="inlineStr">
        <is>
          <t>Pouteria</t>
        </is>
      </c>
      <c r="G164" t="inlineStr">
        <is>
          <t>calistophylla</t>
        </is>
      </c>
    </row>
    <row r="165">
      <c r="A165" s="1" t="n">
        <v>163</v>
      </c>
      <c r="B165" t="n">
        <v>2271</v>
      </c>
      <c r="C165" t="inlineStr"/>
      <c r="D165" t="inlineStr"/>
      <c r="E165" t="inlineStr"/>
      <c r="F165" t="inlineStr"/>
      <c r="G165" t="inlineStr"/>
    </row>
    <row r="166">
      <c r="A166" s="1" t="n">
        <v>164</v>
      </c>
      <c r="B166" t="n">
        <v>2272</v>
      </c>
      <c r="C166" t="inlineStr"/>
      <c r="D166" t="inlineStr">
        <is>
          <t>Myristicaceae</t>
        </is>
      </c>
      <c r="E166" t="inlineStr"/>
      <c r="F166" t="inlineStr">
        <is>
          <t>Otoba</t>
        </is>
      </c>
      <c r="G166" t="inlineStr">
        <is>
          <t>parvifolia</t>
        </is>
      </c>
    </row>
    <row r="167">
      <c r="A167" s="1" t="n">
        <v>165</v>
      </c>
      <c r="B167" t="n">
        <v>2273</v>
      </c>
      <c r="C167" t="inlineStr"/>
      <c r="D167" t="inlineStr">
        <is>
          <t>Euphorbiaceae</t>
        </is>
      </c>
      <c r="E167" t="inlineStr"/>
      <c r="F167" t="inlineStr">
        <is>
          <t>Pseudosenefeldera</t>
        </is>
      </c>
      <c r="G167" t="inlineStr">
        <is>
          <t>inclinata</t>
        </is>
      </c>
    </row>
    <row r="168">
      <c r="A168" s="1" t="n">
        <v>166</v>
      </c>
      <c r="B168" t="n">
        <v>2274</v>
      </c>
      <c r="C168" t="inlineStr"/>
      <c r="D168" t="inlineStr">
        <is>
          <t>Burseraceae</t>
        </is>
      </c>
      <c r="E168">
        <f>3010</f>
        <v/>
      </c>
      <c r="F168" t="inlineStr">
        <is>
          <t>Protium</t>
        </is>
      </c>
      <c r="G168" t="inlineStr">
        <is>
          <t>subserratum</t>
        </is>
      </c>
    </row>
    <row r="169">
      <c r="A169" s="1" t="n">
        <v>167</v>
      </c>
      <c r="B169" t="n">
        <v>2275</v>
      </c>
      <c r="C169" t="inlineStr"/>
      <c r="D169" t="inlineStr">
        <is>
          <t>Myrsinaceae</t>
        </is>
      </c>
      <c r="E169" t="inlineStr">
        <is>
          <t>3185</t>
        </is>
      </c>
      <c r="F169" t="inlineStr">
        <is>
          <t>Cybianthus</t>
        </is>
      </c>
      <c r="G169" t="inlineStr">
        <is>
          <t>aff. occigranatensis</t>
        </is>
      </c>
    </row>
    <row r="170">
      <c r="A170" s="1" t="n">
        <v>168</v>
      </c>
      <c r="B170" t="n">
        <v>2276</v>
      </c>
      <c r="C170" t="inlineStr"/>
      <c r="D170" t="inlineStr">
        <is>
          <t>Sapotaceae</t>
        </is>
      </c>
      <c r="E170" t="inlineStr">
        <is>
          <t>3180</t>
        </is>
      </c>
      <c r="F170" t="inlineStr">
        <is>
          <t>Micropholis</t>
        </is>
      </c>
      <c r="G170" t="inlineStr">
        <is>
          <t>egensis</t>
        </is>
      </c>
    </row>
    <row r="171">
      <c r="A171" s="1" t="n">
        <v>169</v>
      </c>
      <c r="B171" t="n">
        <v>2277</v>
      </c>
      <c r="C171" t="inlineStr"/>
      <c r="D171" t="inlineStr">
        <is>
          <t>Euphorbiaceae</t>
        </is>
      </c>
      <c r="E171" t="inlineStr"/>
      <c r="F171" t="inlineStr">
        <is>
          <t>Pseudosenefeldera</t>
        </is>
      </c>
      <c r="G171" t="inlineStr">
        <is>
          <t>inclinata</t>
        </is>
      </c>
    </row>
    <row r="172">
      <c r="A172" s="1" t="n">
        <v>170</v>
      </c>
      <c r="B172" t="n">
        <v>2278</v>
      </c>
      <c r="C172" t="inlineStr"/>
      <c r="D172" t="inlineStr">
        <is>
          <t>Annonaceae</t>
        </is>
      </c>
      <c r="E172" t="inlineStr">
        <is>
          <t>3179</t>
        </is>
      </c>
      <c r="F172" t="inlineStr">
        <is>
          <t>Guatteria</t>
        </is>
      </c>
      <c r="G172" t="inlineStr">
        <is>
          <t>aff. recurvisepala</t>
        </is>
      </c>
    </row>
    <row r="173">
      <c r="A173" s="1" t="n">
        <v>171</v>
      </c>
      <c r="B173" t="n">
        <v>2279</v>
      </c>
      <c r="C173" t="inlineStr"/>
      <c r="D173" t="inlineStr">
        <is>
          <t>Burseraceae</t>
        </is>
      </c>
      <c r="E173" t="inlineStr">
        <is>
          <t>3183</t>
        </is>
      </c>
      <c r="F173" t="inlineStr">
        <is>
          <t>Protium</t>
        </is>
      </c>
      <c r="G173" t="inlineStr">
        <is>
          <t>glabrescens</t>
        </is>
      </c>
    </row>
    <row r="174">
      <c r="A174" s="1" t="n">
        <v>172</v>
      </c>
      <c r="B174" t="n">
        <v>2280</v>
      </c>
      <c r="C174" t="inlineStr"/>
      <c r="D174" t="inlineStr"/>
      <c r="E174" t="inlineStr"/>
      <c r="F174" t="inlineStr"/>
      <c r="G174" t="inlineStr"/>
    </row>
    <row r="175">
      <c r="A175" s="1" t="n">
        <v>173</v>
      </c>
      <c r="B175" t="n">
        <v>2281</v>
      </c>
      <c r="C175" t="inlineStr"/>
      <c r="D175" t="inlineStr">
        <is>
          <t>Lauraceae</t>
        </is>
      </c>
      <c r="E175" t="inlineStr">
        <is>
          <t>3181</t>
        </is>
      </c>
      <c r="F175" t="inlineStr">
        <is>
          <t>Endlicheria</t>
        </is>
      </c>
      <c r="G175" t="inlineStr">
        <is>
          <t>metallica</t>
        </is>
      </c>
    </row>
    <row r="176">
      <c r="A176" s="1" t="n">
        <v>174</v>
      </c>
      <c r="B176" t="n">
        <v>2282</v>
      </c>
      <c r="C176" t="inlineStr"/>
      <c r="D176" t="inlineStr">
        <is>
          <t>Myristicaceae</t>
        </is>
      </c>
      <c r="E176" t="inlineStr"/>
      <c r="F176" t="inlineStr">
        <is>
          <t>Otoba</t>
        </is>
      </c>
      <c r="G176" t="inlineStr">
        <is>
          <t>parvifolia</t>
        </is>
      </c>
    </row>
    <row r="177">
      <c r="A177" s="1" t="n">
        <v>175</v>
      </c>
      <c r="B177" t="inlineStr"/>
      <c r="C177" t="n">
        <v>8688</v>
      </c>
      <c r="D177" t="inlineStr">
        <is>
          <t>Meliaceae</t>
        </is>
      </c>
      <c r="E177" t="inlineStr"/>
      <c r="F177" t="inlineStr">
        <is>
          <t>Guarea</t>
        </is>
      </c>
      <c r="G177" t="inlineStr">
        <is>
          <t>sp.</t>
        </is>
      </c>
    </row>
    <row r="178">
      <c r="A178" s="1" t="n">
        <v>176</v>
      </c>
      <c r="B178" t="n">
        <v>2310</v>
      </c>
      <c r="C178" t="n">
        <v>8689</v>
      </c>
      <c r="D178" t="inlineStr">
        <is>
          <t>Myristicaceae</t>
        </is>
      </c>
      <c r="E178" t="n">
        <v>3213</v>
      </c>
      <c r="F178" t="inlineStr">
        <is>
          <t>Virola</t>
        </is>
      </c>
      <c r="G178" t="inlineStr">
        <is>
          <t>dixonii</t>
        </is>
      </c>
    </row>
    <row r="179">
      <c r="A179" s="1" t="n">
        <v>177</v>
      </c>
      <c r="B179" t="n">
        <v>2317</v>
      </c>
      <c r="C179" t="n">
        <v>8696</v>
      </c>
      <c r="D179" t="inlineStr">
        <is>
          <t>Fabaceae</t>
        </is>
      </c>
      <c r="E179" t="n">
        <v>3202</v>
      </c>
      <c r="F179" t="inlineStr">
        <is>
          <t>Browneopsis</t>
        </is>
      </c>
      <c r="G179" t="inlineStr"/>
    </row>
    <row r="180">
      <c r="A180" s="1" t="n">
        <v>178</v>
      </c>
      <c r="B180" t="n">
        <v>2315</v>
      </c>
      <c r="C180" t="n">
        <v>8697</v>
      </c>
      <c r="D180" t="inlineStr">
        <is>
          <t>Myristicaceae</t>
        </is>
      </c>
      <c r="E180" t="n">
        <v>3200</v>
      </c>
      <c r="F180" t="inlineStr">
        <is>
          <t>Otoba</t>
        </is>
      </c>
      <c r="G180" t="inlineStr">
        <is>
          <t>parvifolia</t>
        </is>
      </c>
    </row>
    <row r="181">
      <c r="A181" s="1" t="n">
        <v>179</v>
      </c>
      <c r="B181" t="inlineStr"/>
      <c r="C181" t="n">
        <v>8698</v>
      </c>
      <c r="D181" t="inlineStr">
        <is>
          <t xml:space="preserve"> Chrysobalanaceae</t>
        </is>
      </c>
      <c r="E181" t="inlineStr"/>
      <c r="F181" t="inlineStr">
        <is>
          <t>Hirtella</t>
        </is>
      </c>
      <c r="G181" t="inlineStr"/>
    </row>
    <row r="182">
      <c r="A182" s="1" t="n">
        <v>180</v>
      </c>
      <c r="B182" t="n">
        <v>2319</v>
      </c>
      <c r="C182" t="n">
        <v>8699</v>
      </c>
      <c r="D182" t="inlineStr">
        <is>
          <t>Rutaceae</t>
        </is>
      </c>
      <c r="E182" t="n">
        <v>3197</v>
      </c>
      <c r="F182" t="inlineStr">
        <is>
          <t>Amyris</t>
        </is>
      </c>
      <c r="G182" t="inlineStr">
        <is>
          <t>macrocarpa</t>
        </is>
      </c>
    </row>
    <row r="183">
      <c r="A183" s="1" t="n">
        <v>181</v>
      </c>
      <c r="B183" t="n">
        <v>2320</v>
      </c>
      <c r="C183" t="n">
        <v>8700</v>
      </c>
      <c r="D183" t="inlineStr">
        <is>
          <t>Lauraceae</t>
        </is>
      </c>
      <c r="E183" t="inlineStr">
        <is>
          <t>same as 3181</t>
        </is>
      </c>
      <c r="F183" t="inlineStr">
        <is>
          <t>Endlicheria</t>
        </is>
      </c>
      <c r="G183" t="inlineStr">
        <is>
          <t>cf metallica</t>
        </is>
      </c>
    </row>
    <row r="184">
      <c r="A184" s="1" t="n">
        <v>182</v>
      </c>
      <c r="B184" t="n">
        <v>2321</v>
      </c>
      <c r="C184" t="n">
        <v>8801</v>
      </c>
      <c r="D184" t="inlineStr">
        <is>
          <t>Burseraceae</t>
        </is>
      </c>
      <c r="E184" t="inlineStr">
        <is>
          <t>same as 3203</t>
        </is>
      </c>
      <c r="F184" t="inlineStr">
        <is>
          <t>Protium</t>
        </is>
      </c>
      <c r="G184" t="inlineStr">
        <is>
          <t>stevensonii</t>
        </is>
      </c>
    </row>
    <row r="185">
      <c r="A185" s="1" t="n">
        <v>183</v>
      </c>
      <c r="B185" t="n">
        <v>2305</v>
      </c>
      <c r="C185" t="n">
        <v>8823</v>
      </c>
      <c r="D185" t="inlineStr">
        <is>
          <t>Burseraceae</t>
        </is>
      </c>
      <c r="E185" t="inlineStr"/>
      <c r="F185" t="inlineStr">
        <is>
          <t>Protium</t>
        </is>
      </c>
      <c r="G185" t="inlineStr"/>
    </row>
    <row r="186">
      <c r="A186" s="1" t="n">
        <v>184</v>
      </c>
      <c r="B186" t="n">
        <v>2309</v>
      </c>
      <c r="C186" t="n">
        <v>8690</v>
      </c>
      <c r="D186" t="inlineStr">
        <is>
          <t>Myrtaceae</t>
        </is>
      </c>
      <c r="E186" t="n">
        <v>3209</v>
      </c>
      <c r="F186" t="inlineStr">
        <is>
          <t>Eugenia</t>
        </is>
      </c>
      <c r="G186" t="inlineStr"/>
    </row>
    <row r="187">
      <c r="A187" s="1" t="n">
        <v>185</v>
      </c>
      <c r="B187" t="n">
        <v>2314</v>
      </c>
      <c r="C187" t="n">
        <v>8693</v>
      </c>
      <c r="D187" t="inlineStr">
        <is>
          <t>Fabaceae</t>
        </is>
      </c>
      <c r="E187" t="n">
        <v>3198</v>
      </c>
      <c r="F187" t="inlineStr">
        <is>
          <t>Inga</t>
        </is>
      </c>
      <c r="G187" t="inlineStr">
        <is>
          <t>multinervis</t>
        </is>
      </c>
    </row>
    <row r="188">
      <c r="A188" s="1" t="n">
        <v>186</v>
      </c>
      <c r="B188" t="n">
        <v>2302</v>
      </c>
      <c r="C188" t="n">
        <v>8694</v>
      </c>
      <c r="D188" t="inlineStr">
        <is>
          <t>Myristicaceae</t>
        </is>
      </c>
      <c r="E188" t="inlineStr"/>
      <c r="F188" t="inlineStr">
        <is>
          <t>Otoba</t>
        </is>
      </c>
      <c r="G188" t="inlineStr">
        <is>
          <t>parvifolia</t>
        </is>
      </c>
    </row>
    <row r="189">
      <c r="A189" s="1" t="n">
        <v>187</v>
      </c>
      <c r="B189" t="n">
        <v>2303</v>
      </c>
      <c r="C189" t="n">
        <v>8695</v>
      </c>
      <c r="D189" t="inlineStr">
        <is>
          <t>Rubiaceae</t>
        </is>
      </c>
      <c r="E189" t="n">
        <v>3214</v>
      </c>
      <c r="F189" t="inlineStr">
        <is>
          <t>Pentagonia</t>
        </is>
      </c>
      <c r="G189" t="inlineStr">
        <is>
          <t>amazonica</t>
        </is>
      </c>
    </row>
    <row r="190">
      <c r="A190" s="1" t="n">
        <v>188</v>
      </c>
      <c r="B190" t="inlineStr"/>
      <c r="C190" t="n">
        <v>8802</v>
      </c>
      <c r="D190" t="inlineStr">
        <is>
          <t>Lauraceae</t>
        </is>
      </c>
      <c r="E190" t="inlineStr"/>
      <c r="F190" t="inlineStr">
        <is>
          <t>Ocotea</t>
        </is>
      </c>
      <c r="G190" t="inlineStr">
        <is>
          <t>oblonga</t>
        </is>
      </c>
    </row>
    <row r="191">
      <c r="A191" s="1" t="n">
        <v>189</v>
      </c>
      <c r="B191" t="n">
        <v>2288</v>
      </c>
      <c r="C191" t="n">
        <v>8803</v>
      </c>
      <c r="D191" t="inlineStr">
        <is>
          <t>Lecythidaceae</t>
        </is>
      </c>
      <c r="E191" t="n">
        <v>3196</v>
      </c>
      <c r="F191" t="inlineStr">
        <is>
          <t>Eschweilera</t>
        </is>
      </c>
      <c r="G191" t="inlineStr"/>
    </row>
    <row r="192">
      <c r="A192" s="1" t="n">
        <v>190</v>
      </c>
      <c r="B192" t="n">
        <v>2289</v>
      </c>
      <c r="C192" t="n">
        <v>8804</v>
      </c>
      <c r="D192" t="inlineStr">
        <is>
          <t>Sapotaceae</t>
        </is>
      </c>
      <c r="E192" t="n">
        <v>3206</v>
      </c>
      <c r="F192" t="inlineStr">
        <is>
          <t>Pouteria</t>
        </is>
      </c>
      <c r="G192" t="inlineStr">
        <is>
          <t>guianensis</t>
        </is>
      </c>
    </row>
    <row r="193">
      <c r="A193" s="1" t="n">
        <v>191</v>
      </c>
      <c r="B193" t="n">
        <v>2284</v>
      </c>
      <c r="C193" t="n">
        <v>8805</v>
      </c>
      <c r="D193" t="inlineStr">
        <is>
          <t>Sapotaceae</t>
        </is>
      </c>
      <c r="E193" t="inlineStr"/>
      <c r="F193" t="inlineStr">
        <is>
          <t>Micropholis</t>
        </is>
      </c>
      <c r="G193" t="inlineStr">
        <is>
          <t>egensis</t>
        </is>
      </c>
    </row>
    <row r="194">
      <c r="A194" s="1" t="n">
        <v>192</v>
      </c>
      <c r="B194" t="n">
        <v>2307</v>
      </c>
      <c r="C194" t="n">
        <v>8806</v>
      </c>
      <c r="D194" t="inlineStr">
        <is>
          <t>Moraceae</t>
        </is>
      </c>
      <c r="E194" t="inlineStr">
        <is>
          <t>same as 3173</t>
        </is>
      </c>
      <c r="F194" t="inlineStr">
        <is>
          <t>Pseudolmedia</t>
        </is>
      </c>
      <c r="G194" t="inlineStr">
        <is>
          <t>macrophylla</t>
        </is>
      </c>
    </row>
    <row r="195">
      <c r="A195" s="1" t="n">
        <v>193</v>
      </c>
      <c r="B195" t="n">
        <v>2287</v>
      </c>
      <c r="C195" t="n">
        <v>8807</v>
      </c>
      <c r="D195" t="inlineStr">
        <is>
          <t>Fabaceae</t>
        </is>
      </c>
      <c r="E195" t="n">
        <v>3199</v>
      </c>
      <c r="F195" t="inlineStr">
        <is>
          <t>Browneopsis</t>
        </is>
      </c>
      <c r="G195" t="inlineStr">
        <is>
          <t>ucayalina</t>
        </is>
      </c>
    </row>
    <row r="196">
      <c r="A196" s="1" t="n">
        <v>194</v>
      </c>
      <c r="B196" t="inlineStr"/>
      <c r="C196" t="n">
        <v>8808</v>
      </c>
      <c r="D196" t="inlineStr">
        <is>
          <t>Melastomatacea</t>
        </is>
      </c>
      <c r="E196" t="inlineStr"/>
      <c r="F196" t="inlineStr"/>
      <c r="G196" t="inlineStr"/>
    </row>
    <row r="197">
      <c r="A197" s="1" t="n">
        <v>195</v>
      </c>
      <c r="B197" t="n">
        <v>2286</v>
      </c>
      <c r="C197" t="n">
        <v>8809</v>
      </c>
      <c r="D197" t="inlineStr">
        <is>
          <t>Burseraceae</t>
        </is>
      </c>
      <c r="E197" t="inlineStr"/>
      <c r="F197" t="inlineStr">
        <is>
          <t>Crepidospermum</t>
        </is>
      </c>
      <c r="G197" t="inlineStr">
        <is>
          <t>rhoifolium</t>
        </is>
      </c>
    </row>
    <row r="198">
      <c r="A198" s="1" t="n">
        <v>196</v>
      </c>
      <c r="B198" t="inlineStr"/>
      <c r="C198" t="n">
        <v>8810</v>
      </c>
      <c r="D198" t="inlineStr">
        <is>
          <t>Euphorbiaceae</t>
        </is>
      </c>
      <c r="E198" t="inlineStr"/>
      <c r="F198" t="inlineStr">
        <is>
          <t>Pseudosenefeldera</t>
        </is>
      </c>
      <c r="G198" t="inlineStr">
        <is>
          <t>inclinata</t>
        </is>
      </c>
    </row>
    <row r="199">
      <c r="A199" s="1" t="n">
        <v>197</v>
      </c>
      <c r="B199" t="n">
        <v>2292</v>
      </c>
      <c r="C199" t="n">
        <v>8811</v>
      </c>
      <c r="D199" t="inlineStr">
        <is>
          <t>Moraceae</t>
        </is>
      </c>
      <c r="E199" t="n">
        <v>3195</v>
      </c>
      <c r="F199" t="inlineStr">
        <is>
          <t>Sorocea</t>
        </is>
      </c>
      <c r="G199" t="inlineStr">
        <is>
          <t>steinbachii</t>
        </is>
      </c>
    </row>
    <row r="200">
      <c r="A200" s="1" t="n">
        <v>198</v>
      </c>
      <c r="B200" t="inlineStr"/>
      <c r="C200" t="n">
        <v>8812</v>
      </c>
      <c r="D200" t="inlineStr">
        <is>
          <t>Sapotaceae</t>
        </is>
      </c>
      <c r="E200" t="inlineStr"/>
      <c r="F200" t="inlineStr">
        <is>
          <t>Pouteria</t>
        </is>
      </c>
      <c r="G200" t="inlineStr"/>
    </row>
    <row r="201">
      <c r="A201" s="1" t="n">
        <v>199</v>
      </c>
      <c r="B201" t="inlineStr"/>
      <c r="C201" t="n">
        <v>8813</v>
      </c>
      <c r="D201" t="inlineStr">
        <is>
          <t>Euphorbiaceae</t>
        </is>
      </c>
      <c r="E201" t="inlineStr"/>
      <c r="F201" t="inlineStr">
        <is>
          <t>Pseudosenefeldera</t>
        </is>
      </c>
      <c r="G201" t="inlineStr">
        <is>
          <t>inclinata</t>
        </is>
      </c>
    </row>
    <row r="202">
      <c r="A202" s="1" t="n">
        <v>200</v>
      </c>
      <c r="B202" t="inlineStr"/>
      <c r="C202" t="n">
        <v>8814</v>
      </c>
      <c r="D202" t="inlineStr">
        <is>
          <t>Moraceae</t>
        </is>
      </c>
      <c r="E202" t="inlineStr"/>
      <c r="F202" t="inlineStr">
        <is>
          <t>Brosimum</t>
        </is>
      </c>
      <c r="G202" t="inlineStr"/>
    </row>
    <row r="203">
      <c r="A203" s="1" t="n">
        <v>201</v>
      </c>
      <c r="B203" t="n">
        <v>2295</v>
      </c>
      <c r="C203" t="n">
        <v>8815</v>
      </c>
      <c r="D203" t="inlineStr">
        <is>
          <t>Clusiaceae</t>
        </is>
      </c>
      <c r="E203" t="inlineStr"/>
      <c r="F203" t="inlineStr"/>
      <c r="G203" t="inlineStr"/>
    </row>
    <row r="204">
      <c r="A204" s="1" t="n">
        <v>202</v>
      </c>
      <c r="B204" t="inlineStr"/>
      <c r="C204" t="n">
        <v>8816</v>
      </c>
      <c r="D204" t="inlineStr">
        <is>
          <t>indet</t>
        </is>
      </c>
      <c r="E204" t="inlineStr"/>
      <c r="F204" t="inlineStr"/>
      <c r="G204" t="inlineStr"/>
    </row>
    <row r="205">
      <c r="A205" s="1" t="n">
        <v>203</v>
      </c>
      <c r="B205" t="n">
        <v>2294</v>
      </c>
      <c r="C205" t="n">
        <v>8817</v>
      </c>
      <c r="D205" t="inlineStr">
        <is>
          <t>Myristicaceae</t>
        </is>
      </c>
      <c r="E205" t="inlineStr"/>
      <c r="F205" t="inlineStr">
        <is>
          <t>Virola</t>
        </is>
      </c>
      <c r="G205" t="inlineStr">
        <is>
          <t>calophylla</t>
        </is>
      </c>
    </row>
    <row r="206">
      <c r="A206" s="1" t="n">
        <v>204</v>
      </c>
      <c r="B206" t="n">
        <v>2299</v>
      </c>
      <c r="C206" t="n">
        <v>8818</v>
      </c>
      <c r="D206" t="inlineStr">
        <is>
          <t>Euphorbiaceae</t>
        </is>
      </c>
      <c r="E206" t="inlineStr"/>
      <c r="F206" t="inlineStr">
        <is>
          <t>Hevea</t>
        </is>
      </c>
      <c r="G206" t="inlineStr">
        <is>
          <t>cf guianensis</t>
        </is>
      </c>
    </row>
    <row r="207">
      <c r="A207" s="1" t="n">
        <v>205</v>
      </c>
      <c r="B207" t="inlineStr"/>
      <c r="C207" t="n">
        <v>8819</v>
      </c>
      <c r="D207" t="inlineStr">
        <is>
          <t>Meliaceae</t>
        </is>
      </c>
      <c r="E207" t="inlineStr"/>
      <c r="F207" t="inlineStr">
        <is>
          <t>Guarea</t>
        </is>
      </c>
      <c r="G207" t="inlineStr"/>
    </row>
    <row r="208">
      <c r="A208" s="1" t="n">
        <v>206</v>
      </c>
      <c r="B208" t="inlineStr"/>
      <c r="C208" t="n">
        <v>8820</v>
      </c>
      <c r="D208" t="inlineStr">
        <is>
          <t>Clusiaceae</t>
        </is>
      </c>
      <c r="E208" t="inlineStr"/>
      <c r="F208" t="inlineStr"/>
      <c r="G208" t="inlineStr"/>
    </row>
    <row r="209">
      <c r="A209" s="1" t="n">
        <v>207</v>
      </c>
      <c r="B209" t="inlineStr"/>
      <c r="C209" t="n">
        <v>8821</v>
      </c>
      <c r="D209" t="inlineStr">
        <is>
          <t>Myristicaceae</t>
        </is>
      </c>
      <c r="E209" t="inlineStr"/>
      <c r="F209" t="inlineStr">
        <is>
          <t>Compsoneura</t>
        </is>
      </c>
      <c r="G209" t="inlineStr"/>
    </row>
    <row r="210">
      <c r="A210" s="1" t="n">
        <v>208</v>
      </c>
      <c r="B210" t="inlineStr"/>
      <c r="C210" t="n">
        <v>8822</v>
      </c>
      <c r="D210" t="inlineStr">
        <is>
          <t>Lauraceae</t>
        </is>
      </c>
      <c r="E210" t="inlineStr"/>
      <c r="F210" t="inlineStr"/>
      <c r="G210" t="inlineStr"/>
    </row>
    <row r="211">
      <c r="A211" s="1" t="n">
        <v>209</v>
      </c>
      <c r="B211" t="n">
        <v>2296</v>
      </c>
      <c r="C211" t="n">
        <v>8691</v>
      </c>
      <c r="D211" t="inlineStr">
        <is>
          <t>Arecaceae</t>
        </is>
      </c>
      <c r="E211" t="inlineStr"/>
      <c r="F211" t="inlineStr">
        <is>
          <t>Socratea</t>
        </is>
      </c>
      <c r="G211" t="inlineStr">
        <is>
          <t>exorrhiza</t>
        </is>
      </c>
    </row>
    <row r="212">
      <c r="A212" s="1" t="n">
        <v>210</v>
      </c>
      <c r="B212" t="n">
        <v>2293</v>
      </c>
      <c r="C212" t="inlineStr"/>
      <c r="D212" t="inlineStr">
        <is>
          <t>Moraceae</t>
        </is>
      </c>
      <c r="E212" t="inlineStr"/>
      <c r="F212" t="inlineStr">
        <is>
          <t>Brosimum</t>
        </is>
      </c>
      <c r="G212" t="inlineStr">
        <is>
          <t>gracilis</t>
        </is>
      </c>
    </row>
    <row r="213">
      <c r="A213" s="1" t="n">
        <v>211</v>
      </c>
      <c r="B213" t="n">
        <v>2283</v>
      </c>
      <c r="C213" t="inlineStr"/>
      <c r="D213" t="inlineStr">
        <is>
          <t>indet</t>
        </is>
      </c>
      <c r="E213" t="inlineStr"/>
      <c r="F213" t="inlineStr"/>
      <c r="G213" t="inlineStr"/>
    </row>
    <row r="214">
      <c r="A214" s="1" t="n">
        <v>212</v>
      </c>
      <c r="B214" t="n">
        <v>2285</v>
      </c>
      <c r="C214" t="inlineStr"/>
      <c r="D214" t="inlineStr">
        <is>
          <t>Fabaceae</t>
        </is>
      </c>
      <c r="E214" t="inlineStr">
        <is>
          <t>same as 3180</t>
        </is>
      </c>
      <c r="F214" t="inlineStr">
        <is>
          <t>Inga</t>
        </is>
      </c>
      <c r="G214" t="inlineStr"/>
    </row>
    <row r="215">
      <c r="A215" s="1" t="n">
        <v>213</v>
      </c>
      <c r="B215" t="n">
        <v>2290</v>
      </c>
      <c r="C215" t="inlineStr"/>
      <c r="D215" t="inlineStr">
        <is>
          <t>Burseraceae</t>
        </is>
      </c>
      <c r="E215" t="n">
        <v>3203</v>
      </c>
      <c r="F215" t="inlineStr">
        <is>
          <t>Tetragastris</t>
        </is>
      </c>
      <c r="G215" t="inlineStr">
        <is>
          <t>panamensis</t>
        </is>
      </c>
    </row>
    <row r="216">
      <c r="A216" s="1" t="n">
        <v>214</v>
      </c>
      <c r="B216" t="n">
        <v>2291</v>
      </c>
      <c r="C216" t="inlineStr"/>
      <c r="D216" t="inlineStr">
        <is>
          <t>Sapotaceae</t>
        </is>
      </c>
      <c r="E216" t="inlineStr"/>
      <c r="F216" t="inlineStr"/>
      <c r="G216" t="inlineStr"/>
    </row>
    <row r="217">
      <c r="A217" s="1" t="n">
        <v>215</v>
      </c>
      <c r="B217" t="n">
        <v>2297</v>
      </c>
      <c r="C217" t="inlineStr"/>
      <c r="D217" t="inlineStr">
        <is>
          <t>Myristicaceae</t>
        </is>
      </c>
      <c r="E217" t="n">
        <v>3212</v>
      </c>
      <c r="F217" t="inlineStr">
        <is>
          <t>Compsoneura</t>
        </is>
      </c>
      <c r="G217" t="inlineStr">
        <is>
          <t>aff sprucei</t>
        </is>
      </c>
    </row>
    <row r="218">
      <c r="A218" s="1" t="n">
        <v>216</v>
      </c>
      <c r="B218" t="n">
        <v>2298</v>
      </c>
      <c r="C218" t="inlineStr"/>
      <c r="D218" t="inlineStr">
        <is>
          <t>Myristicaceae</t>
        </is>
      </c>
      <c r="E218" t="inlineStr"/>
      <c r="F218" t="inlineStr">
        <is>
          <t>Virola</t>
        </is>
      </c>
      <c r="G218" t="inlineStr">
        <is>
          <t>calophylla</t>
        </is>
      </c>
    </row>
    <row r="219">
      <c r="A219" s="1" t="n">
        <v>217</v>
      </c>
      <c r="B219" t="n">
        <v>2300</v>
      </c>
      <c r="C219" t="inlineStr"/>
      <c r="D219" t="inlineStr">
        <is>
          <t>Calophyllaceae</t>
        </is>
      </c>
      <c r="E219" t="inlineStr">
        <is>
          <t>same as 3231</t>
        </is>
      </c>
      <c r="F219" t="inlineStr">
        <is>
          <t>Calophyllum</t>
        </is>
      </c>
      <c r="G219" t="inlineStr"/>
    </row>
    <row r="220">
      <c r="A220" s="1" t="n">
        <v>218</v>
      </c>
      <c r="B220" t="n">
        <v>2301</v>
      </c>
      <c r="C220" t="inlineStr"/>
      <c r="D220" t="inlineStr">
        <is>
          <t>Lauraceae</t>
        </is>
      </c>
      <c r="E220" t="inlineStr">
        <is>
          <t>same as 3211</t>
        </is>
      </c>
      <c r="F220" t="inlineStr">
        <is>
          <t>Endlicheria</t>
        </is>
      </c>
      <c r="G220" t="inlineStr">
        <is>
          <t>metallica</t>
        </is>
      </c>
    </row>
    <row r="221">
      <c r="A221" s="1" t="n">
        <v>219</v>
      </c>
      <c r="B221" t="n">
        <v>2304</v>
      </c>
      <c r="C221" t="inlineStr"/>
      <c r="D221" t="inlineStr">
        <is>
          <t>Euphorbiaceae</t>
        </is>
      </c>
      <c r="E221" t="n">
        <v>3215</v>
      </c>
      <c r="F221" t="inlineStr">
        <is>
          <t>Mabea</t>
        </is>
      </c>
      <c r="G221" t="inlineStr">
        <is>
          <t>klugii</t>
        </is>
      </c>
    </row>
    <row r="222">
      <c r="A222" s="1" t="n">
        <v>220</v>
      </c>
      <c r="B222" t="n">
        <v>2306</v>
      </c>
      <c r="C222" t="inlineStr"/>
      <c r="D222" t="inlineStr">
        <is>
          <t>Fabaceae</t>
        </is>
      </c>
      <c r="E222" t="n">
        <v>3210</v>
      </c>
      <c r="F222" t="inlineStr">
        <is>
          <t>Inga</t>
        </is>
      </c>
      <c r="G222" t="inlineStr"/>
    </row>
    <row r="223">
      <c r="A223" s="1" t="n">
        <v>221</v>
      </c>
      <c r="B223" t="n">
        <v>2308</v>
      </c>
      <c r="C223" t="inlineStr"/>
      <c r="D223" t="inlineStr">
        <is>
          <t>Clusiaceae</t>
        </is>
      </c>
      <c r="E223" t="n">
        <v>3201</v>
      </c>
      <c r="F223" t="inlineStr">
        <is>
          <t>Chrysochlamys</t>
        </is>
      </c>
      <c r="G223" t="inlineStr">
        <is>
          <t>membranacea</t>
        </is>
      </c>
    </row>
    <row r="224">
      <c r="A224" s="1" t="n">
        <v>222</v>
      </c>
      <c r="B224" t="n">
        <v>2311</v>
      </c>
      <c r="C224" t="inlineStr"/>
      <c r="D224" t="inlineStr">
        <is>
          <t>Burseraceae</t>
        </is>
      </c>
      <c r="E224" t="n">
        <v>3211</v>
      </c>
      <c r="F224" t="inlineStr">
        <is>
          <t>Protium</t>
        </is>
      </c>
      <c r="G224" t="inlineStr">
        <is>
          <t>cf. tenuifolium</t>
        </is>
      </c>
    </row>
    <row r="225">
      <c r="A225" s="1" t="n">
        <v>223</v>
      </c>
      <c r="B225" t="n">
        <v>2312</v>
      </c>
      <c r="C225" t="inlineStr"/>
      <c r="D225" t="inlineStr">
        <is>
          <t>Myrtaceae</t>
        </is>
      </c>
      <c r="E225" t="n">
        <v>3205</v>
      </c>
      <c r="F225" t="inlineStr">
        <is>
          <t>Calyptranthes</t>
        </is>
      </c>
      <c r="G225" t="inlineStr"/>
    </row>
    <row r="226">
      <c r="A226" s="1" t="n">
        <v>224</v>
      </c>
      <c r="B226" t="n">
        <v>2313</v>
      </c>
      <c r="C226" t="inlineStr"/>
      <c r="D226" t="inlineStr">
        <is>
          <t>Sapotaceae</t>
        </is>
      </c>
      <c r="E226" t="n">
        <v>3204</v>
      </c>
      <c r="F226" t="inlineStr">
        <is>
          <t>Chrysophyllum</t>
        </is>
      </c>
      <c r="G226" t="inlineStr">
        <is>
          <t>manaosense</t>
        </is>
      </c>
    </row>
    <row r="227">
      <c r="A227" s="1" t="n">
        <v>225</v>
      </c>
      <c r="B227" t="n">
        <v>2316</v>
      </c>
      <c r="C227" t="inlineStr"/>
      <c r="D227" t="inlineStr">
        <is>
          <t>Fabaceae</t>
        </is>
      </c>
      <c r="E227" t="inlineStr"/>
      <c r="F227" t="inlineStr"/>
      <c r="G227" t="inlineStr"/>
    </row>
    <row r="228">
      <c r="A228" s="1" t="n">
        <v>226</v>
      </c>
      <c r="B228" t="n">
        <v>2318</v>
      </c>
      <c r="C228" t="inlineStr"/>
      <c r="D228" t="inlineStr">
        <is>
          <t>Lauraceae</t>
        </is>
      </c>
      <c r="E228" t="inlineStr"/>
      <c r="F228" t="inlineStr">
        <is>
          <t>Endlicheria</t>
        </is>
      </c>
      <c r="G228" t="inlineStr">
        <is>
          <t>metallica</t>
        </is>
      </c>
    </row>
    <row r="229">
      <c r="A229" s="1" t="n">
        <v>227</v>
      </c>
      <c r="B229" t="inlineStr">
        <is>
          <t>x</t>
        </is>
      </c>
      <c r="C229" t="n">
        <v>8692</v>
      </c>
      <c r="D229" t="inlineStr">
        <is>
          <t>Myristicaceae</t>
        </is>
      </c>
      <c r="E229" t="inlineStr"/>
      <c r="F229" t="inlineStr">
        <is>
          <t>Otoba</t>
        </is>
      </c>
      <c r="G229" t="inlineStr">
        <is>
          <t>parvifolia</t>
        </is>
      </c>
    </row>
    <row r="230">
      <c r="A230" s="1" t="n">
        <v>228</v>
      </c>
      <c r="B230" t="inlineStr">
        <is>
          <t>y</t>
        </is>
      </c>
      <c r="C230" t="inlineStr"/>
      <c r="D230" t="inlineStr">
        <is>
          <t>indet</t>
        </is>
      </c>
      <c r="E230" t="inlineStr"/>
      <c r="F230" t="inlineStr"/>
      <c r="G230" t="inlineStr"/>
    </row>
    <row r="231">
      <c r="A231" s="1" t="n">
        <v>229</v>
      </c>
      <c r="B231" t="n">
        <v>2322</v>
      </c>
      <c r="C231" t="inlineStr"/>
      <c r="D231" t="inlineStr">
        <is>
          <t>Calophyllaceae</t>
        </is>
      </c>
      <c r="E231" t="inlineStr">
        <is>
          <t>3231</t>
        </is>
      </c>
      <c r="F231" t="inlineStr">
        <is>
          <t>Calophyllum</t>
        </is>
      </c>
      <c r="G231" t="inlineStr"/>
    </row>
    <row r="232">
      <c r="A232" s="1" t="n">
        <v>230</v>
      </c>
      <c r="B232" t="n">
        <v>2323</v>
      </c>
      <c r="C232" t="inlineStr"/>
      <c r="D232" t="inlineStr">
        <is>
          <t>Myristicaceae</t>
        </is>
      </c>
      <c r="E232" t="inlineStr"/>
      <c r="F232" t="inlineStr">
        <is>
          <t>Virola</t>
        </is>
      </c>
      <c r="G232" t="inlineStr">
        <is>
          <t>calophylla</t>
        </is>
      </c>
    </row>
    <row r="233">
      <c r="A233" s="1" t="n">
        <v>231</v>
      </c>
      <c r="B233" t="n">
        <v>2324</v>
      </c>
      <c r="C233" t="inlineStr"/>
      <c r="D233" t="inlineStr">
        <is>
          <t>Proteaceae</t>
        </is>
      </c>
      <c r="E233" t="inlineStr">
        <is>
          <t>3226</t>
        </is>
      </c>
      <c r="F233" t="inlineStr">
        <is>
          <t>Euplassa</t>
        </is>
      </c>
      <c r="G233" t="inlineStr">
        <is>
          <t>occidentalis</t>
        </is>
      </c>
    </row>
    <row r="234">
      <c r="A234" s="1" t="n">
        <v>232</v>
      </c>
      <c r="B234" t="n">
        <v>2325</v>
      </c>
      <c r="C234" t="inlineStr"/>
      <c r="D234" t="inlineStr">
        <is>
          <t>Myristicaceae</t>
        </is>
      </c>
      <c r="E234" t="inlineStr">
        <is>
          <t>3232</t>
        </is>
      </c>
      <c r="F234" t="inlineStr">
        <is>
          <t>Iryanthera</t>
        </is>
      </c>
      <c r="G234" t="inlineStr">
        <is>
          <t>juruensis</t>
        </is>
      </c>
    </row>
    <row r="235">
      <c r="A235" s="1" t="n">
        <v>233</v>
      </c>
      <c r="B235" t="n">
        <v>2326</v>
      </c>
      <c r="C235" t="inlineStr"/>
      <c r="D235" t="inlineStr">
        <is>
          <t>Burseraceae</t>
        </is>
      </c>
      <c r="E235" t="inlineStr"/>
      <c r="F235" t="inlineStr">
        <is>
          <t>Protium</t>
        </is>
      </c>
      <c r="G235" t="inlineStr"/>
    </row>
    <row r="236">
      <c r="A236" s="1" t="n">
        <v>234</v>
      </c>
      <c r="B236" t="n">
        <v>2327</v>
      </c>
      <c r="C236" t="inlineStr"/>
      <c r="D236" t="inlineStr">
        <is>
          <t>Annonaceae</t>
        </is>
      </c>
      <c r="E236" t="inlineStr">
        <is>
          <t>3241</t>
        </is>
      </c>
      <c r="F236" t="inlineStr">
        <is>
          <t>Guatteria</t>
        </is>
      </c>
      <c r="G236" t="inlineStr"/>
    </row>
    <row r="237">
      <c r="A237" s="1" t="n">
        <v>235</v>
      </c>
      <c r="B237" t="n">
        <v>2328</v>
      </c>
      <c r="C237" t="inlineStr"/>
      <c r="D237" t="inlineStr">
        <is>
          <t>Moraceae</t>
        </is>
      </c>
      <c r="E237" t="inlineStr"/>
      <c r="F237" t="inlineStr">
        <is>
          <t>Pseudolmedia</t>
        </is>
      </c>
      <c r="G237" t="inlineStr"/>
    </row>
    <row r="238">
      <c r="A238" s="1" t="n">
        <v>236</v>
      </c>
      <c r="B238" t="n">
        <v>2329</v>
      </c>
      <c r="C238" t="inlineStr"/>
      <c r="D238" t="inlineStr">
        <is>
          <t>Arecaceae</t>
        </is>
      </c>
      <c r="E238" t="inlineStr"/>
      <c r="F238" t="inlineStr">
        <is>
          <t>Iriartea</t>
        </is>
      </c>
      <c r="G238" t="inlineStr">
        <is>
          <t>deltoidea</t>
        </is>
      </c>
    </row>
    <row r="239">
      <c r="A239" s="1" t="n">
        <v>237</v>
      </c>
      <c r="B239" t="n">
        <v>2330</v>
      </c>
      <c r="C239" t="inlineStr"/>
      <c r="D239" t="inlineStr">
        <is>
          <t>Rubiaceae</t>
        </is>
      </c>
      <c r="E239" t="inlineStr">
        <is>
          <t>3233</t>
        </is>
      </c>
      <c r="F239" t="inlineStr">
        <is>
          <t>Capirona</t>
        </is>
      </c>
      <c r="G239" t="inlineStr">
        <is>
          <t>decorticans</t>
        </is>
      </c>
    </row>
    <row r="240">
      <c r="A240" s="1" t="n">
        <v>238</v>
      </c>
      <c r="B240" t="n">
        <v>2331</v>
      </c>
      <c r="C240" t="inlineStr"/>
      <c r="D240" t="inlineStr">
        <is>
          <t>Annonaceae</t>
        </is>
      </c>
      <c r="E240" t="inlineStr">
        <is>
          <t>3240</t>
        </is>
      </c>
      <c r="F240" t="inlineStr">
        <is>
          <t>Guatteria</t>
        </is>
      </c>
      <c r="G240" t="inlineStr"/>
    </row>
    <row r="241">
      <c r="A241" s="1" t="n">
        <v>239</v>
      </c>
      <c r="B241" t="n">
        <v>2332</v>
      </c>
      <c r="C241" t="inlineStr"/>
      <c r="D241" t="inlineStr">
        <is>
          <t>Rubiaceae</t>
        </is>
      </c>
      <c r="E241" t="inlineStr">
        <is>
          <t>3234</t>
        </is>
      </c>
      <c r="F241" t="inlineStr">
        <is>
          <t>Alibertia</t>
        </is>
      </c>
      <c r="G241" t="inlineStr">
        <is>
          <t>edulis</t>
        </is>
      </c>
    </row>
    <row r="242">
      <c r="A242" s="1" t="n">
        <v>240</v>
      </c>
      <c r="B242" t="n">
        <v>2333</v>
      </c>
      <c r="C242" t="inlineStr"/>
      <c r="D242" t="inlineStr">
        <is>
          <t>Moraceae</t>
        </is>
      </c>
      <c r="E242" t="inlineStr"/>
      <c r="F242" t="inlineStr">
        <is>
          <t>Perebea</t>
        </is>
      </c>
      <c r="G242" t="inlineStr">
        <is>
          <t>guianensis</t>
        </is>
      </c>
    </row>
    <row r="243">
      <c r="A243" s="1" t="n">
        <v>241</v>
      </c>
      <c r="B243" t="n">
        <v>2334</v>
      </c>
      <c r="C243" t="inlineStr"/>
      <c r="D243" t="inlineStr">
        <is>
          <t>Lecythidaceae</t>
        </is>
      </c>
      <c r="E243" t="inlineStr"/>
      <c r="F243" t="inlineStr">
        <is>
          <t>Grias</t>
        </is>
      </c>
      <c r="G243" t="inlineStr">
        <is>
          <t>neuberthii</t>
        </is>
      </c>
    </row>
    <row r="244">
      <c r="A244" s="1" t="n">
        <v>242</v>
      </c>
      <c r="B244" t="n">
        <v>2335</v>
      </c>
      <c r="C244" t="inlineStr"/>
      <c r="D244" t="inlineStr">
        <is>
          <t>Moraceae</t>
        </is>
      </c>
      <c r="E244" t="inlineStr">
        <is>
          <t>3228</t>
        </is>
      </c>
      <c r="F244" t="inlineStr">
        <is>
          <t>Perebea</t>
        </is>
      </c>
      <c r="G244" t="inlineStr">
        <is>
          <t>xanthochyma</t>
        </is>
      </c>
    </row>
    <row r="245">
      <c r="A245" s="1" t="n">
        <v>243</v>
      </c>
      <c r="B245" t="n">
        <v>2336</v>
      </c>
      <c r="C245" t="inlineStr"/>
      <c r="D245" t="inlineStr"/>
      <c r="E245" t="inlineStr"/>
      <c r="F245" t="inlineStr"/>
      <c r="G245" t="inlineStr"/>
    </row>
    <row r="246">
      <c r="A246" s="1" t="n">
        <v>244</v>
      </c>
      <c r="B246" t="n">
        <v>2337</v>
      </c>
      <c r="C246" t="inlineStr"/>
      <c r="D246" t="inlineStr">
        <is>
          <t>Polygonaceae</t>
        </is>
      </c>
      <c r="E246" t="inlineStr">
        <is>
          <t>3225</t>
        </is>
      </c>
      <c r="F246" t="inlineStr">
        <is>
          <t>Coccoloba</t>
        </is>
      </c>
      <c r="G246" t="inlineStr">
        <is>
          <t>densifrons</t>
        </is>
      </c>
    </row>
    <row r="247">
      <c r="A247" s="1" t="n">
        <v>245</v>
      </c>
      <c r="B247" t="n">
        <v>2338</v>
      </c>
      <c r="C247" t="inlineStr"/>
      <c r="D247" t="inlineStr">
        <is>
          <t>Dichapetalaceae</t>
        </is>
      </c>
      <c r="E247" t="inlineStr">
        <is>
          <t>3242</t>
        </is>
      </c>
      <c r="F247" t="inlineStr">
        <is>
          <t>Dichapetalum</t>
        </is>
      </c>
      <c r="G247" t="inlineStr">
        <is>
          <t>rugosum</t>
        </is>
      </c>
    </row>
    <row r="248">
      <c r="A248" s="1" t="n">
        <v>246</v>
      </c>
      <c r="B248" t="n">
        <v>2339</v>
      </c>
      <c r="C248" t="inlineStr"/>
      <c r="D248" t="inlineStr">
        <is>
          <t>Myristicaceae</t>
        </is>
      </c>
      <c r="E248" t="inlineStr"/>
      <c r="F248" t="inlineStr">
        <is>
          <t>Otoba</t>
        </is>
      </c>
      <c r="G248" t="inlineStr">
        <is>
          <t>parvifolia</t>
        </is>
      </c>
    </row>
    <row r="249">
      <c r="A249" s="1" t="n">
        <v>247</v>
      </c>
      <c r="B249" t="n">
        <v>2340</v>
      </c>
      <c r="C249" t="inlineStr"/>
      <c r="D249" t="inlineStr">
        <is>
          <t>Myrtaceae</t>
        </is>
      </c>
      <c r="E249" t="inlineStr"/>
      <c r="F249" t="inlineStr"/>
      <c r="G249" t="inlineStr"/>
    </row>
    <row r="250">
      <c r="A250" s="1" t="n">
        <v>248</v>
      </c>
      <c r="B250" t="n">
        <v>2341</v>
      </c>
      <c r="C250" t="inlineStr"/>
      <c r="D250" t="inlineStr">
        <is>
          <t>Moraceae</t>
        </is>
      </c>
      <c r="E250" t="inlineStr">
        <is>
          <t>3229</t>
        </is>
      </c>
      <c r="F250" t="inlineStr">
        <is>
          <t>Brosimum</t>
        </is>
      </c>
      <c r="G250" t="inlineStr">
        <is>
          <t>lactescens</t>
        </is>
      </c>
    </row>
    <row r="251">
      <c r="A251" s="1" t="n">
        <v>249</v>
      </c>
      <c r="B251" t="n">
        <v>2342</v>
      </c>
      <c r="C251" t="inlineStr"/>
      <c r="D251" t="inlineStr">
        <is>
          <t>Euphorbiaceae</t>
        </is>
      </c>
      <c r="E251" t="inlineStr"/>
      <c r="F251" t="inlineStr">
        <is>
          <t>Hevea</t>
        </is>
      </c>
      <c r="G251" t="inlineStr">
        <is>
          <t>cf guianensis</t>
        </is>
      </c>
    </row>
    <row r="252">
      <c r="A252" s="1" t="n">
        <v>250</v>
      </c>
      <c r="B252" t="n">
        <v>2343</v>
      </c>
      <c r="C252" t="inlineStr"/>
      <c r="D252" t="inlineStr">
        <is>
          <t>Lauraceae</t>
        </is>
      </c>
      <c r="E252" t="inlineStr">
        <is>
          <t>3237</t>
        </is>
      </c>
      <c r="F252" t="inlineStr">
        <is>
          <t>Nectandra</t>
        </is>
      </c>
      <c r="G252" t="inlineStr">
        <is>
          <t>paucinervia</t>
        </is>
      </c>
    </row>
    <row r="253">
      <c r="A253" s="1" t="n">
        <v>251</v>
      </c>
      <c r="B253" t="n">
        <v>2344</v>
      </c>
      <c r="C253" t="inlineStr"/>
      <c r="D253" t="inlineStr">
        <is>
          <t>Rubiaceae</t>
        </is>
      </c>
      <c r="E253" t="inlineStr">
        <is>
          <t>3227</t>
        </is>
      </c>
      <c r="F253" t="inlineStr">
        <is>
          <t>Coussarea</t>
        </is>
      </c>
      <c r="G253" t="inlineStr">
        <is>
          <t>racemosa</t>
        </is>
      </c>
    </row>
    <row r="254">
      <c r="A254" s="1" t="n">
        <v>252</v>
      </c>
      <c r="B254" t="n">
        <v>2345</v>
      </c>
      <c r="C254" t="inlineStr"/>
      <c r="D254" t="inlineStr">
        <is>
          <t>Ulmaceae</t>
        </is>
      </c>
      <c r="E254" t="inlineStr"/>
      <c r="F254" t="inlineStr">
        <is>
          <t>Ampelocera</t>
        </is>
      </c>
      <c r="G254" t="inlineStr">
        <is>
          <t>edentula</t>
        </is>
      </c>
    </row>
    <row r="255">
      <c r="A255" s="1" t="n">
        <v>253</v>
      </c>
      <c r="B255" t="n">
        <v>2346</v>
      </c>
      <c r="C255" t="inlineStr"/>
      <c r="D255" t="inlineStr">
        <is>
          <t>Myristicaceae</t>
        </is>
      </c>
      <c r="E255" t="inlineStr"/>
      <c r="F255" t="inlineStr">
        <is>
          <t>Virola</t>
        </is>
      </c>
      <c r="G255" t="inlineStr">
        <is>
          <t>duckei</t>
        </is>
      </c>
    </row>
    <row r="256">
      <c r="A256" s="1" t="n">
        <v>254</v>
      </c>
      <c r="B256" t="n">
        <v>2347</v>
      </c>
      <c r="C256" t="inlineStr"/>
      <c r="D256" t="inlineStr">
        <is>
          <t>Arecaceae</t>
        </is>
      </c>
      <c r="E256" t="inlineStr"/>
      <c r="F256" t="inlineStr">
        <is>
          <t>Socratea</t>
        </is>
      </c>
      <c r="G256" t="inlineStr">
        <is>
          <t>exorrhiza</t>
        </is>
      </c>
    </row>
    <row r="257">
      <c r="A257" s="1" t="n">
        <v>255</v>
      </c>
      <c r="B257" t="n">
        <v>2348</v>
      </c>
      <c r="C257" t="inlineStr"/>
      <c r="D257" t="inlineStr">
        <is>
          <t>Violaceae</t>
        </is>
      </c>
      <c r="E257" t="inlineStr">
        <is>
          <t>3238</t>
        </is>
      </c>
      <c r="F257" t="inlineStr">
        <is>
          <t>Leonia</t>
        </is>
      </c>
      <c r="G257" t="inlineStr">
        <is>
          <t>glycycarpa</t>
        </is>
      </c>
    </row>
    <row r="258">
      <c r="A258" s="1" t="n">
        <v>256</v>
      </c>
      <c r="B258" t="n">
        <v>2349</v>
      </c>
      <c r="C258" t="inlineStr"/>
      <c r="D258" t="inlineStr">
        <is>
          <t>Annonaceae</t>
        </is>
      </c>
      <c r="E258">
        <f>3241?</f>
        <v/>
      </c>
      <c r="F258" t="inlineStr">
        <is>
          <t>Guatteria</t>
        </is>
      </c>
      <c r="G258" t="inlineStr">
        <is>
          <t>glaberrima</t>
        </is>
      </c>
    </row>
    <row r="259">
      <c r="A259" s="1" t="n">
        <v>257</v>
      </c>
      <c r="B259" t="n">
        <v>2350</v>
      </c>
      <c r="C259" t="inlineStr"/>
      <c r="D259" t="inlineStr">
        <is>
          <t>Achariaceae</t>
        </is>
      </c>
      <c r="E259" t="inlineStr">
        <is>
          <t>3236</t>
        </is>
      </c>
      <c r="F259" t="inlineStr">
        <is>
          <t>Lindackeria</t>
        </is>
      </c>
      <c r="G259" t="inlineStr">
        <is>
          <t>paludosa</t>
        </is>
      </c>
    </row>
    <row r="260">
      <c r="A260" s="1" t="n">
        <v>258</v>
      </c>
      <c r="B260" t="n">
        <v>2351</v>
      </c>
      <c r="C260" t="inlineStr"/>
      <c r="D260" t="inlineStr">
        <is>
          <t>Arecaceae</t>
        </is>
      </c>
      <c r="E260" t="inlineStr"/>
      <c r="F260" t="inlineStr">
        <is>
          <t>Iriartea</t>
        </is>
      </c>
      <c r="G260" t="inlineStr">
        <is>
          <t>deltoidea</t>
        </is>
      </c>
    </row>
    <row r="261">
      <c r="A261" s="1" t="n">
        <v>259</v>
      </c>
      <c r="B261" t="n">
        <v>2352</v>
      </c>
      <c r="C261" t="inlineStr"/>
      <c r="D261" t="inlineStr">
        <is>
          <t>Siparunacae</t>
        </is>
      </c>
      <c r="E261" t="inlineStr">
        <is>
          <t>3239</t>
        </is>
      </c>
      <c r="F261" t="inlineStr">
        <is>
          <t>Siparuna</t>
        </is>
      </c>
      <c r="G261" t="inlineStr">
        <is>
          <t>cuspidata</t>
        </is>
      </c>
    </row>
    <row r="262">
      <c r="A262" s="1" t="n">
        <v>260</v>
      </c>
      <c r="B262" t="n">
        <v>2353</v>
      </c>
      <c r="C262" t="inlineStr"/>
      <c r="D262" t="inlineStr">
        <is>
          <t>Burseraceae</t>
        </is>
      </c>
      <c r="E262" t="inlineStr"/>
      <c r="F262" t="inlineStr">
        <is>
          <t>Protium</t>
        </is>
      </c>
      <c r="G262" t="inlineStr"/>
    </row>
    <row r="263">
      <c r="A263" s="1" t="n">
        <v>261</v>
      </c>
      <c r="B263" t="n">
        <v>2354</v>
      </c>
      <c r="C263" t="inlineStr"/>
      <c r="D263" t="inlineStr">
        <is>
          <t>Arecaceae</t>
        </is>
      </c>
      <c r="E263" t="inlineStr"/>
      <c r="F263" t="inlineStr">
        <is>
          <t>Iriartea</t>
        </is>
      </c>
      <c r="G263" t="inlineStr">
        <is>
          <t>deltoidea</t>
        </is>
      </c>
    </row>
    <row r="264">
      <c r="A264" s="1" t="n">
        <v>262</v>
      </c>
      <c r="B264" t="n">
        <v>2355</v>
      </c>
      <c r="C264" t="inlineStr"/>
      <c r="D264" t="inlineStr">
        <is>
          <t>Ulmaceae</t>
        </is>
      </c>
      <c r="E264">
        <f>3208</f>
        <v/>
      </c>
      <c r="F264" t="inlineStr">
        <is>
          <t>Ampelocera</t>
        </is>
      </c>
      <c r="G264" t="inlineStr">
        <is>
          <t>edentula</t>
        </is>
      </c>
    </row>
    <row r="265">
      <c r="A265" s="1" t="n">
        <v>263</v>
      </c>
      <c r="B265" t="n">
        <v>2356</v>
      </c>
      <c r="C265" t="inlineStr"/>
      <c r="D265" t="inlineStr"/>
      <c r="E265" t="inlineStr"/>
      <c r="F265" t="inlineStr"/>
      <c r="G265" t="inlineStr"/>
    </row>
    <row r="266">
      <c r="A266" s="1" t="n">
        <v>264</v>
      </c>
      <c r="B266" t="n">
        <v>2357</v>
      </c>
      <c r="C266" t="inlineStr"/>
      <c r="D266" t="inlineStr">
        <is>
          <t>Olacaceae</t>
        </is>
      </c>
      <c r="E266" t="inlineStr">
        <is>
          <t>3230</t>
        </is>
      </c>
      <c r="F266" t="inlineStr">
        <is>
          <t>Heisteria</t>
        </is>
      </c>
      <c r="G266" t="inlineStr">
        <is>
          <t>nitida</t>
        </is>
      </c>
    </row>
    <row r="267">
      <c r="A267" s="1" t="n">
        <v>265</v>
      </c>
      <c r="B267" t="n">
        <v>2358</v>
      </c>
      <c r="C267" t="inlineStr"/>
      <c r="D267" t="inlineStr"/>
      <c r="E267" t="inlineStr">
        <is>
          <t>3235</t>
        </is>
      </c>
      <c r="F267" t="inlineStr"/>
      <c r="G267" t="inlineStr"/>
    </row>
    <row r="268">
      <c r="A268" s="1" t="n">
        <v>266</v>
      </c>
      <c r="B268" t="n">
        <v>2359</v>
      </c>
      <c r="C268" t="inlineStr"/>
      <c r="D268" t="inlineStr"/>
      <c r="E268" t="inlineStr"/>
      <c r="F268" t="inlineStr"/>
      <c r="G268" t="inlineStr"/>
    </row>
    <row r="269">
      <c r="A269" s="1" t="n">
        <v>267</v>
      </c>
      <c r="B269" t="n">
        <v>2360</v>
      </c>
      <c r="C269" t="inlineStr"/>
      <c r="D269" t="inlineStr"/>
      <c r="E269" t="inlineStr"/>
      <c r="F269" t="inlineStr"/>
      <c r="G269" t="inlineStr"/>
    </row>
    <row r="270">
      <c r="A270" s="1" t="n">
        <v>268</v>
      </c>
      <c r="B270" t="n">
        <v>2361</v>
      </c>
      <c r="C270" t="inlineStr"/>
      <c r="D270" t="inlineStr">
        <is>
          <t>Euphorbiaceae</t>
        </is>
      </c>
      <c r="E270" t="inlineStr"/>
      <c r="F270" t="inlineStr">
        <is>
          <t>Hevea</t>
        </is>
      </c>
      <c r="G270" t="inlineStr">
        <is>
          <t>cf guianensis</t>
        </is>
      </c>
    </row>
    <row r="271">
      <c r="A271" s="1" t="n">
        <v>269</v>
      </c>
      <c r="B271" t="n">
        <v>2387</v>
      </c>
      <c r="C271" t="n">
        <v>8824</v>
      </c>
      <c r="D271" t="inlineStr">
        <is>
          <t>Malvaceae</t>
        </is>
      </c>
      <c r="E271" t="n">
        <v>3267</v>
      </c>
      <c r="F271" t="inlineStr">
        <is>
          <t>Pachira</t>
        </is>
      </c>
      <c r="G271" t="inlineStr">
        <is>
          <t>rupicola</t>
        </is>
      </c>
    </row>
    <row r="272">
      <c r="A272" s="1" t="n">
        <v>270</v>
      </c>
      <c r="B272" t="inlineStr"/>
      <c r="C272" t="n">
        <v>8825</v>
      </c>
      <c r="D272" t="inlineStr">
        <is>
          <t>Sapotaceae</t>
        </is>
      </c>
      <c r="E272" t="inlineStr"/>
      <c r="F272" t="inlineStr">
        <is>
          <t>Pouteria</t>
        </is>
      </c>
      <c r="G272" t="inlineStr">
        <is>
          <t>sp.2</t>
        </is>
      </c>
    </row>
    <row r="273">
      <c r="A273" s="1" t="n">
        <v>271</v>
      </c>
      <c r="B273" t="n">
        <v>2394</v>
      </c>
      <c r="C273" t="n">
        <v>8826</v>
      </c>
      <c r="D273" t="inlineStr">
        <is>
          <t>Myristicaceae</t>
        </is>
      </c>
      <c r="E273" t="inlineStr">
        <is>
          <t>same as 3200</t>
        </is>
      </c>
      <c r="F273" t="inlineStr">
        <is>
          <t>Otoba</t>
        </is>
      </c>
      <c r="G273" t="inlineStr">
        <is>
          <t>parvifolia</t>
        </is>
      </c>
    </row>
    <row r="274">
      <c r="A274" s="1" t="n">
        <v>272</v>
      </c>
      <c r="B274" t="inlineStr"/>
      <c r="C274" t="n">
        <v>8827</v>
      </c>
      <c r="D274" t="inlineStr">
        <is>
          <t>Sapotaceae</t>
        </is>
      </c>
      <c r="E274" t="inlineStr"/>
      <c r="F274" t="inlineStr">
        <is>
          <t>Sarcaulus</t>
        </is>
      </c>
      <c r="G274" t="inlineStr">
        <is>
          <t>brasiliensis</t>
        </is>
      </c>
    </row>
    <row r="275">
      <c r="A275" s="1" t="n">
        <v>273</v>
      </c>
      <c r="B275" t="inlineStr"/>
      <c r="C275" t="n">
        <v>8828</v>
      </c>
      <c r="D275" t="inlineStr">
        <is>
          <t>Fabaceae</t>
        </is>
      </c>
      <c r="E275" t="inlineStr"/>
      <c r="F275" t="inlineStr">
        <is>
          <t>Macrolobium</t>
        </is>
      </c>
      <c r="G275" t="inlineStr">
        <is>
          <t>cf. ischnocalyx</t>
        </is>
      </c>
    </row>
    <row r="276">
      <c r="A276" s="1" t="n">
        <v>274</v>
      </c>
      <c r="B276" t="n">
        <v>2398</v>
      </c>
      <c r="C276" t="n">
        <v>8829</v>
      </c>
      <c r="D276" t="inlineStr">
        <is>
          <t>Sapotaceae</t>
        </is>
      </c>
      <c r="E276" t="inlineStr"/>
      <c r="F276" t="inlineStr">
        <is>
          <t>Pouteria</t>
        </is>
      </c>
      <c r="G276" t="inlineStr">
        <is>
          <t>vernicosa</t>
        </is>
      </c>
    </row>
    <row r="277">
      <c r="A277" s="1" t="n">
        <v>275</v>
      </c>
      <c r="B277" t="n">
        <v>2399</v>
      </c>
      <c r="C277" t="n">
        <v>8830</v>
      </c>
      <c r="D277" t="inlineStr">
        <is>
          <t>Moraceae</t>
        </is>
      </c>
      <c r="E277" t="n">
        <v>3265</v>
      </c>
      <c r="F277" t="inlineStr">
        <is>
          <t>Pseudolmedia</t>
        </is>
      </c>
      <c r="G277" t="inlineStr">
        <is>
          <t>laevis</t>
        </is>
      </c>
    </row>
    <row r="278">
      <c r="A278" s="1" t="n">
        <v>276</v>
      </c>
      <c r="B278" t="n">
        <v>2397</v>
      </c>
      <c r="C278" t="n">
        <v>8831</v>
      </c>
      <c r="D278" t="inlineStr">
        <is>
          <t>Myristicaceae</t>
        </is>
      </c>
      <c r="E278" t="inlineStr">
        <is>
          <t>same as 3200</t>
        </is>
      </c>
      <c r="F278" t="inlineStr">
        <is>
          <t>Otoba</t>
        </is>
      </c>
      <c r="G278" t="inlineStr">
        <is>
          <t>parvifolia</t>
        </is>
      </c>
    </row>
    <row r="279">
      <c r="A279" s="1" t="n">
        <v>277</v>
      </c>
      <c r="B279" t="n">
        <v>2393</v>
      </c>
      <c r="C279" t="n">
        <v>8832</v>
      </c>
      <c r="D279" t="inlineStr">
        <is>
          <t>Violaceae</t>
        </is>
      </c>
      <c r="E279" t="n">
        <v>3270</v>
      </c>
      <c r="F279" t="inlineStr">
        <is>
          <t>Leonia</t>
        </is>
      </c>
      <c r="G279" t="inlineStr">
        <is>
          <t>longifolium</t>
        </is>
      </c>
    </row>
    <row r="280">
      <c r="A280" s="1" t="n">
        <v>278</v>
      </c>
      <c r="B280" t="n">
        <v>2385</v>
      </c>
      <c r="C280" t="n">
        <v>8833</v>
      </c>
      <c r="D280" t="inlineStr">
        <is>
          <t>Lauraceae</t>
        </is>
      </c>
      <c r="E280" t="inlineStr">
        <is>
          <t>same as 3216</t>
        </is>
      </c>
      <c r="F280" t="inlineStr">
        <is>
          <t>Mespilodaphne</t>
        </is>
      </c>
      <c r="G280" t="inlineStr">
        <is>
          <t>quixos</t>
        </is>
      </c>
    </row>
    <row r="281">
      <c r="A281" s="1" t="n">
        <v>279</v>
      </c>
      <c r="B281" t="inlineStr"/>
      <c r="C281" t="n">
        <v>8834</v>
      </c>
      <c r="D281" t="inlineStr">
        <is>
          <t>indet</t>
        </is>
      </c>
      <c r="E281" t="inlineStr"/>
      <c r="F281" t="inlineStr"/>
      <c r="G281" t="inlineStr"/>
    </row>
    <row r="282">
      <c r="A282" s="1" t="n">
        <v>280</v>
      </c>
      <c r="B282" t="n">
        <v>2392</v>
      </c>
      <c r="C282" t="n">
        <v>8835</v>
      </c>
      <c r="D282" t="inlineStr">
        <is>
          <t>indet</t>
        </is>
      </c>
      <c r="E282" t="inlineStr"/>
      <c r="F282" t="inlineStr"/>
      <c r="G282" t="inlineStr"/>
    </row>
    <row r="283">
      <c r="A283" s="1" t="n">
        <v>281</v>
      </c>
      <c r="B283" t="inlineStr"/>
      <c r="C283" t="n">
        <v>8836</v>
      </c>
      <c r="D283" t="inlineStr">
        <is>
          <t>Siparunaceae</t>
        </is>
      </c>
      <c r="E283" t="inlineStr"/>
      <c r="F283" t="inlineStr">
        <is>
          <t>Siparuna</t>
        </is>
      </c>
      <c r="G283" t="inlineStr">
        <is>
          <t>sp.1</t>
        </is>
      </c>
    </row>
    <row r="284">
      <c r="A284" s="1" t="n">
        <v>282</v>
      </c>
      <c r="B284" t="n">
        <v>2391</v>
      </c>
      <c r="C284" t="n">
        <v>8837</v>
      </c>
      <c r="D284" t="inlineStr">
        <is>
          <t>Myristicaceae</t>
        </is>
      </c>
      <c r="E284" t="inlineStr">
        <is>
          <t>same as 3200</t>
        </is>
      </c>
      <c r="F284" t="inlineStr">
        <is>
          <t>Otoba</t>
        </is>
      </c>
      <c r="G284" t="inlineStr">
        <is>
          <t>parvifolia</t>
        </is>
      </c>
    </row>
    <row r="285">
      <c r="A285" s="1" t="n">
        <v>283</v>
      </c>
      <c r="B285" t="n">
        <v>2388</v>
      </c>
      <c r="C285" t="n">
        <v>8838</v>
      </c>
      <c r="D285" t="inlineStr">
        <is>
          <t>Sapotaceae</t>
        </is>
      </c>
      <c r="E285" t="inlineStr">
        <is>
          <t>same as 3244</t>
        </is>
      </c>
      <c r="F285" t="inlineStr">
        <is>
          <t>Pouteria</t>
        </is>
      </c>
      <c r="G285" t="inlineStr">
        <is>
          <t>cuspidata</t>
        </is>
      </c>
    </row>
    <row r="286">
      <c r="A286" s="1" t="n">
        <v>284</v>
      </c>
      <c r="B286" t="n">
        <v>2390</v>
      </c>
      <c r="C286" t="n">
        <v>8839</v>
      </c>
      <c r="D286" t="inlineStr">
        <is>
          <t>Salicaceae</t>
        </is>
      </c>
      <c r="E286" t="n">
        <v>3280</v>
      </c>
      <c r="F286" t="inlineStr">
        <is>
          <t>Tetrathylacium</t>
        </is>
      </c>
      <c r="G286" t="inlineStr">
        <is>
          <t>macrophyllum</t>
        </is>
      </c>
    </row>
    <row r="287">
      <c r="A287" s="1" t="n">
        <v>285</v>
      </c>
      <c r="B287" t="n">
        <v>2389</v>
      </c>
      <c r="C287" t="n">
        <v>8840</v>
      </c>
      <c r="D287" t="inlineStr">
        <is>
          <t>Sapotaceae</t>
        </is>
      </c>
      <c r="E287" t="n">
        <v>3269</v>
      </c>
      <c r="F287" t="inlineStr">
        <is>
          <t>Pouteria</t>
        </is>
      </c>
      <c r="G287" t="inlineStr">
        <is>
          <t>megaphylla</t>
        </is>
      </c>
    </row>
    <row r="288">
      <c r="A288" s="1" t="n">
        <v>286</v>
      </c>
      <c r="B288" t="inlineStr"/>
      <c r="C288" t="n">
        <v>8841</v>
      </c>
      <c r="D288" t="inlineStr">
        <is>
          <t>Myristicaceae</t>
        </is>
      </c>
      <c r="E288" t="inlineStr"/>
      <c r="F288" t="inlineStr">
        <is>
          <t xml:space="preserve">Osteophloeum 
</t>
        </is>
      </c>
      <c r="G288" t="inlineStr"/>
    </row>
    <row r="289">
      <c r="A289" s="1" t="n">
        <v>287</v>
      </c>
      <c r="B289" t="n">
        <v>2369</v>
      </c>
      <c r="C289" t="n">
        <v>8842</v>
      </c>
      <c r="D289" t="inlineStr">
        <is>
          <t>Fabaceae</t>
        </is>
      </c>
      <c r="E289" t="n">
        <v>3271</v>
      </c>
      <c r="F289" t="inlineStr">
        <is>
          <t>Macrolobium</t>
        </is>
      </c>
      <c r="G289" t="inlineStr">
        <is>
          <t>cf. ischnocalyx</t>
        </is>
      </c>
    </row>
    <row r="290">
      <c r="A290" s="1" t="n">
        <v>288</v>
      </c>
      <c r="B290" t="inlineStr"/>
      <c r="C290" t="n">
        <v>8843</v>
      </c>
      <c r="D290" t="inlineStr">
        <is>
          <t>Annonaceae</t>
        </is>
      </c>
      <c r="E290" t="inlineStr"/>
      <c r="F290" t="inlineStr">
        <is>
          <t>Guatteria</t>
        </is>
      </c>
      <c r="G290" t="inlineStr">
        <is>
          <t>sp</t>
        </is>
      </c>
    </row>
    <row r="291">
      <c r="A291" s="1" t="n">
        <v>289</v>
      </c>
      <c r="B291" t="n">
        <v>2370</v>
      </c>
      <c r="C291" t="n">
        <v>8844</v>
      </c>
      <c r="D291" t="inlineStr">
        <is>
          <t>Euphorbiaceae</t>
        </is>
      </c>
      <c r="E291" t="inlineStr">
        <is>
          <t>same as 3215</t>
        </is>
      </c>
      <c r="F291" t="inlineStr">
        <is>
          <t>Mabea</t>
        </is>
      </c>
      <c r="G291" t="inlineStr">
        <is>
          <t>klugii</t>
        </is>
      </c>
    </row>
    <row r="292">
      <c r="A292" s="1" t="n">
        <v>290</v>
      </c>
      <c r="B292" t="n">
        <v>2371</v>
      </c>
      <c r="C292" t="n">
        <v>8845</v>
      </c>
      <c r="D292" t="inlineStr">
        <is>
          <t>Arecaceae</t>
        </is>
      </c>
      <c r="E292" t="inlineStr"/>
      <c r="F292" t="inlineStr">
        <is>
          <t>Socratea</t>
        </is>
      </c>
      <c r="G292" t="inlineStr">
        <is>
          <t>exorrhiza</t>
        </is>
      </c>
    </row>
    <row r="293">
      <c r="A293" s="1" t="n">
        <v>291</v>
      </c>
      <c r="B293" t="n">
        <v>2362</v>
      </c>
      <c r="C293" t="n">
        <v>8846</v>
      </c>
      <c r="D293" t="inlineStr">
        <is>
          <t>indet</t>
        </is>
      </c>
      <c r="E293" t="n">
        <v>3275</v>
      </c>
      <c r="F293" t="inlineStr"/>
      <c r="G293" t="inlineStr"/>
    </row>
    <row r="294">
      <c r="A294" s="1" t="n">
        <v>292</v>
      </c>
      <c r="B294" t="n">
        <v>2364</v>
      </c>
      <c r="C294" t="n">
        <v>8847</v>
      </c>
      <c r="D294" t="inlineStr">
        <is>
          <t>Fabaceae</t>
        </is>
      </c>
      <c r="E294" t="n">
        <v>3279</v>
      </c>
      <c r="F294" t="inlineStr">
        <is>
          <t>Andira</t>
        </is>
      </c>
      <c r="G294" t="inlineStr"/>
    </row>
    <row r="295">
      <c r="A295" s="1" t="n">
        <v>293</v>
      </c>
      <c r="B295" t="n">
        <v>2366</v>
      </c>
      <c r="C295" t="inlineStr"/>
      <c r="D295" t="inlineStr">
        <is>
          <t>Myristicaceae</t>
        </is>
      </c>
      <c r="E295" t="inlineStr">
        <is>
          <t>same as 3200</t>
        </is>
      </c>
      <c r="F295" t="inlineStr">
        <is>
          <t>Otoba</t>
        </is>
      </c>
      <c r="G295" t="inlineStr">
        <is>
          <t>parvifolia</t>
        </is>
      </c>
    </row>
    <row r="296">
      <c r="A296" s="1" t="n">
        <v>294</v>
      </c>
      <c r="B296" t="inlineStr"/>
      <c r="C296" t="n">
        <v>8848</v>
      </c>
      <c r="D296" t="inlineStr">
        <is>
          <t>Myristicaceae</t>
        </is>
      </c>
      <c r="E296" t="inlineStr"/>
      <c r="F296" t="inlineStr">
        <is>
          <t>Virola</t>
        </is>
      </c>
      <c r="G296" t="inlineStr"/>
    </row>
    <row r="297">
      <c r="A297" s="1" t="n">
        <v>295</v>
      </c>
      <c r="B297" t="n">
        <v>2368</v>
      </c>
      <c r="C297" t="n">
        <v>8849</v>
      </c>
      <c r="D297" t="inlineStr">
        <is>
          <t>Calophyllaceae</t>
        </is>
      </c>
      <c r="E297" t="n">
        <v>3163</v>
      </c>
      <c r="F297" t="inlineStr">
        <is>
          <t>Marila</t>
        </is>
      </c>
      <c r="G297" t="inlineStr">
        <is>
          <t>grandiflora</t>
        </is>
      </c>
    </row>
    <row r="298">
      <c r="A298" s="1" t="n">
        <v>296</v>
      </c>
      <c r="B298" t="inlineStr"/>
      <c r="C298" t="n">
        <v>8850</v>
      </c>
      <c r="D298" t="inlineStr">
        <is>
          <t>Rubiaceae</t>
        </is>
      </c>
      <c r="E298" t="inlineStr"/>
      <c r="F298" t="inlineStr"/>
      <c r="G298" t="inlineStr"/>
    </row>
    <row r="299">
      <c r="A299" s="1" t="n">
        <v>297</v>
      </c>
      <c r="B299" t="n">
        <v>2372</v>
      </c>
      <c r="C299" t="n">
        <v>8851</v>
      </c>
      <c r="D299" t="inlineStr">
        <is>
          <t>Arecaceae</t>
        </is>
      </c>
      <c r="E299" t="inlineStr"/>
      <c r="F299" t="inlineStr">
        <is>
          <t>Socratea</t>
        </is>
      </c>
      <c r="G299" t="inlineStr">
        <is>
          <t>exorrhiza</t>
        </is>
      </c>
    </row>
    <row r="300">
      <c r="A300" s="1" t="n">
        <v>298</v>
      </c>
      <c r="B300" t="n">
        <v>2373</v>
      </c>
      <c r="C300" t="n">
        <v>8852</v>
      </c>
      <c r="D300" t="inlineStr">
        <is>
          <t>Myristicaceae</t>
        </is>
      </c>
      <c r="E300" t="n">
        <v>3281</v>
      </c>
      <c r="F300" t="inlineStr">
        <is>
          <t>Virola</t>
        </is>
      </c>
      <c r="G300" t="inlineStr">
        <is>
          <t>calophylla</t>
        </is>
      </c>
    </row>
    <row r="301">
      <c r="A301" s="1" t="n">
        <v>299</v>
      </c>
      <c r="B301" t="n">
        <v>2374</v>
      </c>
      <c r="C301" t="n">
        <v>8853</v>
      </c>
      <c r="D301" t="inlineStr">
        <is>
          <t>Myrtaceae</t>
        </is>
      </c>
      <c r="E301" t="n">
        <v>3266</v>
      </c>
      <c r="F301" t="inlineStr">
        <is>
          <t>Eugenia</t>
        </is>
      </c>
      <c r="G301" t="inlineStr"/>
    </row>
    <row r="302">
      <c r="A302" s="1" t="n">
        <v>300</v>
      </c>
      <c r="B302" t="n">
        <v>2375</v>
      </c>
      <c r="C302" t="n">
        <v>8854</v>
      </c>
      <c r="D302" t="inlineStr">
        <is>
          <t>Moraceae</t>
        </is>
      </c>
      <c r="E302" t="n">
        <v>3268</v>
      </c>
      <c r="F302" t="inlineStr">
        <is>
          <t>Sorocea</t>
        </is>
      </c>
      <c r="G302" t="inlineStr">
        <is>
          <t>pubivena</t>
        </is>
      </c>
    </row>
    <row r="303">
      <c r="A303" s="1" t="n">
        <v>301</v>
      </c>
      <c r="B303" t="n">
        <v>2376</v>
      </c>
      <c r="C303" t="n">
        <v>8855</v>
      </c>
      <c r="D303" t="inlineStr">
        <is>
          <t>Annonaceae</t>
        </is>
      </c>
      <c r="E303" t="inlineStr">
        <is>
          <t>same as 3262</t>
        </is>
      </c>
      <c r="F303" t="inlineStr">
        <is>
          <t>Guatteria</t>
        </is>
      </c>
      <c r="G303" t="inlineStr"/>
    </row>
    <row r="304">
      <c r="A304" s="1" t="n">
        <v>302</v>
      </c>
      <c r="B304" t="n">
        <v>2377</v>
      </c>
      <c r="C304" t="n">
        <v>8856</v>
      </c>
      <c r="D304" t="inlineStr">
        <is>
          <t>Euphorbiaceae</t>
        </is>
      </c>
      <c r="E304" t="n">
        <v>3272</v>
      </c>
      <c r="F304" t="inlineStr">
        <is>
          <t>Pseudosenefeldera</t>
        </is>
      </c>
      <c r="G304" t="inlineStr">
        <is>
          <t>inclinata</t>
        </is>
      </c>
    </row>
    <row r="305">
      <c r="A305" s="1" t="n">
        <v>303</v>
      </c>
      <c r="B305" t="n">
        <v>2378</v>
      </c>
      <c r="C305" t="n">
        <v>8857</v>
      </c>
      <c r="D305" t="inlineStr">
        <is>
          <t>Apocynacea</t>
        </is>
      </c>
      <c r="E305" t="inlineStr"/>
      <c r="F305" t="inlineStr">
        <is>
          <t>Aspidosperma</t>
        </is>
      </c>
      <c r="G305" t="inlineStr"/>
    </row>
    <row r="306">
      <c r="A306" s="1" t="n">
        <v>304</v>
      </c>
      <c r="B306" t="n">
        <v>2379</v>
      </c>
      <c r="C306" t="n">
        <v>8858</v>
      </c>
      <c r="D306" t="inlineStr">
        <is>
          <t>Sapotaceae</t>
        </is>
      </c>
      <c r="E306" t="n">
        <v>3282</v>
      </c>
      <c r="F306" t="inlineStr">
        <is>
          <t>Pouteria</t>
        </is>
      </c>
      <c r="G306" t="inlineStr">
        <is>
          <t>calistophylla</t>
        </is>
      </c>
    </row>
    <row r="307">
      <c r="A307" s="1" t="n">
        <v>305</v>
      </c>
      <c r="B307" t="n">
        <v>2382</v>
      </c>
      <c r="C307" t="n">
        <v>8859</v>
      </c>
      <c r="D307" t="inlineStr">
        <is>
          <t>Moraceae</t>
        </is>
      </c>
      <c r="E307" t="n">
        <v>3264</v>
      </c>
      <c r="F307" t="inlineStr">
        <is>
          <t>Pseudolmedia</t>
        </is>
      </c>
      <c r="G307" t="inlineStr">
        <is>
          <t>laevigata</t>
        </is>
      </c>
    </row>
    <row r="308">
      <c r="A308" s="1" t="n">
        <v>306</v>
      </c>
      <c r="B308" t="n">
        <v>2384</v>
      </c>
      <c r="C308" t="n">
        <v>8860</v>
      </c>
      <c r="D308" t="inlineStr">
        <is>
          <t>Rubiaceae</t>
        </is>
      </c>
      <c r="E308" t="inlineStr">
        <is>
          <t>same as 3248</t>
        </is>
      </c>
      <c r="F308" t="inlineStr">
        <is>
          <t>Warszewiczia</t>
        </is>
      </c>
      <c r="G308" t="inlineStr">
        <is>
          <t>coccinea</t>
        </is>
      </c>
    </row>
    <row r="309">
      <c r="A309" s="1" t="n">
        <v>307</v>
      </c>
      <c r="B309" t="inlineStr"/>
      <c r="C309" t="n">
        <v>8861</v>
      </c>
      <c r="D309" t="inlineStr">
        <is>
          <t>Calophyllaceae</t>
        </is>
      </c>
      <c r="E309" t="inlineStr"/>
      <c r="F309" t="inlineStr">
        <is>
          <t>Marila</t>
        </is>
      </c>
      <c r="G309" t="inlineStr"/>
    </row>
    <row r="310">
      <c r="A310" s="1" t="n">
        <v>308</v>
      </c>
      <c r="B310" t="inlineStr"/>
      <c r="C310" t="n">
        <v>8862</v>
      </c>
      <c r="D310" t="inlineStr">
        <is>
          <t>Myristicaceae</t>
        </is>
      </c>
      <c r="E310" t="inlineStr"/>
      <c r="F310" t="inlineStr">
        <is>
          <t xml:space="preserve">Virola </t>
        </is>
      </c>
      <c r="G310" t="inlineStr">
        <is>
          <t>multinervia</t>
        </is>
      </c>
    </row>
    <row r="311">
      <c r="A311" s="1" t="n">
        <v>309</v>
      </c>
      <c r="B311" t="n">
        <v>2380</v>
      </c>
      <c r="C311" t="n">
        <v>8863</v>
      </c>
      <c r="D311" t="inlineStr">
        <is>
          <t>Lauraceae</t>
        </is>
      </c>
      <c r="E311" t="n">
        <v>3273</v>
      </c>
      <c r="F311" t="inlineStr">
        <is>
          <t>Pleurothyrium</t>
        </is>
      </c>
      <c r="G311" t="inlineStr"/>
    </row>
    <row r="312">
      <c r="A312" s="1" t="n">
        <v>310</v>
      </c>
      <c r="B312" t="inlineStr"/>
      <c r="C312" t="n">
        <v>8864</v>
      </c>
      <c r="D312" t="inlineStr">
        <is>
          <t>Moraceae</t>
        </is>
      </c>
      <c r="E312" t="inlineStr"/>
      <c r="F312" t="inlineStr">
        <is>
          <t>Perebea</t>
        </is>
      </c>
      <c r="G312" t="inlineStr"/>
    </row>
    <row r="313">
      <c r="A313" s="1" t="n">
        <v>311</v>
      </c>
      <c r="B313" t="n">
        <v>2363</v>
      </c>
      <c r="C313" t="inlineStr"/>
      <c r="D313" t="inlineStr">
        <is>
          <t>indet</t>
        </is>
      </c>
      <c r="E313" t="inlineStr"/>
      <c r="F313" t="inlineStr"/>
      <c r="G313" t="inlineStr"/>
    </row>
    <row r="314">
      <c r="A314" s="1" t="n">
        <v>312</v>
      </c>
      <c r="B314" t="n">
        <v>2365</v>
      </c>
      <c r="C314" t="inlineStr"/>
      <c r="D314" t="inlineStr">
        <is>
          <t>Rubiaceae</t>
        </is>
      </c>
      <c r="E314" t="n">
        <v>3274</v>
      </c>
      <c r="F314" t="inlineStr">
        <is>
          <t>Ferdinandusa</t>
        </is>
      </c>
      <c r="G314" t="inlineStr">
        <is>
          <t>cf elliptica</t>
        </is>
      </c>
    </row>
    <row r="315">
      <c r="A315" s="1" t="n">
        <v>313</v>
      </c>
      <c r="B315" t="n">
        <v>2367</v>
      </c>
      <c r="C315" t="inlineStr"/>
      <c r="D315" t="inlineStr">
        <is>
          <t>Olacaceae</t>
        </is>
      </c>
      <c r="E315" t="n">
        <v>3278</v>
      </c>
      <c r="F315" t="inlineStr">
        <is>
          <t>Heisteria</t>
        </is>
      </c>
      <c r="G315" t="inlineStr"/>
    </row>
    <row r="316">
      <c r="A316" s="1" t="n">
        <v>314</v>
      </c>
      <c r="B316" t="n">
        <v>2383</v>
      </c>
      <c r="C316" t="inlineStr"/>
      <c r="D316" t="inlineStr">
        <is>
          <t>Moraceae</t>
        </is>
      </c>
      <c r="E316" t="n">
        <v>3263</v>
      </c>
      <c r="F316" t="inlineStr">
        <is>
          <t>Ficus</t>
        </is>
      </c>
      <c r="G316" t="inlineStr"/>
    </row>
    <row r="317">
      <c r="A317" s="1" t="n">
        <v>315</v>
      </c>
      <c r="B317" t="n">
        <v>2386</v>
      </c>
      <c r="C317" t="inlineStr"/>
      <c r="D317" t="inlineStr">
        <is>
          <t>Fabaceae</t>
        </is>
      </c>
      <c r="E317" t="n">
        <v>3277</v>
      </c>
      <c r="F317" t="inlineStr">
        <is>
          <t>Inga</t>
        </is>
      </c>
      <c r="G317" t="inlineStr"/>
    </row>
    <row r="318">
      <c r="A318" s="1" t="n">
        <v>316</v>
      </c>
      <c r="B318" t="n">
        <v>2392</v>
      </c>
      <c r="C318" t="inlineStr"/>
      <c r="D318" t="inlineStr">
        <is>
          <t>indet</t>
        </is>
      </c>
      <c r="E318" t="inlineStr"/>
      <c r="F318" t="inlineStr"/>
      <c r="G318" t="inlineStr"/>
    </row>
    <row r="319">
      <c r="A319" s="1" t="n">
        <v>317</v>
      </c>
      <c r="B319" t="n">
        <v>2395</v>
      </c>
      <c r="C319" t="inlineStr"/>
      <c r="D319" t="inlineStr">
        <is>
          <t>Melastomataceae</t>
        </is>
      </c>
      <c r="E319" t="inlineStr">
        <is>
          <t>same as 3246</t>
        </is>
      </c>
      <c r="F319" t="inlineStr"/>
      <c r="G319" t="inlineStr"/>
    </row>
    <row r="320">
      <c r="A320" s="1" t="n">
        <v>318</v>
      </c>
      <c r="B320" t="n">
        <v>2396</v>
      </c>
      <c r="C320" t="inlineStr"/>
      <c r="D320" t="inlineStr">
        <is>
          <t>Fabaceae</t>
        </is>
      </c>
      <c r="E320" t="n">
        <v>3276</v>
      </c>
      <c r="F320" t="inlineStr">
        <is>
          <t>Inga</t>
        </is>
      </c>
      <c r="G320" t="inlineStr"/>
    </row>
    <row r="321">
      <c r="A321" s="1" t="n">
        <v>319</v>
      </c>
      <c r="B321" t="n">
        <v>2397</v>
      </c>
      <c r="C321" t="inlineStr"/>
      <c r="D321" t="inlineStr">
        <is>
          <t>Myristicaceae</t>
        </is>
      </c>
      <c r="E321" t="inlineStr">
        <is>
          <t>same as 3200</t>
        </is>
      </c>
      <c r="F321" t="inlineStr">
        <is>
          <t>Otoba</t>
        </is>
      </c>
      <c r="G321" t="inlineStr">
        <is>
          <t>parvifolia</t>
        </is>
      </c>
    </row>
    <row r="322">
      <c r="A322" s="1" t="n">
        <v>320</v>
      </c>
      <c r="B322" t="inlineStr">
        <is>
          <t>x</t>
        </is>
      </c>
      <c r="C322" t="inlineStr"/>
      <c r="D322" t="inlineStr">
        <is>
          <t>indet</t>
        </is>
      </c>
      <c r="E322" t="inlineStr"/>
      <c r="F322" t="inlineStr"/>
      <c r="G322" t="inlineStr"/>
    </row>
    <row r="323">
      <c r="A323" s="1" t="n">
        <v>321</v>
      </c>
      <c r="B323" t="inlineStr">
        <is>
          <t>y</t>
        </is>
      </c>
      <c r="C323" t="inlineStr"/>
      <c r="D323" t="inlineStr">
        <is>
          <t>indet</t>
        </is>
      </c>
      <c r="E323" t="inlineStr"/>
      <c r="F323" t="inlineStr"/>
      <c r="G323" t="inlineStr"/>
    </row>
    <row r="324">
      <c r="A324" s="1" t="n">
        <v>322</v>
      </c>
      <c r="B324" t="n">
        <v>2400</v>
      </c>
      <c r="C324" t="inlineStr"/>
      <c r="D324" t="inlineStr">
        <is>
          <t>Violaceae</t>
        </is>
      </c>
      <c r="E324" t="inlineStr">
        <is>
          <t>3311</t>
        </is>
      </c>
      <c r="F324" t="inlineStr">
        <is>
          <t>Leonia</t>
        </is>
      </c>
      <c r="G324" t="inlineStr">
        <is>
          <t>crassa</t>
        </is>
      </c>
    </row>
    <row r="325">
      <c r="A325" s="1" t="n">
        <v>323</v>
      </c>
      <c r="B325" t="n">
        <v>2401</v>
      </c>
      <c r="C325" t="inlineStr"/>
      <c r="D325" t="inlineStr">
        <is>
          <t>Sapotaceae</t>
        </is>
      </c>
      <c r="E325" t="inlineStr">
        <is>
          <t>3309</t>
        </is>
      </c>
      <c r="F325" t="inlineStr">
        <is>
          <t>Pouteria</t>
        </is>
      </c>
      <c r="G325" t="inlineStr">
        <is>
          <t>baehniana</t>
        </is>
      </c>
    </row>
    <row r="326">
      <c r="A326" s="1" t="n">
        <v>324</v>
      </c>
      <c r="B326" t="n">
        <v>2402</v>
      </c>
      <c r="C326" t="inlineStr"/>
      <c r="D326" t="inlineStr">
        <is>
          <t>Lecythidaceae</t>
        </is>
      </c>
      <c r="E326" t="inlineStr"/>
      <c r="F326" t="inlineStr">
        <is>
          <t>Grias</t>
        </is>
      </c>
      <c r="G326" t="inlineStr">
        <is>
          <t>neuberthii</t>
        </is>
      </c>
    </row>
    <row r="327">
      <c r="A327" s="1" t="n">
        <v>325</v>
      </c>
      <c r="B327" t="n">
        <v>2403</v>
      </c>
      <c r="C327" t="inlineStr"/>
      <c r="D327" t="inlineStr">
        <is>
          <t>Cecropiaceae</t>
        </is>
      </c>
      <c r="E327" t="inlineStr"/>
      <c r="F327" t="inlineStr">
        <is>
          <t>Pourouma</t>
        </is>
      </c>
      <c r="G327" t="inlineStr">
        <is>
          <t>cf bicolor</t>
        </is>
      </c>
    </row>
    <row r="328">
      <c r="A328" s="1" t="n">
        <v>326</v>
      </c>
      <c r="B328" t="n">
        <v>2404</v>
      </c>
      <c r="C328" t="inlineStr"/>
      <c r="D328" t="inlineStr">
        <is>
          <t>Euphorbiaceae</t>
        </is>
      </c>
      <c r="E328">
        <f>3272</f>
        <v/>
      </c>
      <c r="F328" t="inlineStr">
        <is>
          <t>Pseudosenefeldera</t>
        </is>
      </c>
      <c r="G328" t="inlineStr">
        <is>
          <t>inclinata</t>
        </is>
      </c>
    </row>
    <row r="329">
      <c r="A329" s="1" t="n">
        <v>327</v>
      </c>
      <c r="B329" t="n">
        <v>2405</v>
      </c>
      <c r="C329" t="inlineStr"/>
      <c r="D329" t="inlineStr">
        <is>
          <t>Euphorbiaceae</t>
        </is>
      </c>
      <c r="E329">
        <f>3169</f>
        <v/>
      </c>
      <c r="F329" t="inlineStr">
        <is>
          <t>Hevea</t>
        </is>
      </c>
      <c r="G329" t="inlineStr">
        <is>
          <t>cf guianensis</t>
        </is>
      </c>
    </row>
    <row r="330">
      <c r="A330" s="1" t="n">
        <v>328</v>
      </c>
      <c r="B330" t="n">
        <v>2406</v>
      </c>
      <c r="C330" t="inlineStr"/>
      <c r="D330" t="inlineStr">
        <is>
          <t>Myristicaceae</t>
        </is>
      </c>
      <c r="E330" t="inlineStr"/>
      <c r="F330" t="inlineStr">
        <is>
          <t>Otoba</t>
        </is>
      </c>
      <c r="G330" t="inlineStr">
        <is>
          <t>parvifolia</t>
        </is>
      </c>
    </row>
    <row r="331">
      <c r="A331" s="1" t="n">
        <v>329</v>
      </c>
      <c r="B331" t="n">
        <v>2407</v>
      </c>
      <c r="C331" t="inlineStr"/>
      <c r="D331" t="inlineStr">
        <is>
          <t>Euphorbiaceae</t>
        </is>
      </c>
      <c r="E331">
        <f>3272</f>
        <v/>
      </c>
      <c r="F331" t="inlineStr">
        <is>
          <t>Pseudosenefeldera</t>
        </is>
      </c>
      <c r="G331" t="inlineStr">
        <is>
          <t>inclinata</t>
        </is>
      </c>
    </row>
    <row r="332">
      <c r="A332" s="1" t="n">
        <v>330</v>
      </c>
      <c r="B332" t="n">
        <v>2408</v>
      </c>
      <c r="C332" t="inlineStr"/>
      <c r="D332" t="inlineStr">
        <is>
          <t>Rubiaceae</t>
        </is>
      </c>
      <c r="E332" t="inlineStr">
        <is>
          <t>3306</t>
        </is>
      </c>
      <c r="F332" t="inlineStr">
        <is>
          <t>Duroia</t>
        </is>
      </c>
      <c r="G332" t="inlineStr">
        <is>
          <t>hirsuta</t>
        </is>
      </c>
    </row>
    <row r="333">
      <c r="A333" s="1" t="n">
        <v>331</v>
      </c>
      <c r="B333" t="n">
        <v>2409</v>
      </c>
      <c r="C333" t="inlineStr"/>
      <c r="D333" t="inlineStr">
        <is>
          <t>Lauraceae</t>
        </is>
      </c>
      <c r="E333" t="inlineStr">
        <is>
          <t>3313</t>
        </is>
      </c>
      <c r="F333" t="inlineStr">
        <is>
          <t>Cryptocarya</t>
        </is>
      </c>
      <c r="G333" t="inlineStr">
        <is>
          <t>guianensis</t>
        </is>
      </c>
    </row>
    <row r="334">
      <c r="A334" s="1" t="n">
        <v>332</v>
      </c>
      <c r="B334" t="n">
        <v>2410</v>
      </c>
      <c r="C334" t="inlineStr"/>
      <c r="D334" t="inlineStr"/>
      <c r="E334" t="inlineStr">
        <is>
          <t>3305</t>
        </is>
      </c>
      <c r="F334" t="inlineStr"/>
      <c r="G334" t="inlineStr"/>
    </row>
    <row r="335">
      <c r="A335" s="1" t="n">
        <v>333</v>
      </c>
      <c r="B335" t="n">
        <v>2411</v>
      </c>
      <c r="C335" t="inlineStr"/>
      <c r="D335" t="inlineStr">
        <is>
          <t>Moraceae</t>
        </is>
      </c>
      <c r="E335" t="inlineStr">
        <is>
          <t>3317</t>
        </is>
      </c>
      <c r="F335" t="inlineStr">
        <is>
          <t>Helicostylis</t>
        </is>
      </c>
      <c r="G335" t="inlineStr">
        <is>
          <t>tomentosa</t>
        </is>
      </c>
    </row>
    <row r="336">
      <c r="A336" s="1" t="n">
        <v>334</v>
      </c>
      <c r="B336" t="n">
        <v>2412</v>
      </c>
      <c r="C336" t="inlineStr"/>
      <c r="D336" t="inlineStr">
        <is>
          <t>Myristicaceae</t>
        </is>
      </c>
      <c r="E336">
        <f>3281</f>
        <v/>
      </c>
      <c r="F336" t="inlineStr">
        <is>
          <t>Virola</t>
        </is>
      </c>
      <c r="G336" t="inlineStr">
        <is>
          <t>calophylla</t>
        </is>
      </c>
    </row>
    <row r="337">
      <c r="A337" s="1" t="n">
        <v>335</v>
      </c>
      <c r="B337" t="n">
        <v>2413</v>
      </c>
      <c r="C337" t="inlineStr"/>
      <c r="D337" t="inlineStr">
        <is>
          <t>Euphorbiaceae</t>
        </is>
      </c>
      <c r="E337">
        <f>3169</f>
        <v/>
      </c>
      <c r="F337" t="inlineStr">
        <is>
          <t>Hevea</t>
        </is>
      </c>
      <c r="G337" t="inlineStr">
        <is>
          <t>cf guianensis</t>
        </is>
      </c>
    </row>
    <row r="338">
      <c r="A338" s="1" t="n">
        <v>336</v>
      </c>
      <c r="B338" t="n">
        <v>2414</v>
      </c>
      <c r="C338" t="inlineStr"/>
      <c r="D338" t="inlineStr">
        <is>
          <t>Meliaceae</t>
        </is>
      </c>
      <c r="E338" t="inlineStr">
        <is>
          <t>3312</t>
        </is>
      </c>
      <c r="F338" t="inlineStr">
        <is>
          <t>Trichilia</t>
        </is>
      </c>
      <c r="G338" t="inlineStr">
        <is>
          <t>poeppigii</t>
        </is>
      </c>
    </row>
    <row r="339">
      <c r="A339" s="1" t="n">
        <v>337</v>
      </c>
      <c r="B339" t="n">
        <v>2415</v>
      </c>
      <c r="C339" t="inlineStr"/>
      <c r="D339" t="inlineStr">
        <is>
          <t>Chrysobalanaceae</t>
        </is>
      </c>
      <c r="E339" t="inlineStr">
        <is>
          <t>3315</t>
        </is>
      </c>
      <c r="F339" t="inlineStr">
        <is>
          <t>Licania</t>
        </is>
      </c>
      <c r="G339" t="inlineStr">
        <is>
          <t>harlingii</t>
        </is>
      </c>
    </row>
    <row r="340">
      <c r="A340" s="1" t="n">
        <v>338</v>
      </c>
      <c r="B340" t="n">
        <v>2416</v>
      </c>
      <c r="C340" t="inlineStr"/>
      <c r="D340" t="inlineStr">
        <is>
          <t>Euphorbiaceae</t>
        </is>
      </c>
      <c r="E340" t="inlineStr">
        <is>
          <t>3310</t>
        </is>
      </c>
      <c r="F340" t="inlineStr">
        <is>
          <t>Caryodendron</t>
        </is>
      </c>
      <c r="G340" t="inlineStr">
        <is>
          <t>orinocense</t>
        </is>
      </c>
    </row>
    <row r="341">
      <c r="A341" s="1" t="n">
        <v>339</v>
      </c>
      <c r="B341" t="n">
        <v>2417</v>
      </c>
      <c r="C341" t="inlineStr"/>
      <c r="D341" t="inlineStr">
        <is>
          <t>Lecythidaceae</t>
        </is>
      </c>
      <c r="E341" t="inlineStr"/>
      <c r="F341" t="inlineStr">
        <is>
          <t>Grias</t>
        </is>
      </c>
      <c r="G341" t="inlineStr">
        <is>
          <t>neuberthii</t>
        </is>
      </c>
    </row>
    <row r="342">
      <c r="A342" s="1" t="n">
        <v>340</v>
      </c>
      <c r="B342" t="n">
        <v>2418</v>
      </c>
      <c r="C342" t="inlineStr"/>
      <c r="D342" t="inlineStr">
        <is>
          <t>Myristicaceae</t>
        </is>
      </c>
      <c r="E342">
        <f>3200</f>
        <v/>
      </c>
      <c r="F342" t="inlineStr">
        <is>
          <t>Otoba</t>
        </is>
      </c>
      <c r="G342" t="inlineStr">
        <is>
          <t>parvifolia</t>
        </is>
      </c>
    </row>
    <row r="343">
      <c r="A343" s="1" t="n">
        <v>341</v>
      </c>
      <c r="B343" t="n">
        <v>2419</v>
      </c>
      <c r="C343" t="inlineStr"/>
      <c r="D343" t="inlineStr">
        <is>
          <t>Euphorbiaceae</t>
        </is>
      </c>
      <c r="E343">
        <f>3272</f>
        <v/>
      </c>
      <c r="F343" t="inlineStr">
        <is>
          <t>Pseudosenefeldera</t>
        </is>
      </c>
      <c r="G343" t="inlineStr">
        <is>
          <t>inclinata</t>
        </is>
      </c>
    </row>
    <row r="344">
      <c r="A344" s="1" t="n">
        <v>342</v>
      </c>
      <c r="B344" t="n">
        <v>2420</v>
      </c>
      <c r="C344" t="inlineStr"/>
      <c r="D344" t="inlineStr">
        <is>
          <t>Burseraceae</t>
        </is>
      </c>
      <c r="E344" t="inlineStr">
        <is>
          <t>3314</t>
        </is>
      </c>
      <c r="F344" t="inlineStr">
        <is>
          <t>Tetragastris</t>
        </is>
      </c>
      <c r="G344" t="inlineStr">
        <is>
          <t>panamensis</t>
        </is>
      </c>
    </row>
    <row r="345">
      <c r="A345" s="1" t="n">
        <v>343</v>
      </c>
      <c r="B345" t="n">
        <v>2421</v>
      </c>
      <c r="C345" t="inlineStr"/>
      <c r="D345" t="inlineStr"/>
      <c r="E345">
        <f>3212</f>
        <v/>
      </c>
      <c r="F345" t="inlineStr"/>
      <c r="G345" t="inlineStr"/>
    </row>
    <row r="346">
      <c r="A346" s="1" t="n">
        <v>344</v>
      </c>
      <c r="B346" t="n">
        <v>2422</v>
      </c>
      <c r="C346" t="inlineStr"/>
      <c r="D346" t="inlineStr">
        <is>
          <t>Lecythidaceae</t>
        </is>
      </c>
      <c r="E346" t="inlineStr"/>
      <c r="F346" t="inlineStr">
        <is>
          <t>Grias</t>
        </is>
      </c>
      <c r="G346" t="inlineStr">
        <is>
          <t>neuberthii</t>
        </is>
      </c>
    </row>
    <row r="347">
      <c r="A347" s="1" t="n">
        <v>345</v>
      </c>
      <c r="B347" t="n">
        <v>2423</v>
      </c>
      <c r="C347" t="inlineStr"/>
      <c r="D347" t="inlineStr">
        <is>
          <t>Euphorbiaceae</t>
        </is>
      </c>
      <c r="E347">
        <f>3272</f>
        <v/>
      </c>
      <c r="F347" t="inlineStr">
        <is>
          <t>Pseudosenefeldera</t>
        </is>
      </c>
      <c r="G347" t="inlineStr">
        <is>
          <t>inclinata</t>
        </is>
      </c>
    </row>
    <row r="348">
      <c r="A348" s="1" t="n">
        <v>346</v>
      </c>
      <c r="B348" t="n">
        <v>2424</v>
      </c>
      <c r="C348" t="inlineStr"/>
      <c r="D348" t="inlineStr">
        <is>
          <t>Myrtaceae</t>
        </is>
      </c>
      <c r="E348" t="inlineStr">
        <is>
          <t>3308</t>
        </is>
      </c>
      <c r="F348" t="inlineStr">
        <is>
          <t>Calyptranthes</t>
        </is>
      </c>
      <c r="G348" t="inlineStr"/>
    </row>
    <row r="349">
      <c r="A349" s="1" t="n">
        <v>347</v>
      </c>
      <c r="B349" t="n">
        <v>2425</v>
      </c>
      <c r="C349" t="inlineStr"/>
      <c r="D349" t="inlineStr">
        <is>
          <t>Rubiaceae</t>
        </is>
      </c>
      <c r="E349">
        <f>3287</f>
        <v/>
      </c>
      <c r="F349" t="inlineStr">
        <is>
          <t>Borojoa</t>
        </is>
      </c>
      <c r="G349" t="inlineStr">
        <is>
          <t>stipularis</t>
        </is>
      </c>
    </row>
    <row r="350">
      <c r="A350" s="1" t="n">
        <v>348</v>
      </c>
      <c r="B350" t="n">
        <v>2426</v>
      </c>
      <c r="C350" t="inlineStr"/>
      <c r="D350" t="inlineStr">
        <is>
          <t>Fabaceae</t>
        </is>
      </c>
      <c r="E350">
        <f>3293</f>
        <v/>
      </c>
      <c r="F350" t="inlineStr">
        <is>
          <t>Zygia</t>
        </is>
      </c>
      <c r="G350" t="inlineStr">
        <is>
          <t>coccinea</t>
        </is>
      </c>
    </row>
    <row r="351">
      <c r="A351" s="1" t="n">
        <v>349</v>
      </c>
      <c r="B351" t="n">
        <v>2428</v>
      </c>
      <c r="C351" t="inlineStr"/>
      <c r="D351" t="inlineStr">
        <is>
          <t>Myristicaceae</t>
        </is>
      </c>
      <c r="E351">
        <f>3200</f>
        <v/>
      </c>
      <c r="F351" t="inlineStr">
        <is>
          <t>Otoba</t>
        </is>
      </c>
      <c r="G351" t="inlineStr">
        <is>
          <t>parvifolia</t>
        </is>
      </c>
    </row>
    <row r="352">
      <c r="A352" s="1" t="n">
        <v>350</v>
      </c>
      <c r="B352" t="n">
        <v>2429</v>
      </c>
      <c r="C352" t="inlineStr"/>
      <c r="D352" t="inlineStr">
        <is>
          <t>Clusiaceae</t>
        </is>
      </c>
      <c r="E352">
        <f>3296</f>
        <v/>
      </c>
      <c r="F352" t="inlineStr">
        <is>
          <t>Chrysochlamys</t>
        </is>
      </c>
      <c r="G352" t="inlineStr">
        <is>
          <t>membranacea</t>
        </is>
      </c>
    </row>
    <row r="353">
      <c r="A353" s="1" t="n">
        <v>351</v>
      </c>
      <c r="B353" t="n">
        <v>2430</v>
      </c>
      <c r="C353" t="inlineStr"/>
      <c r="D353" t="inlineStr">
        <is>
          <t>Lauraceae</t>
        </is>
      </c>
      <c r="E353" t="inlineStr">
        <is>
          <t>3316</t>
        </is>
      </c>
      <c r="F353" t="inlineStr">
        <is>
          <t>Pleurothyrium</t>
        </is>
      </c>
      <c r="G353" t="inlineStr">
        <is>
          <t>trianae</t>
        </is>
      </c>
    </row>
    <row r="354">
      <c r="A354" s="1" t="n">
        <v>352</v>
      </c>
      <c r="B354" t="n">
        <v>2431</v>
      </c>
      <c r="C354" t="inlineStr"/>
      <c r="D354" t="inlineStr">
        <is>
          <t>Myristicaceae</t>
        </is>
      </c>
      <c r="E354" t="inlineStr"/>
      <c r="F354" t="inlineStr">
        <is>
          <t>Otoba</t>
        </is>
      </c>
      <c r="G354" t="inlineStr">
        <is>
          <t>glycycarpa</t>
        </is>
      </c>
    </row>
    <row r="355">
      <c r="A355" s="1" t="n">
        <v>353</v>
      </c>
      <c r="B355" t="n">
        <v>2432</v>
      </c>
      <c r="C355" t="inlineStr"/>
      <c r="D355" t="inlineStr">
        <is>
          <t>Meliaceae</t>
        </is>
      </c>
      <c r="E355" t="inlineStr">
        <is>
          <t>3307</t>
        </is>
      </c>
      <c r="F355" t="inlineStr">
        <is>
          <t>Guarea</t>
        </is>
      </c>
      <c r="G355" t="inlineStr">
        <is>
          <t>cf. scabra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2026-10-02T16:00:47Z</dcterms:created>
  <dcterms:modified xmlns:dcterms="http://purl.org/dc/terms/" xmlns:xsi="http://www.w3.org/2001/XMLSchema-instance" xsi:type="dcterms:W3CDTF">2026-10-02T16:00:47Z</dcterms:modified>
</cp:coreProperties>
</file>
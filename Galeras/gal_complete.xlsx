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lene.baez\Downloads\NAPO_preliminar\Galeras\"/>
    </mc:Choice>
  </mc:AlternateContent>
  <bookViews>
    <workbookView xWindow="0" yWindow="0" windowWidth="20490" windowHeight="726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194" i="1" l="1"/>
  <c r="Q186" i="1"/>
  <c r="Q149" i="1"/>
  <c r="Q132" i="1"/>
  <c r="Q26" i="1"/>
  <c r="Q8" i="1"/>
</calcChain>
</file>

<file path=xl/sharedStrings.xml><?xml version="1.0" encoding="utf-8"?>
<sst xmlns="http://schemas.openxmlformats.org/spreadsheetml/2006/main" count="1631" uniqueCount="717">
  <si>
    <t>Sample-ID</t>
  </si>
  <si>
    <t>[C]%</t>
  </si>
  <si>
    <t>δ13C (‰ v.s.V-PDB)</t>
  </si>
  <si>
    <t>Type</t>
  </si>
  <si>
    <t>[N]</t>
  </si>
  <si>
    <t>[C_b]%</t>
  </si>
  <si>
    <t>δ15N (‰ v.s. V-PDB)</t>
  </si>
  <si>
    <t>bulk_δ13C (‰ v.s.V-PDB)</t>
  </si>
  <si>
    <t>Year</t>
  </si>
  <si>
    <t>old_treeID</t>
  </si>
  <si>
    <t>description</t>
  </si>
  <si>
    <t>Type 2</t>
  </si>
  <si>
    <t>Plot</t>
  </si>
  <si>
    <t>new_TreeID</t>
  </si>
  <si>
    <t>family</t>
  </si>
  <si>
    <t>JH herbarium collections</t>
  </si>
  <si>
    <t>genus</t>
  </si>
  <si>
    <t>species</t>
  </si>
  <si>
    <t>numeroCampo</t>
  </si>
  <si>
    <t>p23-557</t>
  </si>
  <si>
    <t>leaf pulverized</t>
  </si>
  <si>
    <t>Quiinaceae</t>
  </si>
  <si>
    <t>3737</t>
  </si>
  <si>
    <t>Lacunaria</t>
  </si>
  <si>
    <t>crenata</t>
  </si>
  <si>
    <t>p22-550</t>
  </si>
  <si>
    <t>Melastomataceae</t>
  </si>
  <si>
    <t>p23-561</t>
  </si>
  <si>
    <t>Rubiaceae</t>
  </si>
  <si>
    <t>2022</t>
  </si>
  <si>
    <t>Faramea</t>
  </si>
  <si>
    <t>multiflora</t>
  </si>
  <si>
    <t>p29-763</t>
  </si>
  <si>
    <t>Myrtaceae</t>
  </si>
  <si>
    <t>3785</t>
  </si>
  <si>
    <t>Eugenia</t>
  </si>
  <si>
    <t>p29-768</t>
  </si>
  <si>
    <t>Violaceae</t>
  </si>
  <si>
    <t>Leonia</t>
  </si>
  <si>
    <t>glycycarpa</t>
  </si>
  <si>
    <t>p29-777</t>
  </si>
  <si>
    <t>Anacardiaceae</t>
  </si>
  <si>
    <t>3790</t>
  </si>
  <si>
    <t>Tapirira</t>
  </si>
  <si>
    <t>guianensis</t>
  </si>
  <si>
    <t>p29-781</t>
  </si>
  <si>
    <t>Phyllanthaceae</t>
  </si>
  <si>
    <t>3792</t>
  </si>
  <si>
    <t>Margaritaria</t>
  </si>
  <si>
    <t>nobilis</t>
  </si>
  <si>
    <t>p23-560</t>
  </si>
  <si>
    <t>Sapotaceae</t>
  </si>
  <si>
    <t>3740</t>
  </si>
  <si>
    <t>Lucuma</t>
  </si>
  <si>
    <t>p24-596</t>
  </si>
  <si>
    <t>Lacistemataceae</t>
  </si>
  <si>
    <t>Lacistema</t>
  </si>
  <si>
    <t>p24-595</t>
  </si>
  <si>
    <t>Hieronyma</t>
  </si>
  <si>
    <t>oblonga</t>
  </si>
  <si>
    <t>p24-586</t>
  </si>
  <si>
    <t>asperifolia</t>
  </si>
  <si>
    <t>p24-583</t>
  </si>
  <si>
    <t>Lauraceae</t>
  </si>
  <si>
    <t>Ocotea</t>
  </si>
  <si>
    <t>floribunda</t>
  </si>
  <si>
    <t>p29-795</t>
  </si>
  <si>
    <t>Annonaceae</t>
  </si>
  <si>
    <t>3797</t>
  </si>
  <si>
    <t>Guatteria</t>
  </si>
  <si>
    <t>cf multivenia</t>
  </si>
  <si>
    <t>p22-543</t>
  </si>
  <si>
    <t>Fabaceae</t>
  </si>
  <si>
    <t>Jupunba</t>
  </si>
  <si>
    <t>trapezifolia var. micradenia</t>
  </si>
  <si>
    <t>p22-538</t>
  </si>
  <si>
    <t>Sapindaceae</t>
  </si>
  <si>
    <t>Allophylus</t>
  </si>
  <si>
    <t>sp Galeras</t>
  </si>
  <si>
    <t>p23-559</t>
  </si>
  <si>
    <t>Lecythidaceae</t>
  </si>
  <si>
    <t>3739</t>
  </si>
  <si>
    <t>Grias</t>
  </si>
  <si>
    <t>peruviana</t>
  </si>
  <si>
    <t>p23-556</t>
  </si>
  <si>
    <t>2024</t>
  </si>
  <si>
    <t>Pleurothyrium</t>
  </si>
  <si>
    <t>insigne</t>
  </si>
  <si>
    <t>p22-546</t>
  </si>
  <si>
    <t>Gloeospermum</t>
  </si>
  <si>
    <t>equatoriense</t>
  </si>
  <si>
    <t>p22-525</t>
  </si>
  <si>
    <t>Simaroubaceae</t>
  </si>
  <si>
    <t>p29-762</t>
  </si>
  <si>
    <t>3784</t>
  </si>
  <si>
    <t>Lozania</t>
  </si>
  <si>
    <t>mutisiana</t>
  </si>
  <si>
    <t>p29-793</t>
  </si>
  <si>
    <t>Inga</t>
  </si>
  <si>
    <t>capitata</t>
  </si>
  <si>
    <t>p22-541</t>
  </si>
  <si>
    <t>Meliaceae</t>
  </si>
  <si>
    <t>Guarea</t>
  </si>
  <si>
    <t>silvatica</t>
  </si>
  <si>
    <t>p24-580</t>
  </si>
  <si>
    <t>Moraceae</t>
  </si>
  <si>
    <t>Sorocea</t>
  </si>
  <si>
    <t>sp</t>
  </si>
  <si>
    <t>p24-585</t>
  </si>
  <si>
    <t>klugii</t>
  </si>
  <si>
    <t>p22-522</t>
  </si>
  <si>
    <t>Myristicaceae</t>
  </si>
  <si>
    <t>David</t>
  </si>
  <si>
    <t>Virola</t>
  </si>
  <si>
    <t>calophylla</t>
  </si>
  <si>
    <t>p24-598</t>
  </si>
  <si>
    <t>Caryocaraceae</t>
  </si>
  <si>
    <t>Caryocar</t>
  </si>
  <si>
    <t>glabrum</t>
  </si>
  <si>
    <t>p24-611</t>
  </si>
  <si>
    <t>p29-794</t>
  </si>
  <si>
    <t>2502</t>
  </si>
  <si>
    <t>trophoides</t>
  </si>
  <si>
    <t>p29-779</t>
  </si>
  <si>
    <t>3791</t>
  </si>
  <si>
    <t>p22-537</t>
  </si>
  <si>
    <t>p22-548</t>
  </si>
  <si>
    <t>same as 3745</t>
  </si>
  <si>
    <t>Chrysophyllum</t>
  </si>
  <si>
    <t>venezuelanense</t>
  </si>
  <si>
    <t>p24-592</t>
  </si>
  <si>
    <t>p24-584</t>
  </si>
  <si>
    <t>Vochysiaceae</t>
  </si>
  <si>
    <t>p22-535</t>
  </si>
  <si>
    <t>p23-565</t>
  </si>
  <si>
    <t>pterorhachis</t>
  </si>
  <si>
    <t>p23-578</t>
  </si>
  <si>
    <t>2021</t>
  </si>
  <si>
    <t>leiocalycina</t>
  </si>
  <si>
    <t>p23-566</t>
  </si>
  <si>
    <t>2016</t>
  </si>
  <si>
    <t>Posoqueria</t>
  </si>
  <si>
    <t>latifolia</t>
  </si>
  <si>
    <t>p29-792</t>
  </si>
  <si>
    <t>Chrysobalanaceae</t>
  </si>
  <si>
    <t>3796,2501</t>
  </si>
  <si>
    <t>Hirtella</t>
  </si>
  <si>
    <t>cf. schultesii</t>
  </si>
  <si>
    <t>jh-p50-3621</t>
  </si>
  <si>
    <t>leaf herbarium</t>
  </si>
  <si>
    <t>plot 50#1465</t>
  </si>
  <si>
    <t>3621</t>
  </si>
  <si>
    <t>Persea</t>
  </si>
  <si>
    <t>aff. pseudofasciculata</t>
  </si>
  <si>
    <t>Miscelanea</t>
  </si>
  <si>
    <t>jh-p60-3657</t>
  </si>
  <si>
    <t>plot 60#1813</t>
  </si>
  <si>
    <t>Indeterminado</t>
  </si>
  <si>
    <t>jh-p24-2070</t>
  </si>
  <si>
    <t>plot 24 # 596, fruits</t>
  </si>
  <si>
    <t>jh-p22-2053</t>
  </si>
  <si>
    <t>plot 22 #541</t>
  </si>
  <si>
    <t>jh-p28-3600</t>
  </si>
  <si>
    <t>plot 28#724</t>
  </si>
  <si>
    <t>Olacaceae</t>
  </si>
  <si>
    <t>3600</t>
  </si>
  <si>
    <t>jh-p23-2034</t>
  </si>
  <si>
    <t>plot 23 #570, white latex</t>
  </si>
  <si>
    <t>2034</t>
  </si>
  <si>
    <t>jh-p50-3620</t>
  </si>
  <si>
    <t>plot 50#1486, fruits</t>
  </si>
  <si>
    <t>3620</t>
  </si>
  <si>
    <t xml:space="preserve"> cf. longifolia</t>
  </si>
  <si>
    <t>jh-p48-3710</t>
  </si>
  <si>
    <t>plot 48#1414</t>
  </si>
  <si>
    <t>3710</t>
  </si>
  <si>
    <t>Pseudolmedia</t>
  </si>
  <si>
    <t>laevis</t>
  </si>
  <si>
    <t>jh-p62-2531</t>
  </si>
  <si>
    <t>plot 62 #1896</t>
  </si>
  <si>
    <t>2531</t>
  </si>
  <si>
    <t>jh-p60-2525</t>
  </si>
  <si>
    <t>plot 60 #1807</t>
  </si>
  <si>
    <t>Peraceae</t>
  </si>
  <si>
    <t>Chaetocarpus</t>
  </si>
  <si>
    <t>jh-p48-2456</t>
  </si>
  <si>
    <t>plot 48#1390</t>
  </si>
  <si>
    <t>3707,2456</t>
  </si>
  <si>
    <t>gentryi</t>
  </si>
  <si>
    <t>jh-p50-3625</t>
  </si>
  <si>
    <t>plot 50#1464</t>
  </si>
  <si>
    <t>Euphorbiaceae</t>
  </si>
  <si>
    <t>3625</t>
  </si>
  <si>
    <t>Alchornea</t>
  </si>
  <si>
    <t>triplinervia</t>
  </si>
  <si>
    <t>jh-p48-3698</t>
  </si>
  <si>
    <t>plot 48#1400</t>
  </si>
  <si>
    <t>3698</t>
  </si>
  <si>
    <t>Naucleopsis</t>
  </si>
  <si>
    <t>ulei</t>
  </si>
  <si>
    <t>jh-p50-3623</t>
  </si>
  <si>
    <t>plot 50#1495</t>
  </si>
  <si>
    <t>3623</t>
  </si>
  <si>
    <t>Simarouba</t>
  </si>
  <si>
    <t>amara</t>
  </si>
  <si>
    <t>jh-p60-3659</t>
  </si>
  <si>
    <t>plot 60#1804</t>
  </si>
  <si>
    <t>3659 und 2524</t>
  </si>
  <si>
    <t>jh-p62-2529</t>
  </si>
  <si>
    <t>plot 62 #1882, flower buds</t>
  </si>
  <si>
    <t>Symplocaceae</t>
  </si>
  <si>
    <t>3612,2529</t>
  </si>
  <si>
    <t>Symplocos</t>
  </si>
  <si>
    <t>cf guacamayensis</t>
  </si>
  <si>
    <t>jh-p62-3608</t>
  </si>
  <si>
    <t>plot 62#1894</t>
  </si>
  <si>
    <t>3608,2530</t>
  </si>
  <si>
    <t>aciphylla</t>
  </si>
  <si>
    <t>jh-p28-3582</t>
  </si>
  <si>
    <t>plot 28#755, fruits</t>
  </si>
  <si>
    <t>3582</t>
  </si>
  <si>
    <t>subrutilans</t>
  </si>
  <si>
    <t>jh-p48-3706</t>
  </si>
  <si>
    <t>plot 48#1417, fruits</t>
  </si>
  <si>
    <t>3706</t>
  </si>
  <si>
    <t>sp.</t>
  </si>
  <si>
    <t>jh-p62-3607</t>
  </si>
  <si>
    <t>plot 62#1906</t>
  </si>
  <si>
    <t>Cunnoniaceae</t>
  </si>
  <si>
    <t>3607</t>
  </si>
  <si>
    <t>Weinmannia</t>
  </si>
  <si>
    <t>pinnata</t>
  </si>
  <si>
    <t>jh-p28-3580</t>
  </si>
  <si>
    <t>plot 28#757</t>
  </si>
  <si>
    <t>3580</t>
  </si>
  <si>
    <t>jh-p48-3696</t>
  </si>
  <si>
    <t>plot 48#1411</t>
  </si>
  <si>
    <t>3696</t>
  </si>
  <si>
    <t>Helicostylis</t>
  </si>
  <si>
    <t>tomentosa</t>
  </si>
  <si>
    <t>jh-p48-3703</t>
  </si>
  <si>
    <t>plot 48#1406, fruits</t>
  </si>
  <si>
    <t>Malpighiaceae</t>
  </si>
  <si>
    <t>3703, 2461</t>
  </si>
  <si>
    <t>Byrsonima</t>
  </si>
  <si>
    <t>jh-p60-3662</t>
  </si>
  <si>
    <t>plot 60#1806</t>
  </si>
  <si>
    <t>Calophyllaceae</t>
  </si>
  <si>
    <t>3662, =2512</t>
  </si>
  <si>
    <t>Marila</t>
  </si>
  <si>
    <t>pluricostata</t>
  </si>
  <si>
    <t>jh-p28-3601</t>
  </si>
  <si>
    <t>plot 28#726, flower buds</t>
  </si>
  <si>
    <t>3601</t>
  </si>
  <si>
    <t>Sapo28</t>
  </si>
  <si>
    <t>aracouchini</t>
  </si>
  <si>
    <t>jh-p28-3579</t>
  </si>
  <si>
    <t>plot 28#719</t>
  </si>
  <si>
    <t>3579,2295</t>
  </si>
  <si>
    <t>Diplotropis</t>
  </si>
  <si>
    <t>aff purpurea</t>
  </si>
  <si>
    <t>jh-p28-3589</t>
  </si>
  <si>
    <t>plot 28#716</t>
  </si>
  <si>
    <t>3589</t>
  </si>
  <si>
    <t>Moquilea</t>
  </si>
  <si>
    <t>magnifructa</t>
  </si>
  <si>
    <t>jh-p48-3707</t>
  </si>
  <si>
    <t>plot 48#1390, flowers and fruits</t>
  </si>
  <si>
    <t>jh-p62-3611</t>
  </si>
  <si>
    <t>plot 62#1901, old fruits</t>
  </si>
  <si>
    <t>3611</t>
  </si>
  <si>
    <t>Rubi28</t>
  </si>
  <si>
    <t>acutifolia</t>
  </si>
  <si>
    <t>jh-p62-3595</t>
  </si>
  <si>
    <t>plot 62#1872, fruits</t>
  </si>
  <si>
    <t>3595</t>
  </si>
  <si>
    <t>Aniba</t>
  </si>
  <si>
    <t>jh-p28-3581</t>
  </si>
  <si>
    <t>plot 28#739</t>
  </si>
  <si>
    <t>3581</t>
  </si>
  <si>
    <t>Elaeagia</t>
  </si>
  <si>
    <t>mariae</t>
  </si>
  <si>
    <t>jh-p62-3609</t>
  </si>
  <si>
    <t>plot 62#1907</t>
  </si>
  <si>
    <t>3609</t>
  </si>
  <si>
    <t>jh-p48-3697</t>
  </si>
  <si>
    <t>plot 48#1404</t>
  </si>
  <si>
    <t>Apocynaceae</t>
  </si>
  <si>
    <t>3697</t>
  </si>
  <si>
    <t>Lacmellea</t>
  </si>
  <si>
    <t>speciosa</t>
  </si>
  <si>
    <t>jh-p22-3782</t>
  </si>
  <si>
    <t>plot 22#547</t>
  </si>
  <si>
    <t>pavonis</t>
  </si>
  <si>
    <t>jh-p50-3627</t>
  </si>
  <si>
    <t>plot 50#1461 (silica dried leaves have been collected separately)</t>
  </si>
  <si>
    <t>3627</t>
  </si>
  <si>
    <t>Licania</t>
  </si>
  <si>
    <t>micrantha</t>
  </si>
  <si>
    <t>jh-p23-3742</t>
  </si>
  <si>
    <t>plot 23#576</t>
  </si>
  <si>
    <t>3742</t>
  </si>
  <si>
    <t>Kutchubaea</t>
  </si>
  <si>
    <t>semisericea</t>
  </si>
  <si>
    <t>jh-p48-3712</t>
  </si>
  <si>
    <t>plot 48#1393</t>
  </si>
  <si>
    <t>Urticaceae</t>
  </si>
  <si>
    <t>3712</t>
  </si>
  <si>
    <t>Pourouma</t>
  </si>
  <si>
    <t>cf bicolor</t>
  </si>
  <si>
    <t>jh-p28-2293</t>
  </si>
  <si>
    <t>plot 28 # 717, fruits</t>
  </si>
  <si>
    <t>2293</t>
  </si>
  <si>
    <t>Ladenbergia</t>
  </si>
  <si>
    <t>stenocarpa</t>
  </si>
  <si>
    <t>jh-p23-3745</t>
  </si>
  <si>
    <t>plot 23#564</t>
  </si>
  <si>
    <t>3745</t>
  </si>
  <si>
    <t>Cornuella</t>
  </si>
  <si>
    <t>jh-p60-3658</t>
  </si>
  <si>
    <t>plot 60#1833</t>
  </si>
  <si>
    <t>Nyctaginaceae</t>
  </si>
  <si>
    <t>Neea</t>
  </si>
  <si>
    <t>divaricata</t>
  </si>
  <si>
    <t>jh-p50-3616</t>
  </si>
  <si>
    <t>plot 50#1478, (flowers have been collected separately)</t>
  </si>
  <si>
    <t>3616</t>
  </si>
  <si>
    <t>aff. subrutilans</t>
  </si>
  <si>
    <t>jh-p60-3660</t>
  </si>
  <si>
    <t>plot 60#1830, fruits</t>
  </si>
  <si>
    <t>jh-p22-2045</t>
  </si>
  <si>
    <t>plot 22 #535</t>
  </si>
  <si>
    <t>jh-p28-3588</t>
  </si>
  <si>
    <t>plot 28#732</t>
  </si>
  <si>
    <t>3588</t>
  </si>
  <si>
    <t>Matayba</t>
  </si>
  <si>
    <t>jh-p28-2312</t>
  </si>
  <si>
    <t>plot 28 #738</t>
  </si>
  <si>
    <t>2312</t>
  </si>
  <si>
    <t>jh-p50-3618</t>
  </si>
  <si>
    <t>plot 50#1489, white latex</t>
  </si>
  <si>
    <t>3618</t>
  </si>
  <si>
    <t>Pouteria</t>
  </si>
  <si>
    <t>cuspidata</t>
  </si>
  <si>
    <t>jh-p28-2311</t>
  </si>
  <si>
    <t>plot 28 #737, flowers</t>
  </si>
  <si>
    <t>2311</t>
  </si>
  <si>
    <t>tovariensis</t>
  </si>
  <si>
    <t>jh-p48-3709</t>
  </si>
  <si>
    <t>plot 48#1389 (silica dried leaves have been collected separately)</t>
  </si>
  <si>
    <t>3709,2455</t>
  </si>
  <si>
    <t>Parinari</t>
  </si>
  <si>
    <t>jh-p50-3622</t>
  </si>
  <si>
    <t>plot 50#1483</t>
  </si>
  <si>
    <t>3622</t>
  </si>
  <si>
    <t>Siphoneugena</t>
  </si>
  <si>
    <t>densiflora</t>
  </si>
  <si>
    <t>jh-p24-3683</t>
  </si>
  <si>
    <t>plot 24#583, fuits</t>
  </si>
  <si>
    <t>jh-p62-3612</t>
  </si>
  <si>
    <t>plot 62#1882, flower buds</t>
  </si>
  <si>
    <t>jh-p62-3602</t>
  </si>
  <si>
    <t>plot 62#1878</t>
  </si>
  <si>
    <t>Rutaceae</t>
  </si>
  <si>
    <t>3602</t>
  </si>
  <si>
    <t>Zanthoxylum</t>
  </si>
  <si>
    <t>melanostictum</t>
  </si>
  <si>
    <t>jh-p48-3700</t>
  </si>
  <si>
    <t>plot 48#1407</t>
  </si>
  <si>
    <t>3700</t>
  </si>
  <si>
    <t>Calyptranthes</t>
  </si>
  <si>
    <t>forsteri</t>
  </si>
  <si>
    <t>jh-p48-3702</t>
  </si>
  <si>
    <t>plot 48#1408</t>
  </si>
  <si>
    <t>3702</t>
  </si>
  <si>
    <t>Tachigali</t>
  </si>
  <si>
    <t>jh-p50-3617</t>
  </si>
  <si>
    <t>plot 50#1470</t>
  </si>
  <si>
    <t>Styracaceae</t>
  </si>
  <si>
    <t>3617</t>
  </si>
  <si>
    <t>Styrax</t>
  </si>
  <si>
    <t>cordatus</t>
  </si>
  <si>
    <t>jh-p48-3699</t>
  </si>
  <si>
    <t>plot 48#1398</t>
  </si>
  <si>
    <t>3699,2460</t>
  </si>
  <si>
    <t>Ragala</t>
  </si>
  <si>
    <t>sanguinolenta</t>
  </si>
  <si>
    <t>jh-p28-3578</t>
  </si>
  <si>
    <t>plot 28#731</t>
  </si>
  <si>
    <t>3578</t>
  </si>
  <si>
    <t>obovata</t>
  </si>
  <si>
    <t>jh-p20-3715</t>
  </si>
  <si>
    <t>plot 20#498, one-seeded fruits</t>
  </si>
  <si>
    <t>Compsoneura</t>
  </si>
  <si>
    <t>capitellata</t>
  </si>
  <si>
    <t>jh-p23-3736</t>
  </si>
  <si>
    <t>plot 23#553</t>
  </si>
  <si>
    <t>3736</t>
  </si>
  <si>
    <t>marginata</t>
  </si>
  <si>
    <t>jh-p23-3744</t>
  </si>
  <si>
    <t>plot 23#563</t>
  </si>
  <si>
    <t>3744</t>
  </si>
  <si>
    <t>jh-p28-3587</t>
  </si>
  <si>
    <t>plot 28#715</t>
  </si>
  <si>
    <t>Rosaceae</t>
  </si>
  <si>
    <t>3587</t>
  </si>
  <si>
    <t>Prunus</t>
  </si>
  <si>
    <t>opaca</t>
  </si>
  <si>
    <t>jh-p62-3615</t>
  </si>
  <si>
    <t>plot 62#1880</t>
  </si>
  <si>
    <t>3615</t>
  </si>
  <si>
    <t>jh-p50-3624</t>
  </si>
  <si>
    <t>plot 50#1459</t>
  </si>
  <si>
    <t>3624</t>
  </si>
  <si>
    <t>Ossaea</t>
  </si>
  <si>
    <t>laxivenula</t>
  </si>
  <si>
    <t>jh-p60-5010</t>
  </si>
  <si>
    <t>plot 60 #1823</t>
  </si>
  <si>
    <t>5010, same as 3670</t>
  </si>
  <si>
    <t>Eschweilera</t>
  </si>
  <si>
    <t>p20-495</t>
  </si>
  <si>
    <t>Randia</t>
  </si>
  <si>
    <t>p20-489</t>
  </si>
  <si>
    <t>p28-8715</t>
  </si>
  <si>
    <t>p28-8726</t>
  </si>
  <si>
    <t>p28-8735</t>
  </si>
  <si>
    <t>p28-8718</t>
  </si>
  <si>
    <t>p28-8733</t>
  </si>
  <si>
    <t>p28-8708</t>
  </si>
  <si>
    <t>p23-8976</t>
  </si>
  <si>
    <t>p28-8721</t>
  </si>
  <si>
    <t>p28-8716</t>
  </si>
  <si>
    <t>Theaceae</t>
  </si>
  <si>
    <t>2296</t>
  </si>
  <si>
    <t>Gordonia</t>
  </si>
  <si>
    <t>fruticosa</t>
  </si>
  <si>
    <t>p23-8974</t>
  </si>
  <si>
    <t>p23-8980</t>
  </si>
  <si>
    <t>p23-8986</t>
  </si>
  <si>
    <t>p23-8983</t>
  </si>
  <si>
    <t>p23-8975</t>
  </si>
  <si>
    <t>p23-8985</t>
  </si>
  <si>
    <t>p23-8989</t>
  </si>
  <si>
    <t>3738</t>
  </si>
  <si>
    <t>p28-8702</t>
  </si>
  <si>
    <t>p28-8713</t>
  </si>
  <si>
    <t>minor</t>
  </si>
  <si>
    <t>p28-8711</t>
  </si>
  <si>
    <t>p23-8982</t>
  </si>
  <si>
    <t>p22-8962</t>
  </si>
  <si>
    <t>p22-8966</t>
  </si>
  <si>
    <t>p22-8961</t>
  </si>
  <si>
    <t>laevigata</t>
  </si>
  <si>
    <t>p28-8878</t>
  </si>
  <si>
    <t>p22-8965</t>
  </si>
  <si>
    <t>p22-8968</t>
  </si>
  <si>
    <t>p22-8957</t>
  </si>
  <si>
    <t>p22-8955</t>
  </si>
  <si>
    <t>p22-8945</t>
  </si>
  <si>
    <t>p60-8766</t>
  </si>
  <si>
    <t>p60-8752</t>
  </si>
  <si>
    <t>p60-8776</t>
  </si>
  <si>
    <t>p60-8743</t>
  </si>
  <si>
    <t>p60-8744</t>
  </si>
  <si>
    <t>p60-8769</t>
  </si>
  <si>
    <t>p60-8777</t>
  </si>
  <si>
    <t>p60-8760</t>
  </si>
  <si>
    <t>p60-8774</t>
  </si>
  <si>
    <t>p60-8763</t>
  </si>
  <si>
    <t>p60-8751</t>
  </si>
  <si>
    <t>p28-8738</t>
  </si>
  <si>
    <t>p60-8885</t>
  </si>
  <si>
    <t>p48-8665</t>
  </si>
  <si>
    <t>p24-8639</t>
  </si>
  <si>
    <t>p62-8669</t>
  </si>
  <si>
    <t>p48-8685</t>
  </si>
  <si>
    <t>p48-8678</t>
  </si>
  <si>
    <t>p24-8656</t>
  </si>
  <si>
    <t>p24-8641</t>
  </si>
  <si>
    <t>p48-8664</t>
  </si>
  <si>
    <t>p50-8796</t>
  </si>
  <si>
    <t>p50-8789</t>
  </si>
  <si>
    <t>p50-8609</t>
  </si>
  <si>
    <t>p50-8778</t>
  </si>
  <si>
    <t>p50-8800</t>
  </si>
  <si>
    <t>p50-8612</t>
  </si>
  <si>
    <t>p48-8658</t>
  </si>
  <si>
    <t>p62-8909</t>
  </si>
  <si>
    <t>p62-8920</t>
  </si>
  <si>
    <t>p24-8640</t>
  </si>
  <si>
    <t>p24-8644</t>
  </si>
  <si>
    <t>p62-8911</t>
  </si>
  <si>
    <t>p62-8913</t>
  </si>
  <si>
    <t>p24-8633</t>
  </si>
  <si>
    <t>Clusiaceae</t>
  </si>
  <si>
    <t>Garcinia</t>
  </si>
  <si>
    <t>madruno</t>
  </si>
  <si>
    <t>p62-8904</t>
  </si>
  <si>
    <t>p24-8643</t>
  </si>
  <si>
    <t>p62-8935</t>
  </si>
  <si>
    <t>Tovomita</t>
  </si>
  <si>
    <t>p48-8667</t>
  </si>
  <si>
    <t>p24-8654</t>
  </si>
  <si>
    <t>p24-8649</t>
  </si>
  <si>
    <t>p50-8780</t>
  </si>
  <si>
    <t>p50-8613</t>
  </si>
  <si>
    <t>Apo28</t>
  </si>
  <si>
    <t>p50-8615</t>
  </si>
  <si>
    <t>p24-8642</t>
  </si>
  <si>
    <t>caudiculata</t>
  </si>
  <si>
    <t>p50-8786</t>
  </si>
  <si>
    <t>p24-8651</t>
  </si>
  <si>
    <t>p48-8686</t>
  </si>
  <si>
    <t>p48-8663</t>
  </si>
  <si>
    <t>3705</t>
  </si>
  <si>
    <t>p48-8672</t>
  </si>
  <si>
    <t>p48-8666</t>
  </si>
  <si>
    <t>p48-3698</t>
  </si>
  <si>
    <t>p28-8974</t>
  </si>
  <si>
    <t>jh-p60-3661</t>
  </si>
  <si>
    <t>1807</t>
  </si>
  <si>
    <t>plot 60#1807, fruits</t>
  </si>
  <si>
    <t xml:space="preserve"> 60</t>
  </si>
  <si>
    <t>jh-p60-5008</t>
  </si>
  <si>
    <t>1812</t>
  </si>
  <si>
    <t>plot 60 #1812</t>
  </si>
  <si>
    <t xml:space="preserve"> 60 </t>
  </si>
  <si>
    <t>jh-p60-5009</t>
  </si>
  <si>
    <t>1815</t>
  </si>
  <si>
    <t>plot 60 #1815</t>
  </si>
  <si>
    <t>jh-p62-3610</t>
  </si>
  <si>
    <t>1895</t>
  </si>
  <si>
    <t>plot 62#1895, flowers</t>
  </si>
  <si>
    <t xml:space="preserve"> 62</t>
  </si>
  <si>
    <t>echinocarpus</t>
  </si>
  <si>
    <t>jh-p28-2296</t>
  </si>
  <si>
    <t>740</t>
  </si>
  <si>
    <t>plot 28 #740</t>
  </si>
  <si>
    <t xml:space="preserve"> 28 </t>
  </si>
  <si>
    <t>jh-p24-4798</t>
  </si>
  <si>
    <t>611</t>
  </si>
  <si>
    <t>plot 24#611</t>
  </si>
  <si>
    <t xml:space="preserve"> 24</t>
  </si>
  <si>
    <t>jh-p24-4796</t>
  </si>
  <si>
    <t>584</t>
  </si>
  <si>
    <t>plot 24#584</t>
  </si>
  <si>
    <t>jh-p24-3685</t>
  </si>
  <si>
    <t>591</t>
  </si>
  <si>
    <t>plot 24#591</t>
  </si>
  <si>
    <t>jh-p24-3686</t>
  </si>
  <si>
    <t>592</t>
  </si>
  <si>
    <t>plot 24#592</t>
  </si>
  <si>
    <t>jh-p24-3694</t>
  </si>
  <si>
    <t>610</t>
  </si>
  <si>
    <t>plot 24#610, white latex</t>
  </si>
  <si>
    <t>Micropholis</t>
  </si>
  <si>
    <t>venulosa</t>
  </si>
  <si>
    <t>jh-px8-3712</t>
  </si>
  <si>
    <t>1393</t>
  </si>
  <si>
    <t xml:space="preserve"> 48</t>
  </si>
  <si>
    <t>bicolor</t>
  </si>
  <si>
    <t>jh-p62-3613</t>
  </si>
  <si>
    <t>1892</t>
  </si>
  <si>
    <t>plot 62#1892</t>
  </si>
  <si>
    <t>Myrsinaceae</t>
  </si>
  <si>
    <t>Myrsine</t>
  </si>
  <si>
    <t>jh-p62-3603</t>
  </si>
  <si>
    <t>1873</t>
  </si>
  <si>
    <t>plot 62#1873</t>
  </si>
  <si>
    <t>extra-nodis</t>
  </si>
  <si>
    <t>jh-p48-3708</t>
  </si>
  <si>
    <t>1391</t>
  </si>
  <si>
    <t>plot 48#1391</t>
  </si>
  <si>
    <t>Malvaceae</t>
  </si>
  <si>
    <t>Spirotheca</t>
  </si>
  <si>
    <t>rosea</t>
  </si>
  <si>
    <t>jh-24-3690</t>
  </si>
  <si>
    <t>603</t>
  </si>
  <si>
    <t>plot 24#603</t>
  </si>
  <si>
    <t>Vochysia</t>
  </si>
  <si>
    <t>punctata</t>
  </si>
  <si>
    <t>jh-p48-3701</t>
  </si>
  <si>
    <t>1410</t>
  </si>
  <si>
    <t>plot 48#1410</t>
  </si>
  <si>
    <t>insularis</t>
  </si>
  <si>
    <t>jh-p28-2295</t>
  </si>
  <si>
    <t>719</t>
  </si>
  <si>
    <t>plot 28 #719</t>
  </si>
  <si>
    <t>purpurea</t>
  </si>
  <si>
    <t>jh-p48-3704</t>
  </si>
  <si>
    <t>1412</t>
  </si>
  <si>
    <t>plot 48#1412, fruits</t>
  </si>
  <si>
    <t>Brosimum</t>
  </si>
  <si>
    <t>utile</t>
  </si>
  <si>
    <t>jh-50-3627</t>
  </si>
  <si>
    <t>1461 (silica dried leaves have been collected separately)</t>
  </si>
  <si>
    <t xml:space="preserve"> 50</t>
  </si>
  <si>
    <t>harlingii</t>
  </si>
  <si>
    <t>jh-p23-3738</t>
  </si>
  <si>
    <t>558</t>
  </si>
  <si>
    <t>plot 23#558</t>
  </si>
  <si>
    <t xml:space="preserve"> 23</t>
  </si>
  <si>
    <t>jh-p24-3687</t>
  </si>
  <si>
    <t>593</t>
  </si>
  <si>
    <t>plot 24#593</t>
  </si>
  <si>
    <t>jh-p24-3691</t>
  </si>
  <si>
    <t>606</t>
  </si>
  <si>
    <t>plot 24#606</t>
  </si>
  <si>
    <t>jh-p24-3689</t>
  </si>
  <si>
    <t>595</t>
  </si>
  <si>
    <t>plot 24#595</t>
  </si>
  <si>
    <t>jh-p24-3688</t>
  </si>
  <si>
    <t>594</t>
  </si>
  <si>
    <t>plot 24#594, fruits</t>
  </si>
  <si>
    <t>jh-p24-2073</t>
  </si>
  <si>
    <t>590</t>
  </si>
  <si>
    <t>plot 24 #590, yellow latex</t>
  </si>
  <si>
    <t xml:space="preserve"> 24 </t>
  </si>
  <si>
    <t>jh-p24-3693</t>
  </si>
  <si>
    <t>609</t>
  </si>
  <si>
    <t>plot 24#609, red inflorescences, fruits</t>
  </si>
  <si>
    <t>jh-p24-2069</t>
  </si>
  <si>
    <t>598</t>
  </si>
  <si>
    <t>plot 24 #598</t>
  </si>
  <si>
    <t>jh-p22-2047</t>
  </si>
  <si>
    <t>537</t>
  </si>
  <si>
    <t>plot 22 #537</t>
  </si>
  <si>
    <t xml:space="preserve"> 22 </t>
  </si>
  <si>
    <t>jh-p24-2071</t>
  </si>
  <si>
    <t>plot 24 #594, flowers</t>
  </si>
  <si>
    <t>jh-p22-2037</t>
  </si>
  <si>
    <t>543</t>
  </si>
  <si>
    <t>plot 22 #543</t>
  </si>
  <si>
    <t>Abarema</t>
  </si>
  <si>
    <t>jupunba</t>
  </si>
  <si>
    <t>jh-p22-3780</t>
  </si>
  <si>
    <t>539</t>
  </si>
  <si>
    <t>plot 22#539, flower buds</t>
  </si>
  <si>
    <t xml:space="preserve"> 22</t>
  </si>
  <si>
    <t>jh-p23-2022</t>
  </si>
  <si>
    <t>561</t>
  </si>
  <si>
    <t>plot 23 #561, white flowers</t>
  </si>
  <si>
    <t xml:space="preserve"> 23 </t>
  </si>
  <si>
    <t>cf phyllonomoides</t>
  </si>
  <si>
    <t>jh-p42-3710</t>
  </si>
  <si>
    <t>1414</t>
  </si>
  <si>
    <t>jh-p48-3711</t>
  </si>
  <si>
    <t>1394</t>
  </si>
  <si>
    <t>plot 48#1394</t>
  </si>
  <si>
    <t>jh-p28-2294</t>
  </si>
  <si>
    <t>718</t>
  </si>
  <si>
    <t>plot 28 #718</t>
  </si>
  <si>
    <t>jh-p50-3629</t>
  </si>
  <si>
    <t>2589</t>
  </si>
  <si>
    <t>plot 50#2589</t>
  </si>
  <si>
    <t>jh-p23-3739</t>
  </si>
  <si>
    <t>559</t>
  </si>
  <si>
    <t>plot 23#559</t>
  </si>
  <si>
    <t>jh-p23-3737</t>
  </si>
  <si>
    <t>557</t>
  </si>
  <si>
    <t>plot 23#557, fruits</t>
  </si>
  <si>
    <t>Quiina</t>
  </si>
  <si>
    <t>jh-p23-3743</t>
  </si>
  <si>
    <t>577</t>
  </si>
  <si>
    <t>plot 23#577</t>
  </si>
  <si>
    <t>Coussarea</t>
  </si>
  <si>
    <t>racemosa</t>
  </si>
  <si>
    <t>jh-p23-3741</t>
  </si>
  <si>
    <t>572</t>
  </si>
  <si>
    <t>plot 23#572</t>
  </si>
  <si>
    <t>jh-p23-3740</t>
  </si>
  <si>
    <t>560</t>
  </si>
  <si>
    <t>plot 23#560</t>
  </si>
  <si>
    <t>jh-p22-3781</t>
  </si>
  <si>
    <t>542</t>
  </si>
  <si>
    <t>plot 22#542</t>
  </si>
  <si>
    <t>Trichilia</t>
  </si>
  <si>
    <t>poeppigii</t>
  </si>
  <si>
    <t>jh-p22-3779</t>
  </si>
  <si>
    <t>534</t>
  </si>
  <si>
    <t>plot 22#534</t>
  </si>
  <si>
    <t>Proteaceae</t>
  </si>
  <si>
    <t>Euplassa</t>
  </si>
  <si>
    <t>occidentalis</t>
  </si>
  <si>
    <t>jh-p50-3631</t>
  </si>
  <si>
    <t>1460</t>
  </si>
  <si>
    <t>plot 50#1460, glands on lower leaf surface</t>
  </si>
  <si>
    <t>jh-p50-3630</t>
  </si>
  <si>
    <t>1462</t>
  </si>
  <si>
    <t>plot 50#1462</t>
  </si>
  <si>
    <t>jh-p28-3576</t>
  </si>
  <si>
    <t>722</t>
  </si>
  <si>
    <t>plot 28#722</t>
  </si>
  <si>
    <t xml:space="preserve"> 28</t>
  </si>
  <si>
    <t>quixos</t>
  </si>
  <si>
    <t>jh-p28-3577</t>
  </si>
  <si>
    <t>749</t>
  </si>
  <si>
    <t>plot 28#749</t>
  </si>
  <si>
    <t>jh-p28-3590</t>
  </si>
  <si>
    <t>736</t>
  </si>
  <si>
    <t>plot 28#736</t>
  </si>
  <si>
    <t>Burseraceae</t>
  </si>
  <si>
    <t>Protium</t>
  </si>
  <si>
    <t>jh-p28-3583</t>
  </si>
  <si>
    <t>752</t>
  </si>
  <si>
    <t>plot 28#752</t>
  </si>
  <si>
    <t>jh-p28-3586</t>
  </si>
  <si>
    <t>742</t>
  </si>
  <si>
    <t>plot 28#742</t>
  </si>
  <si>
    <t>jh-p28-3575</t>
  </si>
  <si>
    <t>730</t>
  </si>
  <si>
    <t>plot 28#730</t>
  </si>
  <si>
    <t>jh-p50-3626</t>
  </si>
  <si>
    <t>1472</t>
  </si>
  <si>
    <t>plot 50#1472, fruits</t>
  </si>
  <si>
    <t>jh-p72-3742</t>
  </si>
  <si>
    <t>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</si>
</sst>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68"/>
  <sheetViews>
    <sheetView tabSelected="1" topLeftCell="A146" workbookViewId="0">
      <selection activeCell="K226" sqref="K226"/>
    </sheetView>
  </sheetViews>
  <sheetFormatPr baseColWidth="10" defaultColWidth="9.140625" defaultRowHeight="15" x14ac:dyDescent="0.25"/>
  <sheetData>
    <row r="1" spans="1:20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1">
        <v>0</v>
      </c>
      <c r="B2" t="s">
        <v>19</v>
      </c>
      <c r="C2">
        <v>0.45552995398936519</v>
      </c>
      <c r="D2">
        <v>-29.28958972049875</v>
      </c>
      <c r="E2" t="s">
        <v>20</v>
      </c>
      <c r="F2">
        <v>1.9123726429161679E-2</v>
      </c>
      <c r="G2">
        <v>0.48553105756200232</v>
      </c>
      <c r="H2">
        <v>1.9606777713957499</v>
      </c>
      <c r="I2">
        <v>-31.45873059218226</v>
      </c>
      <c r="J2">
        <v>2006</v>
      </c>
      <c r="K2">
        <v>557</v>
      </c>
      <c r="N2">
        <v>23</v>
      </c>
      <c r="P2" t="s">
        <v>21</v>
      </c>
      <c r="Q2" t="s">
        <v>22</v>
      </c>
      <c r="R2" t="s">
        <v>23</v>
      </c>
      <c r="S2" t="s">
        <v>24</v>
      </c>
    </row>
    <row r="3" spans="1:20" x14ac:dyDescent="0.25">
      <c r="A3" s="1">
        <v>1</v>
      </c>
      <c r="B3" t="s">
        <v>19</v>
      </c>
      <c r="C3">
        <v>43.360479018021202</v>
      </c>
      <c r="D3">
        <v>-29.4277878972228</v>
      </c>
      <c r="E3" t="s">
        <v>20</v>
      </c>
      <c r="F3">
        <v>1.9123726429161679E-2</v>
      </c>
      <c r="G3">
        <v>0.48553105756200232</v>
      </c>
      <c r="H3">
        <v>1.9606777713957499</v>
      </c>
      <c r="I3">
        <v>-31.45873059218226</v>
      </c>
      <c r="J3">
        <v>2006</v>
      </c>
      <c r="K3">
        <v>557</v>
      </c>
      <c r="N3">
        <v>23</v>
      </c>
      <c r="P3" t="s">
        <v>21</v>
      </c>
      <c r="Q3" t="s">
        <v>22</v>
      </c>
      <c r="R3" t="s">
        <v>23</v>
      </c>
      <c r="S3" t="s">
        <v>24</v>
      </c>
    </row>
    <row r="4" spans="1:20" x14ac:dyDescent="0.25">
      <c r="A4" s="1">
        <v>2</v>
      </c>
      <c r="B4" t="s">
        <v>25</v>
      </c>
      <c r="C4">
        <v>0.47411399135973742</v>
      </c>
      <c r="D4">
        <v>-29.723659109172299</v>
      </c>
      <c r="E4" t="s">
        <v>20</v>
      </c>
      <c r="F4">
        <v>2.5230260487635939E-2</v>
      </c>
      <c r="G4">
        <v>0.46505279897961921</v>
      </c>
      <c r="H4">
        <v>4.37</v>
      </c>
      <c r="I4">
        <v>-30.31</v>
      </c>
      <c r="J4">
        <v>2006</v>
      </c>
      <c r="K4">
        <v>550</v>
      </c>
      <c r="N4">
        <v>22</v>
      </c>
      <c r="P4" t="s">
        <v>26</v>
      </c>
    </row>
    <row r="5" spans="1:20" x14ac:dyDescent="0.25">
      <c r="A5" s="1">
        <v>3</v>
      </c>
      <c r="B5" t="s">
        <v>25</v>
      </c>
      <c r="C5">
        <v>47.207712018206799</v>
      </c>
      <c r="D5">
        <v>-29.723922526773599</v>
      </c>
      <c r="E5" t="s">
        <v>20</v>
      </c>
      <c r="F5">
        <v>2.5230260487635939E-2</v>
      </c>
      <c r="G5">
        <v>0.46505279897961921</v>
      </c>
      <c r="H5">
        <v>4.37</v>
      </c>
      <c r="I5">
        <v>-30.31</v>
      </c>
      <c r="J5">
        <v>2006</v>
      </c>
      <c r="K5">
        <v>550</v>
      </c>
      <c r="N5">
        <v>22</v>
      </c>
      <c r="P5" t="s">
        <v>26</v>
      </c>
    </row>
    <row r="6" spans="1:20" x14ac:dyDescent="0.25">
      <c r="A6" s="1">
        <v>4</v>
      </c>
      <c r="B6" t="s">
        <v>27</v>
      </c>
      <c r="C6">
        <v>43.689971337328402</v>
      </c>
      <c r="D6">
        <v>-31.626469029498701</v>
      </c>
      <c r="E6" t="s">
        <v>20</v>
      </c>
      <c r="J6">
        <v>2006</v>
      </c>
      <c r="K6">
        <v>561</v>
      </c>
      <c r="N6">
        <v>23</v>
      </c>
      <c r="O6">
        <v>8976</v>
      </c>
      <c r="P6" t="s">
        <v>28</v>
      </c>
      <c r="Q6" t="s">
        <v>29</v>
      </c>
      <c r="R6" t="s">
        <v>30</v>
      </c>
      <c r="S6" t="s">
        <v>31</v>
      </c>
    </row>
    <row r="7" spans="1:20" x14ac:dyDescent="0.25">
      <c r="A7" s="1">
        <v>5</v>
      </c>
      <c r="B7" t="s">
        <v>32</v>
      </c>
      <c r="C7">
        <v>48.0030201741165</v>
      </c>
      <c r="D7">
        <v>-32.797393692377497</v>
      </c>
      <c r="E7" t="s">
        <v>20</v>
      </c>
      <c r="F7">
        <v>2.579598920779343E-2</v>
      </c>
      <c r="G7">
        <v>0.45823378486867489</v>
      </c>
      <c r="H7">
        <v>5.8638203356367216</v>
      </c>
      <c r="I7">
        <v>-33.216142893465538</v>
      </c>
      <c r="J7">
        <v>2006</v>
      </c>
      <c r="K7">
        <v>763</v>
      </c>
      <c r="N7">
        <v>29</v>
      </c>
      <c r="P7" t="s">
        <v>33</v>
      </c>
      <c r="Q7" t="s">
        <v>34</v>
      </c>
      <c r="R7" t="s">
        <v>35</v>
      </c>
    </row>
    <row r="8" spans="1:20" x14ac:dyDescent="0.25">
      <c r="A8" s="1">
        <v>6</v>
      </c>
      <c r="B8" t="s">
        <v>36</v>
      </c>
      <c r="C8">
        <v>43.3065397064424</v>
      </c>
      <c r="D8">
        <v>-29.5119266331101</v>
      </c>
      <c r="E8" t="s">
        <v>20</v>
      </c>
      <c r="F8">
        <v>2.2315575246793569E-2</v>
      </c>
      <c r="G8">
        <v>0.44831970373097579</v>
      </c>
      <c r="H8">
        <v>2.0023395853899308</v>
      </c>
      <c r="I8">
        <v>-32.206491228070171</v>
      </c>
      <c r="J8">
        <v>2006</v>
      </c>
      <c r="K8">
        <v>768</v>
      </c>
      <c r="N8">
        <v>29</v>
      </c>
      <c r="P8" t="s">
        <v>37</v>
      </c>
      <c r="Q8">
        <f>3762</f>
        <v>3762</v>
      </c>
      <c r="R8" t="s">
        <v>38</v>
      </c>
      <c r="S8" t="s">
        <v>39</v>
      </c>
    </row>
    <row r="9" spans="1:20" x14ac:dyDescent="0.25">
      <c r="A9" s="1">
        <v>7</v>
      </c>
      <c r="B9" t="s">
        <v>40</v>
      </c>
      <c r="C9">
        <v>44.474674657016003</v>
      </c>
      <c r="D9">
        <v>-29.3530869451066</v>
      </c>
      <c r="E9" t="s">
        <v>20</v>
      </c>
      <c r="F9">
        <v>2.0353400916030061E-2</v>
      </c>
      <c r="G9">
        <v>0.46502584641799849</v>
      </c>
      <c r="H9">
        <v>0.91061204343534041</v>
      </c>
      <c r="I9">
        <v>-30.928972794304599</v>
      </c>
      <c r="J9">
        <v>2006</v>
      </c>
      <c r="K9">
        <v>777</v>
      </c>
      <c r="N9">
        <v>29</v>
      </c>
      <c r="P9" t="s">
        <v>41</v>
      </c>
      <c r="Q9" t="s">
        <v>42</v>
      </c>
      <c r="R9" t="s">
        <v>43</v>
      </c>
      <c r="S9" t="s">
        <v>44</v>
      </c>
    </row>
    <row r="10" spans="1:20" x14ac:dyDescent="0.25">
      <c r="A10" s="1">
        <v>8</v>
      </c>
      <c r="B10" t="s">
        <v>45</v>
      </c>
      <c r="C10">
        <v>43.9302353069817</v>
      </c>
      <c r="D10">
        <v>-32.736203979878901</v>
      </c>
      <c r="E10" t="s">
        <v>20</v>
      </c>
      <c r="F10">
        <v>3.035487404832049E-2</v>
      </c>
      <c r="G10">
        <v>0.44380471107095482</v>
      </c>
      <c r="H10">
        <v>1.7698420533070089</v>
      </c>
      <c r="I10">
        <v>-33.762178998220179</v>
      </c>
      <c r="J10">
        <v>2006</v>
      </c>
      <c r="K10">
        <v>781</v>
      </c>
      <c r="N10">
        <v>29</v>
      </c>
      <c r="P10" t="s">
        <v>46</v>
      </c>
      <c r="Q10" t="s">
        <v>47</v>
      </c>
      <c r="R10" t="s">
        <v>48</v>
      </c>
      <c r="S10" t="s">
        <v>49</v>
      </c>
    </row>
    <row r="11" spans="1:20" x14ac:dyDescent="0.25">
      <c r="A11" s="1">
        <v>9</v>
      </c>
      <c r="B11" t="s">
        <v>50</v>
      </c>
      <c r="C11">
        <v>39.824942992228401</v>
      </c>
      <c r="D11">
        <v>-29.806737041430999</v>
      </c>
      <c r="E11" t="s">
        <v>20</v>
      </c>
      <c r="F11">
        <v>2.3291274892137049E-2</v>
      </c>
      <c r="G11">
        <v>0.45754891922073659</v>
      </c>
      <c r="H11">
        <v>2.3268121769098218</v>
      </c>
      <c r="I11">
        <v>-31.967258328782091</v>
      </c>
      <c r="J11">
        <v>2006</v>
      </c>
      <c r="K11">
        <v>560</v>
      </c>
      <c r="N11">
        <v>23</v>
      </c>
      <c r="O11">
        <v>8982</v>
      </c>
      <c r="P11" t="s">
        <v>51</v>
      </c>
      <c r="Q11" t="s">
        <v>52</v>
      </c>
      <c r="R11" t="s">
        <v>53</v>
      </c>
      <c r="S11" t="s">
        <v>31</v>
      </c>
    </row>
    <row r="12" spans="1:20" x14ac:dyDescent="0.25">
      <c r="A12" s="1">
        <v>10</v>
      </c>
      <c r="B12" t="s">
        <v>50</v>
      </c>
      <c r="C12">
        <v>0.39610000000000001</v>
      </c>
      <c r="D12">
        <v>-30.1</v>
      </c>
      <c r="E12" t="s">
        <v>20</v>
      </c>
      <c r="J12">
        <v>2006</v>
      </c>
      <c r="K12">
        <v>560</v>
      </c>
      <c r="N12">
        <v>23</v>
      </c>
      <c r="O12">
        <v>8982</v>
      </c>
      <c r="P12" t="s">
        <v>51</v>
      </c>
      <c r="Q12" t="s">
        <v>52</v>
      </c>
      <c r="R12" t="s">
        <v>53</v>
      </c>
      <c r="S12" t="s">
        <v>31</v>
      </c>
    </row>
    <row r="13" spans="1:20" x14ac:dyDescent="0.25">
      <c r="A13" s="1">
        <v>11</v>
      </c>
      <c r="B13" t="s">
        <v>54</v>
      </c>
      <c r="C13">
        <v>44.859456993819798</v>
      </c>
      <c r="D13">
        <v>-30.071022097136801</v>
      </c>
      <c r="E13" t="s">
        <v>20</v>
      </c>
      <c r="F13">
        <v>1.9284466786336579E-2</v>
      </c>
      <c r="G13">
        <v>0.42731883329371101</v>
      </c>
      <c r="H13">
        <v>-1.8608500861573809</v>
      </c>
      <c r="I13">
        <v>-31.418846063821491</v>
      </c>
      <c r="J13">
        <v>2006</v>
      </c>
      <c r="K13">
        <v>596</v>
      </c>
      <c r="N13">
        <v>24</v>
      </c>
      <c r="P13" t="s">
        <v>55</v>
      </c>
      <c r="Q13">
        <v>2070</v>
      </c>
      <c r="R13" t="s">
        <v>56</v>
      </c>
    </row>
    <row r="14" spans="1:20" x14ac:dyDescent="0.25">
      <c r="A14" s="1">
        <v>12</v>
      </c>
      <c r="B14" t="s">
        <v>57</v>
      </c>
      <c r="C14">
        <v>44.150642322992702</v>
      </c>
      <c r="D14">
        <v>-31.140830970746499</v>
      </c>
      <c r="E14" t="s">
        <v>20</v>
      </c>
      <c r="F14">
        <v>1.792686443191889E-2</v>
      </c>
      <c r="G14">
        <v>0.43104171311056633</v>
      </c>
      <c r="H14">
        <v>-1.99</v>
      </c>
      <c r="I14">
        <v>-32.18</v>
      </c>
      <c r="J14">
        <v>2006</v>
      </c>
      <c r="K14">
        <v>595</v>
      </c>
      <c r="N14">
        <v>24</v>
      </c>
      <c r="O14">
        <v>8654</v>
      </c>
      <c r="P14" t="s">
        <v>46</v>
      </c>
      <c r="Q14">
        <v>3689</v>
      </c>
      <c r="R14" t="s">
        <v>58</v>
      </c>
      <c r="S14" t="s">
        <v>59</v>
      </c>
    </row>
    <row r="15" spans="1:20" x14ac:dyDescent="0.25">
      <c r="A15" s="1">
        <v>13</v>
      </c>
      <c r="B15" t="s">
        <v>60</v>
      </c>
      <c r="C15">
        <v>43.045457107963401</v>
      </c>
      <c r="D15">
        <v>-29.087963579035801</v>
      </c>
      <c r="E15" t="s">
        <v>20</v>
      </c>
      <c r="F15">
        <v>2.3500031065635009E-2</v>
      </c>
      <c r="G15">
        <v>0.44336824623628679</v>
      </c>
      <c r="H15">
        <v>-0.48784606547960979</v>
      </c>
      <c r="I15">
        <v>-31.189510025747062</v>
      </c>
      <c r="J15">
        <v>2006</v>
      </c>
      <c r="K15">
        <v>586</v>
      </c>
      <c r="N15">
        <v>24</v>
      </c>
      <c r="P15" t="s">
        <v>46</v>
      </c>
      <c r="R15" t="s">
        <v>58</v>
      </c>
      <c r="S15" t="s">
        <v>59</v>
      </c>
    </row>
    <row r="16" spans="1:20" x14ac:dyDescent="0.25">
      <c r="A16" s="1">
        <v>14</v>
      </c>
      <c r="B16" t="s">
        <v>60</v>
      </c>
      <c r="C16">
        <v>43.045457107963401</v>
      </c>
      <c r="D16">
        <v>-29.087963579035801</v>
      </c>
      <c r="E16" t="s">
        <v>20</v>
      </c>
      <c r="F16">
        <v>2.3500031065635009E-2</v>
      </c>
      <c r="G16">
        <v>0.44336824623628679</v>
      </c>
      <c r="H16">
        <v>-0.48784606547960979</v>
      </c>
      <c r="I16">
        <v>-31.189510025747062</v>
      </c>
      <c r="J16">
        <v>2006</v>
      </c>
      <c r="K16">
        <v>586</v>
      </c>
      <c r="N16">
        <v>24</v>
      </c>
      <c r="O16">
        <v>8638</v>
      </c>
      <c r="P16" t="s">
        <v>46</v>
      </c>
      <c r="R16" t="s">
        <v>58</v>
      </c>
      <c r="S16" t="s">
        <v>61</v>
      </c>
    </row>
    <row r="17" spans="1:19" x14ac:dyDescent="0.25">
      <c r="A17" s="1">
        <v>15</v>
      </c>
      <c r="B17" t="s">
        <v>62</v>
      </c>
      <c r="C17">
        <v>45.527935008180997</v>
      </c>
      <c r="D17">
        <v>-29.6269552131774</v>
      </c>
      <c r="E17" t="s">
        <v>20</v>
      </c>
      <c r="F17">
        <v>1.4055464106998421E-2</v>
      </c>
      <c r="G17">
        <v>0.49023819079057579</v>
      </c>
      <c r="H17">
        <v>-1.26</v>
      </c>
      <c r="I17">
        <v>-32.44</v>
      </c>
      <c r="J17">
        <v>2006</v>
      </c>
      <c r="K17">
        <v>583</v>
      </c>
      <c r="N17">
        <v>24</v>
      </c>
      <c r="P17" t="s">
        <v>63</v>
      </c>
      <c r="Q17">
        <v>3683</v>
      </c>
      <c r="R17" t="s">
        <v>64</v>
      </c>
      <c r="S17" t="s">
        <v>65</v>
      </c>
    </row>
    <row r="18" spans="1:19" x14ac:dyDescent="0.25">
      <c r="A18" s="1">
        <v>16</v>
      </c>
      <c r="B18" t="s">
        <v>66</v>
      </c>
      <c r="C18">
        <v>44.196084493798203</v>
      </c>
      <c r="D18">
        <v>-31.359260876346099</v>
      </c>
      <c r="E18" t="s">
        <v>20</v>
      </c>
      <c r="F18">
        <v>1.533899739410874E-2</v>
      </c>
      <c r="G18">
        <v>0.4353491938687814</v>
      </c>
      <c r="H18">
        <v>0.40460654796094181</v>
      </c>
      <c r="I18">
        <v>-32.854689084809237</v>
      </c>
      <c r="J18">
        <v>2006</v>
      </c>
      <c r="K18">
        <v>795</v>
      </c>
      <c r="N18">
        <v>29</v>
      </c>
      <c r="P18" t="s">
        <v>67</v>
      </c>
      <c r="Q18" t="s">
        <v>68</v>
      </c>
      <c r="R18" t="s">
        <v>69</v>
      </c>
      <c r="S18" t="s">
        <v>70</v>
      </c>
    </row>
    <row r="19" spans="1:19" x14ac:dyDescent="0.25">
      <c r="A19" s="1">
        <v>17</v>
      </c>
      <c r="B19" t="s">
        <v>71</v>
      </c>
      <c r="C19">
        <v>43.488684636505198</v>
      </c>
      <c r="D19">
        <v>-30.813078658359199</v>
      </c>
      <c r="E19" t="s">
        <v>20</v>
      </c>
      <c r="F19">
        <v>2.829417692417514E-2</v>
      </c>
      <c r="G19">
        <v>0.45816205634993767</v>
      </c>
      <c r="H19">
        <v>1.91</v>
      </c>
      <c r="I19">
        <v>-31.89</v>
      </c>
      <c r="J19">
        <v>2006</v>
      </c>
      <c r="K19">
        <v>543</v>
      </c>
      <c r="N19">
        <v>22</v>
      </c>
      <c r="O19">
        <v>8962</v>
      </c>
      <c r="P19" t="s">
        <v>72</v>
      </c>
      <c r="Q19">
        <v>2037</v>
      </c>
      <c r="R19" t="s">
        <v>73</v>
      </c>
      <c r="S19" t="s">
        <v>74</v>
      </c>
    </row>
    <row r="20" spans="1:19" x14ac:dyDescent="0.25">
      <c r="A20" s="1">
        <v>18</v>
      </c>
      <c r="B20" t="s">
        <v>75</v>
      </c>
      <c r="C20">
        <v>44.171602926392502</v>
      </c>
      <c r="D20">
        <v>-30.282723157395601</v>
      </c>
      <c r="E20" t="s">
        <v>20</v>
      </c>
      <c r="F20">
        <v>2.1714984430868091E-2</v>
      </c>
      <c r="G20">
        <v>0.44353322201759848</v>
      </c>
      <c r="H20">
        <v>1.37</v>
      </c>
      <c r="I20">
        <v>-32.590000000000003</v>
      </c>
      <c r="J20">
        <v>2006</v>
      </c>
      <c r="K20">
        <v>538</v>
      </c>
      <c r="N20">
        <v>22</v>
      </c>
      <c r="P20" t="s">
        <v>76</v>
      </c>
      <c r="R20" t="s">
        <v>77</v>
      </c>
      <c r="S20" t="s">
        <v>78</v>
      </c>
    </row>
    <row r="21" spans="1:19" x14ac:dyDescent="0.25">
      <c r="A21" s="1">
        <v>19</v>
      </c>
      <c r="B21" t="s">
        <v>79</v>
      </c>
      <c r="C21">
        <v>44.312974979138097</v>
      </c>
      <c r="D21">
        <v>-29.588976226467199</v>
      </c>
      <c r="E21" t="s">
        <v>20</v>
      </c>
      <c r="F21">
        <v>1.9040699468793641E-2</v>
      </c>
      <c r="G21">
        <v>0.43750156512794608</v>
      </c>
      <c r="H21">
        <v>1.112783810463968</v>
      </c>
      <c r="I21">
        <v>-30.722921434019831</v>
      </c>
      <c r="J21">
        <v>2006</v>
      </c>
      <c r="K21">
        <v>559</v>
      </c>
      <c r="N21">
        <v>23</v>
      </c>
      <c r="O21">
        <v>8983</v>
      </c>
      <c r="P21" t="s">
        <v>80</v>
      </c>
      <c r="Q21" t="s">
        <v>81</v>
      </c>
      <c r="R21" t="s">
        <v>82</v>
      </c>
      <c r="S21" t="s">
        <v>83</v>
      </c>
    </row>
    <row r="22" spans="1:19" x14ac:dyDescent="0.25">
      <c r="A22" s="1">
        <v>20</v>
      </c>
      <c r="B22" t="s">
        <v>84</v>
      </c>
      <c r="C22">
        <v>45.046777520511903</v>
      </c>
      <c r="D22">
        <v>-30.9498434726661</v>
      </c>
      <c r="E22" t="s">
        <v>20</v>
      </c>
      <c r="F22">
        <v>2.1493805440395239E-2</v>
      </c>
      <c r="G22">
        <v>0.47002208600307882</v>
      </c>
      <c r="H22">
        <v>1.0796668581275131</v>
      </c>
      <c r="I22">
        <v>-32.15670983849575</v>
      </c>
      <c r="J22">
        <v>2006</v>
      </c>
      <c r="K22">
        <v>556</v>
      </c>
      <c r="N22">
        <v>23</v>
      </c>
      <c r="P22" t="s">
        <v>63</v>
      </c>
      <c r="Q22" t="s">
        <v>85</v>
      </c>
      <c r="R22" t="s">
        <v>86</v>
      </c>
      <c r="S22" t="s">
        <v>87</v>
      </c>
    </row>
    <row r="23" spans="1:19" x14ac:dyDescent="0.25">
      <c r="A23" s="1">
        <v>21</v>
      </c>
      <c r="B23" t="s">
        <v>88</v>
      </c>
      <c r="C23">
        <v>43.339256273604498</v>
      </c>
      <c r="D23">
        <v>-31.725695194008502</v>
      </c>
      <c r="E23" t="s">
        <v>20</v>
      </c>
      <c r="F23">
        <v>2.3014835938667141E-2</v>
      </c>
      <c r="G23">
        <v>0.40932675336593821</v>
      </c>
      <c r="H23">
        <v>2.58</v>
      </c>
      <c r="I23">
        <v>-31.98</v>
      </c>
      <c r="J23">
        <v>2006</v>
      </c>
      <c r="K23">
        <v>546</v>
      </c>
      <c r="N23">
        <v>22</v>
      </c>
      <c r="P23" t="s">
        <v>37</v>
      </c>
      <c r="Q23">
        <v>2049</v>
      </c>
      <c r="R23" t="s">
        <v>89</v>
      </c>
      <c r="S23" t="s">
        <v>90</v>
      </c>
    </row>
    <row r="24" spans="1:19" x14ac:dyDescent="0.25">
      <c r="A24" s="1">
        <v>22</v>
      </c>
      <c r="B24" t="s">
        <v>91</v>
      </c>
      <c r="C24">
        <v>43.502686300706301</v>
      </c>
      <c r="D24">
        <v>-28.615415378168599</v>
      </c>
      <c r="E24" t="s">
        <v>20</v>
      </c>
      <c r="F24">
        <v>1.493137378613984E-2</v>
      </c>
      <c r="G24">
        <v>0.44972323822735882</v>
      </c>
      <c r="H24">
        <v>2.14</v>
      </c>
      <c r="I24">
        <v>-30.33</v>
      </c>
      <c r="J24">
        <v>2006</v>
      </c>
      <c r="K24">
        <v>525</v>
      </c>
      <c r="N24">
        <v>22</v>
      </c>
      <c r="O24">
        <v>8948</v>
      </c>
      <c r="P24" t="s">
        <v>92</v>
      </c>
    </row>
    <row r="25" spans="1:19" x14ac:dyDescent="0.25">
      <c r="A25" s="1">
        <v>23</v>
      </c>
      <c r="B25" t="s">
        <v>93</v>
      </c>
      <c r="C25">
        <v>42.900781046087801</v>
      </c>
      <c r="D25">
        <v>-31.008433649390799</v>
      </c>
      <c r="E25" t="s">
        <v>20</v>
      </c>
      <c r="F25">
        <v>1.938491045921905E-2</v>
      </c>
      <c r="G25">
        <v>0.44806258942501692</v>
      </c>
      <c r="H25">
        <v>0.21311944718657441</v>
      </c>
      <c r="I25">
        <v>-32.381634884312227</v>
      </c>
      <c r="J25">
        <v>2006</v>
      </c>
      <c r="K25">
        <v>762</v>
      </c>
      <c r="N25">
        <v>29</v>
      </c>
      <c r="P25" t="s">
        <v>55</v>
      </c>
      <c r="Q25" t="s">
        <v>94</v>
      </c>
      <c r="R25" t="s">
        <v>95</v>
      </c>
      <c r="S25" t="s">
        <v>96</v>
      </c>
    </row>
    <row r="26" spans="1:19" x14ac:dyDescent="0.25">
      <c r="A26" s="1">
        <v>24</v>
      </c>
      <c r="B26" t="s">
        <v>97</v>
      </c>
      <c r="C26">
        <v>44.284787471556001</v>
      </c>
      <c r="D26">
        <v>-30.876653766795599</v>
      </c>
      <c r="E26" t="s">
        <v>20</v>
      </c>
      <c r="F26">
        <v>2.5191474730759719E-2</v>
      </c>
      <c r="G26">
        <v>0.43892436325319623</v>
      </c>
      <c r="H26">
        <v>3.4175419545903249</v>
      </c>
      <c r="I26">
        <v>-32.618593948639713</v>
      </c>
      <c r="J26">
        <v>2006</v>
      </c>
      <c r="K26">
        <v>793</v>
      </c>
      <c r="N26">
        <v>29</v>
      </c>
      <c r="P26" t="s">
        <v>72</v>
      </c>
      <c r="Q26">
        <f>3789</f>
        <v>3789</v>
      </c>
      <c r="R26" t="s">
        <v>98</v>
      </c>
      <c r="S26" t="s">
        <v>99</v>
      </c>
    </row>
    <row r="27" spans="1:19" x14ac:dyDescent="0.25">
      <c r="A27" s="1">
        <v>25</v>
      </c>
      <c r="B27" t="s">
        <v>100</v>
      </c>
      <c r="C27">
        <v>44.762853429419103</v>
      </c>
      <c r="D27">
        <v>-31.134530570898701</v>
      </c>
      <c r="E27" t="s">
        <v>20</v>
      </c>
      <c r="F27">
        <v>2.9330850637804339E-2</v>
      </c>
      <c r="G27">
        <v>0.45247648013948211</v>
      </c>
      <c r="H27">
        <v>2.99</v>
      </c>
      <c r="I27">
        <v>-32.340000000000003</v>
      </c>
      <c r="J27">
        <v>2006</v>
      </c>
      <c r="K27">
        <v>541</v>
      </c>
      <c r="N27">
        <v>22</v>
      </c>
      <c r="P27" t="s">
        <v>101</v>
      </c>
      <c r="Q27">
        <v>2053</v>
      </c>
      <c r="R27" t="s">
        <v>102</v>
      </c>
      <c r="S27" t="s">
        <v>103</v>
      </c>
    </row>
    <row r="28" spans="1:19" x14ac:dyDescent="0.25">
      <c r="A28" s="1">
        <v>26</v>
      </c>
      <c r="B28" t="s">
        <v>104</v>
      </c>
      <c r="C28">
        <v>42.112833433202802</v>
      </c>
      <c r="D28">
        <v>-31.3205747520526</v>
      </c>
      <c r="E28" t="s">
        <v>20</v>
      </c>
      <c r="F28">
        <v>1.7987268406144209E-2</v>
      </c>
      <c r="G28">
        <v>0.39199016801452963</v>
      </c>
      <c r="H28">
        <v>0.66</v>
      </c>
      <c r="I28">
        <v>-31.65</v>
      </c>
      <c r="J28">
        <v>2006</v>
      </c>
      <c r="K28">
        <v>580</v>
      </c>
      <c r="N28">
        <v>24</v>
      </c>
      <c r="O28">
        <v>8641</v>
      </c>
      <c r="P28" t="s">
        <v>105</v>
      </c>
      <c r="R28" t="s">
        <v>106</v>
      </c>
      <c r="S28" t="s">
        <v>107</v>
      </c>
    </row>
    <row r="29" spans="1:19" x14ac:dyDescent="0.25">
      <c r="A29" s="1">
        <v>27</v>
      </c>
      <c r="B29" t="s">
        <v>108</v>
      </c>
      <c r="C29">
        <v>44.1163789549339</v>
      </c>
      <c r="D29">
        <v>-31.519363565991501</v>
      </c>
      <c r="E29" t="s">
        <v>20</v>
      </c>
      <c r="F29">
        <v>1.6982228424692009E-2</v>
      </c>
      <c r="G29">
        <v>0.44124958010379151</v>
      </c>
      <c r="H29">
        <v>-2.14</v>
      </c>
      <c r="I29">
        <v>-32.909999999999997</v>
      </c>
      <c r="J29">
        <v>2006</v>
      </c>
      <c r="K29">
        <v>585</v>
      </c>
      <c r="N29">
        <v>24</v>
      </c>
      <c r="O29">
        <v>8639</v>
      </c>
      <c r="P29" t="s">
        <v>55</v>
      </c>
      <c r="Q29">
        <v>2083</v>
      </c>
      <c r="R29" t="s">
        <v>95</v>
      </c>
      <c r="S29" t="s">
        <v>109</v>
      </c>
    </row>
    <row r="30" spans="1:19" x14ac:dyDescent="0.25">
      <c r="A30" s="1">
        <v>28</v>
      </c>
      <c r="B30" t="s">
        <v>110</v>
      </c>
      <c r="C30">
        <v>44.308721532999499</v>
      </c>
      <c r="D30">
        <v>-29.536353883922299</v>
      </c>
      <c r="E30" t="s">
        <v>20</v>
      </c>
      <c r="F30">
        <v>2.6297214060057639E-2</v>
      </c>
      <c r="G30">
        <v>0.41389200937081</v>
      </c>
      <c r="H30">
        <v>4.5199999999999996</v>
      </c>
      <c r="I30">
        <v>-30.8</v>
      </c>
      <c r="J30">
        <v>2006</v>
      </c>
      <c r="K30">
        <v>522</v>
      </c>
      <c r="N30">
        <v>22</v>
      </c>
      <c r="P30" t="s">
        <v>111</v>
      </c>
      <c r="Q30" t="s">
        <v>112</v>
      </c>
      <c r="R30" t="s">
        <v>113</v>
      </c>
      <c r="S30" t="s">
        <v>114</v>
      </c>
    </row>
    <row r="31" spans="1:19" x14ac:dyDescent="0.25">
      <c r="A31" s="1">
        <v>29</v>
      </c>
      <c r="B31" t="s">
        <v>115</v>
      </c>
      <c r="C31">
        <v>44.360028413634097</v>
      </c>
      <c r="D31">
        <v>-29.1569031533291</v>
      </c>
      <c r="E31" t="s">
        <v>20</v>
      </c>
      <c r="F31">
        <v>1.449108009791741E-2</v>
      </c>
      <c r="G31">
        <v>0.42718894690307652</v>
      </c>
      <c r="H31">
        <v>-2.9592533026995982</v>
      </c>
      <c r="I31">
        <v>-29.61407115549661</v>
      </c>
      <c r="J31">
        <v>2006</v>
      </c>
      <c r="K31">
        <v>598</v>
      </c>
      <c r="N31">
        <v>24</v>
      </c>
      <c r="O31">
        <v>8651</v>
      </c>
      <c r="P31" t="s">
        <v>116</v>
      </c>
      <c r="Q31">
        <v>2069</v>
      </c>
      <c r="R31" t="s">
        <v>117</v>
      </c>
      <c r="S31" t="s">
        <v>118</v>
      </c>
    </row>
    <row r="32" spans="1:19" x14ac:dyDescent="0.25">
      <c r="A32" s="1">
        <v>30</v>
      </c>
      <c r="B32" t="s">
        <v>119</v>
      </c>
      <c r="C32">
        <v>45.169726088554597</v>
      </c>
      <c r="D32">
        <v>-27.895196052994901</v>
      </c>
      <c r="E32" t="s">
        <v>20</v>
      </c>
      <c r="F32">
        <v>1.605533186563507E-2</v>
      </c>
      <c r="G32">
        <v>0.37885113135527598</v>
      </c>
      <c r="H32">
        <v>-0.99128087306145918</v>
      </c>
      <c r="I32">
        <v>-29.59412889131622</v>
      </c>
      <c r="J32">
        <v>2006</v>
      </c>
      <c r="K32">
        <v>611</v>
      </c>
      <c r="N32">
        <v>24</v>
      </c>
      <c r="O32">
        <v>8643</v>
      </c>
      <c r="P32" t="s">
        <v>26</v>
      </c>
      <c r="Q32">
        <v>2067</v>
      </c>
    </row>
    <row r="33" spans="1:19" x14ac:dyDescent="0.25">
      <c r="A33" s="1">
        <v>31</v>
      </c>
      <c r="B33" t="s">
        <v>120</v>
      </c>
      <c r="C33">
        <v>43.5287581436233</v>
      </c>
      <c r="D33">
        <v>-31.4707104604046</v>
      </c>
      <c r="E33" t="s">
        <v>20</v>
      </c>
      <c r="F33">
        <v>1.8333119341279909E-2</v>
      </c>
      <c r="G33">
        <v>0.34894758223421302</v>
      </c>
      <c r="H33">
        <v>1.171200459506031</v>
      </c>
      <c r="I33">
        <v>-31.807720215339</v>
      </c>
      <c r="J33">
        <v>2006</v>
      </c>
      <c r="K33">
        <v>794</v>
      </c>
      <c r="N33">
        <v>29</v>
      </c>
      <c r="P33" t="s">
        <v>105</v>
      </c>
      <c r="Q33" t="s">
        <v>121</v>
      </c>
      <c r="R33" t="s">
        <v>106</v>
      </c>
      <c r="S33" t="s">
        <v>122</v>
      </c>
    </row>
    <row r="34" spans="1:19" x14ac:dyDescent="0.25">
      <c r="A34" s="1">
        <v>32</v>
      </c>
      <c r="B34" t="s">
        <v>123</v>
      </c>
      <c r="C34">
        <v>43.963143136793299</v>
      </c>
      <c r="D34">
        <v>-30.157319936230799</v>
      </c>
      <c r="E34" t="s">
        <v>20</v>
      </c>
      <c r="F34">
        <v>2.7024425733785891E-2</v>
      </c>
      <c r="G34">
        <v>0.45603089407575548</v>
      </c>
      <c r="H34">
        <v>4.8832872655478772</v>
      </c>
      <c r="I34">
        <v>-32.2683066361556</v>
      </c>
      <c r="J34">
        <v>2006</v>
      </c>
      <c r="K34">
        <v>779</v>
      </c>
      <c r="N34">
        <v>29</v>
      </c>
      <c r="P34" t="s">
        <v>72</v>
      </c>
      <c r="Q34" t="s">
        <v>124</v>
      </c>
      <c r="R34" t="s">
        <v>98</v>
      </c>
    </row>
    <row r="35" spans="1:19" x14ac:dyDescent="0.25">
      <c r="A35" s="1">
        <v>33</v>
      </c>
      <c r="B35" t="s">
        <v>125</v>
      </c>
      <c r="C35">
        <v>43.476765728699498</v>
      </c>
      <c r="D35">
        <v>-28.632139376757902</v>
      </c>
      <c r="E35" t="s">
        <v>20</v>
      </c>
      <c r="F35">
        <v>2.3648529314348909E-2</v>
      </c>
      <c r="G35">
        <v>0.48773999964737991</v>
      </c>
      <c r="H35">
        <v>-0.98</v>
      </c>
      <c r="I35">
        <v>-31.22</v>
      </c>
      <c r="J35">
        <v>2006</v>
      </c>
      <c r="K35">
        <v>537</v>
      </c>
      <c r="N35">
        <v>22</v>
      </c>
      <c r="O35">
        <v>8957</v>
      </c>
      <c r="P35" t="s">
        <v>63</v>
      </c>
      <c r="Q35">
        <v>2047</v>
      </c>
      <c r="R35" t="s">
        <v>64</v>
      </c>
      <c r="S35" t="s">
        <v>59</v>
      </c>
    </row>
    <row r="36" spans="1:19" x14ac:dyDescent="0.25">
      <c r="A36" s="1">
        <v>34</v>
      </c>
      <c r="B36" t="s">
        <v>126</v>
      </c>
      <c r="C36">
        <v>47.992962487033303</v>
      </c>
      <c r="D36">
        <v>-30.2274375568906</v>
      </c>
      <c r="E36" t="s">
        <v>20</v>
      </c>
      <c r="F36">
        <v>1.3820598509568349E-2</v>
      </c>
      <c r="G36">
        <v>0.45460283148456532</v>
      </c>
      <c r="H36">
        <v>0.3</v>
      </c>
      <c r="I36">
        <v>-32.549999999999997</v>
      </c>
      <c r="J36">
        <v>2006</v>
      </c>
      <c r="K36">
        <v>548</v>
      </c>
      <c r="N36">
        <v>22</v>
      </c>
      <c r="P36" t="s">
        <v>51</v>
      </c>
      <c r="Q36" t="s">
        <v>127</v>
      </c>
      <c r="R36" t="s">
        <v>128</v>
      </c>
      <c r="S36" t="s">
        <v>129</v>
      </c>
    </row>
    <row r="37" spans="1:19" x14ac:dyDescent="0.25">
      <c r="A37" s="1">
        <v>35</v>
      </c>
      <c r="B37" t="s">
        <v>130</v>
      </c>
      <c r="C37">
        <v>43.455890312135899</v>
      </c>
      <c r="D37">
        <v>-29.035328244929701</v>
      </c>
      <c r="E37" t="s">
        <v>20</v>
      </c>
      <c r="F37">
        <v>3.4360255778256368E-2</v>
      </c>
      <c r="G37">
        <v>0.4726888591846104</v>
      </c>
      <c r="H37">
        <v>-0.22</v>
      </c>
      <c r="I37">
        <v>-31.74</v>
      </c>
      <c r="J37">
        <v>2006</v>
      </c>
      <c r="K37">
        <v>592</v>
      </c>
      <c r="N37">
        <v>24</v>
      </c>
      <c r="O37">
        <v>8656</v>
      </c>
      <c r="P37" t="s">
        <v>28</v>
      </c>
      <c r="Q37">
        <v>3686</v>
      </c>
    </row>
    <row r="38" spans="1:19" x14ac:dyDescent="0.25">
      <c r="A38" s="1">
        <v>36</v>
      </c>
      <c r="B38" t="s">
        <v>131</v>
      </c>
      <c r="C38">
        <v>43.7746904746501</v>
      </c>
      <c r="D38">
        <v>-30.655793740004398</v>
      </c>
      <c r="E38" t="s">
        <v>20</v>
      </c>
      <c r="F38">
        <v>1.4401194443295439E-2</v>
      </c>
      <c r="G38">
        <v>0.45831377390414568</v>
      </c>
      <c r="H38">
        <v>-0.85</v>
      </c>
      <c r="I38">
        <v>-32.36</v>
      </c>
      <c r="J38">
        <v>2006</v>
      </c>
      <c r="K38">
        <v>584</v>
      </c>
      <c r="N38">
        <v>24</v>
      </c>
      <c r="P38" t="s">
        <v>132</v>
      </c>
      <c r="Q38">
        <v>2079</v>
      </c>
    </row>
    <row r="39" spans="1:19" x14ac:dyDescent="0.25">
      <c r="A39" s="1">
        <v>37</v>
      </c>
      <c r="B39" t="s">
        <v>131</v>
      </c>
      <c r="C39">
        <v>43.7746904746501</v>
      </c>
      <c r="D39">
        <v>-30.655793740004398</v>
      </c>
      <c r="E39" t="s">
        <v>20</v>
      </c>
      <c r="F39">
        <v>1.4401194443295439E-2</v>
      </c>
      <c r="G39">
        <v>0.45831377390414568</v>
      </c>
      <c r="H39">
        <v>-0.85</v>
      </c>
      <c r="I39">
        <v>-32.36</v>
      </c>
      <c r="J39">
        <v>2006</v>
      </c>
      <c r="K39">
        <v>584</v>
      </c>
      <c r="N39">
        <v>24</v>
      </c>
      <c r="O39">
        <v>8640</v>
      </c>
      <c r="P39" t="s">
        <v>132</v>
      </c>
    </row>
    <row r="40" spans="1:19" x14ac:dyDescent="0.25">
      <c r="A40" s="1">
        <v>38</v>
      </c>
      <c r="B40" t="s">
        <v>133</v>
      </c>
      <c r="C40">
        <v>45.804659120635002</v>
      </c>
      <c r="D40">
        <v>-30.1744819622071</v>
      </c>
      <c r="E40" t="s">
        <v>20</v>
      </c>
      <c r="F40">
        <v>2.3597419810005911E-2</v>
      </c>
      <c r="G40">
        <v>0.47361849487058699</v>
      </c>
      <c r="H40">
        <v>2.76</v>
      </c>
      <c r="I40">
        <v>-31.05</v>
      </c>
      <c r="J40">
        <v>2006</v>
      </c>
      <c r="K40">
        <v>535</v>
      </c>
      <c r="N40">
        <v>22</v>
      </c>
      <c r="O40">
        <v>8955</v>
      </c>
      <c r="P40" t="s">
        <v>111</v>
      </c>
      <c r="Q40">
        <v>2045</v>
      </c>
      <c r="R40" t="s">
        <v>113</v>
      </c>
      <c r="S40" t="s">
        <v>114</v>
      </c>
    </row>
    <row r="41" spans="1:19" x14ac:dyDescent="0.25">
      <c r="A41" s="1">
        <v>39</v>
      </c>
      <c r="B41" t="s">
        <v>134</v>
      </c>
      <c r="F41">
        <v>2.0258811121667799E-2</v>
      </c>
      <c r="G41">
        <v>0.45353378855118431</v>
      </c>
      <c r="H41">
        <v>0.21009764503159081</v>
      </c>
      <c r="I41">
        <v>-33.004256066162128</v>
      </c>
      <c r="J41">
        <v>2006</v>
      </c>
      <c r="K41">
        <v>565</v>
      </c>
      <c r="N41">
        <v>23</v>
      </c>
      <c r="O41">
        <v>8972</v>
      </c>
      <c r="P41" t="s">
        <v>101</v>
      </c>
      <c r="R41" t="s">
        <v>102</v>
      </c>
      <c r="S41" t="s">
        <v>135</v>
      </c>
    </row>
    <row r="42" spans="1:19" x14ac:dyDescent="0.25">
      <c r="A42" s="1">
        <v>40</v>
      </c>
      <c r="B42" t="s">
        <v>134</v>
      </c>
      <c r="C42">
        <v>0.43680000000000002</v>
      </c>
      <c r="D42">
        <v>-32.44</v>
      </c>
      <c r="E42" t="s">
        <v>20</v>
      </c>
      <c r="J42">
        <v>2006</v>
      </c>
      <c r="K42">
        <v>565</v>
      </c>
      <c r="N42">
        <v>23</v>
      </c>
      <c r="O42">
        <v>8972</v>
      </c>
      <c r="P42" t="s">
        <v>101</v>
      </c>
      <c r="R42" t="s">
        <v>102</v>
      </c>
      <c r="S42" t="s">
        <v>135</v>
      </c>
    </row>
    <row r="43" spans="1:19" x14ac:dyDescent="0.25">
      <c r="A43" s="1">
        <v>41</v>
      </c>
      <c r="B43" t="s">
        <v>136</v>
      </c>
      <c r="F43">
        <v>2.7312502259241579E-2</v>
      </c>
      <c r="G43">
        <v>0.42488119270369518</v>
      </c>
      <c r="H43">
        <v>1.4114761631246411</v>
      </c>
      <c r="I43">
        <v>-32.665237575095567</v>
      </c>
      <c r="J43">
        <v>2006</v>
      </c>
      <c r="K43">
        <v>578</v>
      </c>
      <c r="N43">
        <v>23</v>
      </c>
      <c r="P43" t="s">
        <v>72</v>
      </c>
      <c r="Q43" t="s">
        <v>137</v>
      </c>
      <c r="R43" t="s">
        <v>98</v>
      </c>
      <c r="S43" t="s">
        <v>138</v>
      </c>
    </row>
    <row r="44" spans="1:19" x14ac:dyDescent="0.25">
      <c r="A44" s="1">
        <v>42</v>
      </c>
      <c r="B44" t="s">
        <v>136</v>
      </c>
      <c r="C44">
        <v>0.34960000000000002</v>
      </c>
      <c r="D44">
        <v>-30.42</v>
      </c>
      <c r="E44" t="s">
        <v>20</v>
      </c>
      <c r="J44">
        <v>2006</v>
      </c>
      <c r="K44">
        <v>578</v>
      </c>
      <c r="N44">
        <v>23</v>
      </c>
      <c r="P44" t="s">
        <v>72</v>
      </c>
      <c r="Q44" t="s">
        <v>137</v>
      </c>
      <c r="R44" t="s">
        <v>98</v>
      </c>
      <c r="S44" t="s">
        <v>138</v>
      </c>
    </row>
    <row r="45" spans="1:19" x14ac:dyDescent="0.25">
      <c r="A45" s="1">
        <v>43</v>
      </c>
      <c r="B45" t="s">
        <v>139</v>
      </c>
      <c r="F45">
        <v>1.8864226370283319E-2</v>
      </c>
      <c r="G45">
        <v>0.44569814160182247</v>
      </c>
      <c r="H45">
        <v>-0.59556762092793702</v>
      </c>
      <c r="I45">
        <v>-32.391937452326459</v>
      </c>
      <c r="J45">
        <v>2006</v>
      </c>
      <c r="K45">
        <v>566</v>
      </c>
      <c r="N45">
        <v>23</v>
      </c>
      <c r="O45">
        <v>8631</v>
      </c>
      <c r="P45" t="s">
        <v>28</v>
      </c>
      <c r="Q45" t="s">
        <v>140</v>
      </c>
      <c r="R45" t="s">
        <v>141</v>
      </c>
      <c r="S45" t="s">
        <v>142</v>
      </c>
    </row>
    <row r="46" spans="1:19" x14ac:dyDescent="0.25">
      <c r="A46" s="1">
        <v>44</v>
      </c>
      <c r="B46" t="s">
        <v>139</v>
      </c>
      <c r="C46">
        <v>0.44990000000000002</v>
      </c>
      <c r="D46">
        <v>-32.799999999999997</v>
      </c>
      <c r="E46" t="s">
        <v>20</v>
      </c>
      <c r="J46">
        <v>2006</v>
      </c>
      <c r="K46">
        <v>566</v>
      </c>
      <c r="N46">
        <v>23</v>
      </c>
      <c r="O46">
        <v>8631</v>
      </c>
      <c r="P46" t="s">
        <v>28</v>
      </c>
      <c r="Q46" t="s">
        <v>140</v>
      </c>
      <c r="R46" t="s">
        <v>141</v>
      </c>
      <c r="S46" t="s">
        <v>142</v>
      </c>
    </row>
    <row r="47" spans="1:19" x14ac:dyDescent="0.25">
      <c r="A47" s="1">
        <v>45</v>
      </c>
      <c r="B47" t="s">
        <v>143</v>
      </c>
      <c r="F47">
        <v>1.7992371587603528E-2</v>
      </c>
      <c r="G47">
        <v>0.38543766644987731</v>
      </c>
      <c r="H47">
        <v>1.2745212240868711</v>
      </c>
      <c r="I47">
        <v>-33.113117213323157</v>
      </c>
      <c r="J47">
        <v>2006</v>
      </c>
      <c r="K47">
        <v>792</v>
      </c>
      <c r="N47">
        <v>29</v>
      </c>
      <c r="P47" t="s">
        <v>144</v>
      </c>
      <c r="Q47" t="s">
        <v>145</v>
      </c>
      <c r="R47" t="s">
        <v>146</v>
      </c>
      <c r="S47" t="s">
        <v>147</v>
      </c>
    </row>
    <row r="48" spans="1:19" x14ac:dyDescent="0.25">
      <c r="A48" s="1">
        <v>46</v>
      </c>
      <c r="B48" t="s">
        <v>143</v>
      </c>
      <c r="C48">
        <v>0.37659999999999999</v>
      </c>
      <c r="D48">
        <v>-32.340000000000003</v>
      </c>
      <c r="E48" t="s">
        <v>20</v>
      </c>
      <c r="J48">
        <v>2006</v>
      </c>
      <c r="K48">
        <v>792</v>
      </c>
      <c r="N48">
        <v>29</v>
      </c>
      <c r="P48" t="s">
        <v>144</v>
      </c>
      <c r="Q48" t="s">
        <v>145</v>
      </c>
      <c r="R48" t="s">
        <v>146</v>
      </c>
      <c r="S48" t="s">
        <v>147</v>
      </c>
    </row>
    <row r="49" spans="1:20" x14ac:dyDescent="0.25">
      <c r="A49" s="1">
        <v>47</v>
      </c>
      <c r="B49" t="s">
        <v>148</v>
      </c>
      <c r="C49">
        <v>45.865248457425999</v>
      </c>
      <c r="D49">
        <v>-31.089083286723302</v>
      </c>
      <c r="E49" t="s">
        <v>149</v>
      </c>
      <c r="F49">
        <v>1.7690609853163428E-2</v>
      </c>
      <c r="G49">
        <v>0.46326503351312509</v>
      </c>
      <c r="H49">
        <v>-4.4269772205602393</v>
      </c>
      <c r="I49">
        <v>-34.236356386008893</v>
      </c>
      <c r="J49">
        <v>2006</v>
      </c>
      <c r="K49">
        <v>1465</v>
      </c>
      <c r="L49" t="s">
        <v>150</v>
      </c>
      <c r="N49">
        <v>50</v>
      </c>
      <c r="O49">
        <v>8778</v>
      </c>
      <c r="P49" t="s">
        <v>63</v>
      </c>
      <c r="Q49" t="s">
        <v>151</v>
      </c>
      <c r="R49" t="s">
        <v>152</v>
      </c>
      <c r="S49" t="s">
        <v>153</v>
      </c>
      <c r="T49">
        <v>3621</v>
      </c>
    </row>
    <row r="50" spans="1:20" x14ac:dyDescent="0.25">
      <c r="A50" s="1">
        <v>48</v>
      </c>
      <c r="B50" t="s">
        <v>148</v>
      </c>
      <c r="C50">
        <v>0.47170000000000001</v>
      </c>
      <c r="D50">
        <v>-32.07</v>
      </c>
      <c r="E50" t="s">
        <v>149</v>
      </c>
      <c r="F50">
        <v>1.7690609853163428E-2</v>
      </c>
      <c r="G50">
        <v>0.46326503351312509</v>
      </c>
      <c r="H50">
        <v>-4.4269772205602393</v>
      </c>
      <c r="I50">
        <v>-34.236356386008893</v>
      </c>
      <c r="J50">
        <v>2006</v>
      </c>
      <c r="K50">
        <v>1465</v>
      </c>
      <c r="L50" t="s">
        <v>150</v>
      </c>
      <c r="M50" t="s">
        <v>154</v>
      </c>
      <c r="N50">
        <v>50</v>
      </c>
      <c r="O50">
        <v>8778</v>
      </c>
      <c r="P50" t="s">
        <v>63</v>
      </c>
      <c r="Q50" t="s">
        <v>151</v>
      </c>
      <c r="R50" t="s">
        <v>152</v>
      </c>
      <c r="S50" t="s">
        <v>153</v>
      </c>
      <c r="T50">
        <v>3621</v>
      </c>
    </row>
    <row r="51" spans="1:20" x14ac:dyDescent="0.25">
      <c r="A51" s="1">
        <v>49</v>
      </c>
      <c r="B51" t="s">
        <v>155</v>
      </c>
      <c r="C51">
        <v>47.252744485790501</v>
      </c>
      <c r="D51">
        <v>-30.354804050332099</v>
      </c>
      <c r="E51" t="s">
        <v>149</v>
      </c>
      <c r="J51">
        <v>2006</v>
      </c>
      <c r="K51">
        <v>1813</v>
      </c>
      <c r="L51" t="s">
        <v>156</v>
      </c>
      <c r="N51">
        <v>60</v>
      </c>
      <c r="O51">
        <v>8763</v>
      </c>
      <c r="P51" t="s">
        <v>63</v>
      </c>
      <c r="Q51">
        <v>3657</v>
      </c>
      <c r="R51" t="s">
        <v>64</v>
      </c>
      <c r="S51" t="s">
        <v>157</v>
      </c>
      <c r="T51">
        <v>3657</v>
      </c>
    </row>
    <row r="52" spans="1:20" x14ac:dyDescent="0.25">
      <c r="A52" s="1">
        <v>50</v>
      </c>
      <c r="B52" t="s">
        <v>158</v>
      </c>
      <c r="C52">
        <v>45.383985815037903</v>
      </c>
      <c r="D52">
        <v>-30.250565026833801</v>
      </c>
      <c r="E52" t="s">
        <v>149</v>
      </c>
      <c r="F52">
        <v>1.487609002346248E-2</v>
      </c>
      <c r="G52">
        <v>0.43424471172885049</v>
      </c>
      <c r="H52">
        <v>-1.331882227663602</v>
      </c>
      <c r="I52">
        <v>-31.07423756468776</v>
      </c>
      <c r="J52">
        <v>2006</v>
      </c>
      <c r="K52">
        <v>596</v>
      </c>
      <c r="L52" t="s">
        <v>159</v>
      </c>
      <c r="N52">
        <v>24</v>
      </c>
      <c r="P52" t="s">
        <v>55</v>
      </c>
      <c r="Q52">
        <v>2070</v>
      </c>
      <c r="R52" t="s">
        <v>56</v>
      </c>
      <c r="T52">
        <v>2070</v>
      </c>
    </row>
    <row r="53" spans="1:20" x14ac:dyDescent="0.25">
      <c r="A53" s="1">
        <v>51</v>
      </c>
      <c r="B53" t="s">
        <v>160</v>
      </c>
      <c r="C53">
        <v>42.716448929474303</v>
      </c>
      <c r="D53">
        <v>-32.484236714031198</v>
      </c>
      <c r="E53" t="s">
        <v>149</v>
      </c>
      <c r="F53">
        <v>3.4031220944343972E-2</v>
      </c>
      <c r="G53">
        <v>0.46873542242261229</v>
      </c>
      <c r="H53">
        <v>1.412748422278423</v>
      </c>
      <c r="I53">
        <v>-34.176816415579118</v>
      </c>
      <c r="J53">
        <v>2006</v>
      </c>
      <c r="K53">
        <v>541</v>
      </c>
      <c r="L53" t="s">
        <v>161</v>
      </c>
      <c r="N53">
        <v>22</v>
      </c>
      <c r="P53" t="s">
        <v>101</v>
      </c>
      <c r="Q53">
        <v>2053</v>
      </c>
      <c r="R53" t="s">
        <v>102</v>
      </c>
      <c r="S53" t="s">
        <v>103</v>
      </c>
      <c r="T53">
        <v>2053</v>
      </c>
    </row>
    <row r="54" spans="1:20" x14ac:dyDescent="0.25">
      <c r="A54" s="1">
        <v>52</v>
      </c>
      <c r="B54" t="s">
        <v>162</v>
      </c>
      <c r="C54">
        <v>53.855735876496702</v>
      </c>
      <c r="D54">
        <v>-29.2935503374764</v>
      </c>
      <c r="E54" t="s">
        <v>149</v>
      </c>
      <c r="F54">
        <v>1.5762532711779121E-2</v>
      </c>
      <c r="G54">
        <v>0.51002283115668745</v>
      </c>
      <c r="H54">
        <v>-2.0118472038940389</v>
      </c>
      <c r="I54">
        <v>-29.804871188469502</v>
      </c>
      <c r="J54">
        <v>2006</v>
      </c>
      <c r="K54">
        <v>724</v>
      </c>
      <c r="L54" t="s">
        <v>163</v>
      </c>
      <c r="N54">
        <v>28</v>
      </c>
      <c r="P54" t="s">
        <v>164</v>
      </c>
      <c r="Q54" t="s">
        <v>165</v>
      </c>
      <c r="T54">
        <v>3600</v>
      </c>
    </row>
    <row r="55" spans="1:20" x14ac:dyDescent="0.25">
      <c r="A55" s="1">
        <v>53</v>
      </c>
      <c r="B55" t="s">
        <v>166</v>
      </c>
      <c r="C55">
        <v>42.946418229009801</v>
      </c>
      <c r="D55">
        <v>-30.601966729590298</v>
      </c>
      <c r="E55" t="s">
        <v>149</v>
      </c>
      <c r="F55">
        <v>2.4530099064084709E-2</v>
      </c>
      <c r="G55">
        <v>0.40123221386268948</v>
      </c>
      <c r="H55">
        <v>1.5116491360193409</v>
      </c>
      <c r="I55">
        <v>-32.071462340688782</v>
      </c>
      <c r="J55">
        <v>2006</v>
      </c>
      <c r="K55">
        <v>570</v>
      </c>
      <c r="L55" t="s">
        <v>167</v>
      </c>
      <c r="N55">
        <v>23</v>
      </c>
      <c r="O55">
        <v>8980</v>
      </c>
      <c r="P55" t="s">
        <v>105</v>
      </c>
      <c r="Q55" t="s">
        <v>168</v>
      </c>
      <c r="R55" t="s">
        <v>106</v>
      </c>
      <c r="S55" t="s">
        <v>122</v>
      </c>
      <c r="T55">
        <v>2034</v>
      </c>
    </row>
    <row r="56" spans="1:20" x14ac:dyDescent="0.25">
      <c r="A56" s="1">
        <v>54</v>
      </c>
      <c r="B56" t="s">
        <v>169</v>
      </c>
      <c r="C56">
        <v>46.851502319046197</v>
      </c>
      <c r="D56">
        <v>-27.713766736076298</v>
      </c>
      <c r="E56" t="s">
        <v>149</v>
      </c>
      <c r="F56">
        <v>1.873601190245858E-2</v>
      </c>
      <c r="G56">
        <v>0.48150561286662569</v>
      </c>
      <c r="H56">
        <v>-2.3421792215141122</v>
      </c>
      <c r="I56">
        <v>-29.09117693972884</v>
      </c>
      <c r="J56">
        <v>2006</v>
      </c>
      <c r="K56">
        <v>1486</v>
      </c>
      <c r="L56" t="s">
        <v>170</v>
      </c>
      <c r="N56">
        <v>50</v>
      </c>
      <c r="O56">
        <v>8615</v>
      </c>
      <c r="P56" t="s">
        <v>63</v>
      </c>
      <c r="Q56" t="s">
        <v>171</v>
      </c>
      <c r="R56" t="s">
        <v>64</v>
      </c>
      <c r="S56" t="s">
        <v>172</v>
      </c>
      <c r="T56">
        <v>3620</v>
      </c>
    </row>
    <row r="57" spans="1:20" x14ac:dyDescent="0.25">
      <c r="A57" s="1">
        <v>55</v>
      </c>
      <c r="B57" t="s">
        <v>169</v>
      </c>
      <c r="C57">
        <v>0.43869999999999998</v>
      </c>
      <c r="D57">
        <v>-27.97</v>
      </c>
      <c r="E57" t="s">
        <v>149</v>
      </c>
      <c r="F57">
        <v>1.873601190245858E-2</v>
      </c>
      <c r="G57">
        <v>0.48150561286662569</v>
      </c>
      <c r="H57">
        <v>-2.3421792215141122</v>
      </c>
      <c r="I57">
        <v>-29.09117693972884</v>
      </c>
      <c r="J57">
        <v>2006</v>
      </c>
      <c r="K57">
        <v>1486</v>
      </c>
      <c r="L57" t="s">
        <v>170</v>
      </c>
      <c r="M57" t="s">
        <v>154</v>
      </c>
      <c r="N57">
        <v>50</v>
      </c>
      <c r="O57">
        <v>8615</v>
      </c>
      <c r="P57" t="s">
        <v>63</v>
      </c>
      <c r="Q57" t="s">
        <v>171</v>
      </c>
      <c r="R57" t="s">
        <v>64</v>
      </c>
      <c r="S57" t="s">
        <v>172</v>
      </c>
      <c r="T57">
        <v>3620</v>
      </c>
    </row>
    <row r="58" spans="1:20" x14ac:dyDescent="0.25">
      <c r="A58" s="1">
        <v>56</v>
      </c>
      <c r="B58" t="s">
        <v>173</v>
      </c>
      <c r="C58">
        <v>45.322892425764699</v>
      </c>
      <c r="D58">
        <v>-31.399727617448399</v>
      </c>
      <c r="E58" t="s">
        <v>149</v>
      </c>
      <c r="F58">
        <v>2.0541725612458751E-2</v>
      </c>
      <c r="G58">
        <v>0.41935701834353678</v>
      </c>
      <c r="H58">
        <v>1.647029253240049</v>
      </c>
      <c r="I58">
        <v>-32.664840010297439</v>
      </c>
      <c r="J58">
        <v>2006</v>
      </c>
      <c r="K58">
        <v>1414</v>
      </c>
      <c r="L58" t="s">
        <v>174</v>
      </c>
      <c r="N58">
        <v>48</v>
      </c>
      <c r="O58">
        <v>8664</v>
      </c>
      <c r="P58" t="s">
        <v>105</v>
      </c>
      <c r="Q58" t="s">
        <v>175</v>
      </c>
      <c r="R58" t="s">
        <v>176</v>
      </c>
      <c r="S58" t="s">
        <v>177</v>
      </c>
      <c r="T58">
        <v>3710</v>
      </c>
    </row>
    <row r="59" spans="1:20" x14ac:dyDescent="0.25">
      <c r="A59" s="1">
        <v>57</v>
      </c>
      <c r="B59" t="s">
        <v>173</v>
      </c>
      <c r="C59">
        <v>0.45860000000000001</v>
      </c>
      <c r="D59">
        <v>-31.48</v>
      </c>
      <c r="E59" t="s">
        <v>149</v>
      </c>
      <c r="F59">
        <v>2.0541725612458751E-2</v>
      </c>
      <c r="G59">
        <v>0.41935701834353678</v>
      </c>
      <c r="H59">
        <v>1.647029253240049</v>
      </c>
      <c r="I59">
        <v>-32.664840010297439</v>
      </c>
      <c r="J59">
        <v>2006</v>
      </c>
      <c r="K59">
        <v>1414</v>
      </c>
      <c r="L59" t="s">
        <v>174</v>
      </c>
      <c r="M59" t="s">
        <v>154</v>
      </c>
      <c r="N59">
        <v>48</v>
      </c>
      <c r="O59">
        <v>8664</v>
      </c>
      <c r="P59" t="s">
        <v>105</v>
      </c>
      <c r="Q59" t="s">
        <v>175</v>
      </c>
      <c r="R59" t="s">
        <v>176</v>
      </c>
      <c r="S59" t="s">
        <v>177</v>
      </c>
      <c r="T59">
        <v>3710</v>
      </c>
    </row>
    <row r="60" spans="1:20" x14ac:dyDescent="0.25">
      <c r="A60" s="1">
        <v>58</v>
      </c>
      <c r="B60" t="s">
        <v>178</v>
      </c>
      <c r="C60">
        <v>44.557083575496499</v>
      </c>
      <c r="D60">
        <v>-30.5469976395168</v>
      </c>
      <c r="E60" t="s">
        <v>149</v>
      </c>
      <c r="F60">
        <v>2.1546793329058771E-2</v>
      </c>
      <c r="G60">
        <v>0.43713358695726168</v>
      </c>
      <c r="H60">
        <v>-3.349733870150454</v>
      </c>
      <c r="I60">
        <v>-31.441124783244391</v>
      </c>
      <c r="J60">
        <v>2006</v>
      </c>
      <c r="K60">
        <v>1896</v>
      </c>
      <c r="L60" t="s">
        <v>179</v>
      </c>
      <c r="N60">
        <v>62</v>
      </c>
      <c r="O60">
        <v>8904</v>
      </c>
      <c r="P60" t="s">
        <v>46</v>
      </c>
      <c r="Q60" t="s">
        <v>180</v>
      </c>
      <c r="R60" t="s">
        <v>58</v>
      </c>
      <c r="S60" t="s">
        <v>59</v>
      </c>
      <c r="T60">
        <v>2531</v>
      </c>
    </row>
    <row r="61" spans="1:20" x14ac:dyDescent="0.25">
      <c r="A61" s="1">
        <v>59</v>
      </c>
      <c r="B61" t="s">
        <v>181</v>
      </c>
      <c r="C61">
        <v>45.7823754579709</v>
      </c>
      <c r="D61">
        <v>-30.3566622790315</v>
      </c>
      <c r="E61" t="s">
        <v>149</v>
      </c>
      <c r="F61">
        <v>1.562973665591421E-2</v>
      </c>
      <c r="G61">
        <v>0.42405709759367272</v>
      </c>
      <c r="H61">
        <v>-1.136936408685826</v>
      </c>
      <c r="I61">
        <v>-32.459805026568439</v>
      </c>
      <c r="J61">
        <v>2006</v>
      </c>
      <c r="K61">
        <v>1807</v>
      </c>
      <c r="L61" t="s">
        <v>182</v>
      </c>
      <c r="N61">
        <v>60</v>
      </c>
      <c r="O61">
        <v>8769</v>
      </c>
      <c r="P61" t="s">
        <v>183</v>
      </c>
      <c r="Q61">
        <v>2525</v>
      </c>
      <c r="R61" t="s">
        <v>184</v>
      </c>
      <c r="T61">
        <v>2525</v>
      </c>
    </row>
    <row r="62" spans="1:20" x14ac:dyDescent="0.25">
      <c r="A62" s="1">
        <v>60</v>
      </c>
      <c r="B62" t="s">
        <v>185</v>
      </c>
      <c r="C62">
        <v>43.949669673037697</v>
      </c>
      <c r="D62">
        <v>-29.1318120030462</v>
      </c>
      <c r="E62" t="s">
        <v>149</v>
      </c>
      <c r="F62">
        <v>1.951861196058172E-2</v>
      </c>
      <c r="G62">
        <v>0.45700226760040008</v>
      </c>
      <c r="H62">
        <v>-1.1033387842223059</v>
      </c>
      <c r="I62">
        <v>-31.843661611785759</v>
      </c>
      <c r="J62">
        <v>2006</v>
      </c>
      <c r="K62">
        <v>1390</v>
      </c>
      <c r="L62" t="s">
        <v>186</v>
      </c>
      <c r="N62">
        <v>48</v>
      </c>
      <c r="O62">
        <v>8686</v>
      </c>
      <c r="P62" t="s">
        <v>67</v>
      </c>
      <c r="Q62" t="s">
        <v>187</v>
      </c>
      <c r="R62" t="s">
        <v>69</v>
      </c>
      <c r="S62" t="s">
        <v>188</v>
      </c>
      <c r="T62">
        <v>2456</v>
      </c>
    </row>
    <row r="63" spans="1:20" x14ac:dyDescent="0.25">
      <c r="A63" s="1">
        <v>61</v>
      </c>
      <c r="B63" t="s">
        <v>189</v>
      </c>
      <c r="C63">
        <v>45.440197288323297</v>
      </c>
      <c r="D63">
        <v>-27.1383504370339</v>
      </c>
      <c r="E63" t="s">
        <v>149</v>
      </c>
      <c r="F63">
        <v>2.1178655002042971E-2</v>
      </c>
      <c r="G63">
        <v>0.41043012685396107</v>
      </c>
      <c r="H63">
        <v>-1.4094927690383321</v>
      </c>
      <c r="I63">
        <v>-30.24337928677225</v>
      </c>
      <c r="J63">
        <v>2006</v>
      </c>
      <c r="K63">
        <v>1464</v>
      </c>
      <c r="L63" t="s">
        <v>190</v>
      </c>
      <c r="N63">
        <v>50</v>
      </c>
      <c r="O63">
        <v>8800</v>
      </c>
      <c r="P63" t="s">
        <v>191</v>
      </c>
      <c r="Q63" t="s">
        <v>192</v>
      </c>
      <c r="R63" t="s">
        <v>193</v>
      </c>
      <c r="S63" t="s">
        <v>194</v>
      </c>
      <c r="T63">
        <v>3625</v>
      </c>
    </row>
    <row r="64" spans="1:20" x14ac:dyDescent="0.25">
      <c r="A64" s="1">
        <v>62</v>
      </c>
      <c r="B64" t="s">
        <v>189</v>
      </c>
      <c r="C64">
        <v>0.47660000000000002</v>
      </c>
      <c r="D64">
        <v>-28.8</v>
      </c>
      <c r="E64" t="s">
        <v>149</v>
      </c>
      <c r="F64">
        <v>2.1178655002042971E-2</v>
      </c>
      <c r="G64">
        <v>0.41043012685396107</v>
      </c>
      <c r="H64">
        <v>-1.4094927690383321</v>
      </c>
      <c r="I64">
        <v>-30.24337928677225</v>
      </c>
      <c r="J64">
        <v>2006</v>
      </c>
      <c r="K64">
        <v>1464</v>
      </c>
      <c r="L64" t="s">
        <v>190</v>
      </c>
      <c r="M64" t="s">
        <v>154</v>
      </c>
      <c r="N64">
        <v>50</v>
      </c>
      <c r="O64">
        <v>8800</v>
      </c>
      <c r="P64" t="s">
        <v>191</v>
      </c>
      <c r="Q64" t="s">
        <v>192</v>
      </c>
      <c r="R64" t="s">
        <v>193</v>
      </c>
      <c r="S64" t="s">
        <v>194</v>
      </c>
      <c r="T64">
        <v>3625</v>
      </c>
    </row>
    <row r="65" spans="1:20" x14ac:dyDescent="0.25">
      <c r="A65" s="1">
        <v>63</v>
      </c>
      <c r="B65" t="s">
        <v>195</v>
      </c>
      <c r="C65">
        <v>44.355973403059998</v>
      </c>
      <c r="D65">
        <v>-27.1346821803577</v>
      </c>
      <c r="E65" t="s">
        <v>149</v>
      </c>
      <c r="F65">
        <v>1.9472054019085611E-2</v>
      </c>
      <c r="G65">
        <v>0.42220951649660338</v>
      </c>
      <c r="H65">
        <v>0.67362553283900084</v>
      </c>
      <c r="I65">
        <v>-28.50514298735331</v>
      </c>
      <c r="J65">
        <v>2006</v>
      </c>
      <c r="K65">
        <v>1400</v>
      </c>
      <c r="L65" t="s">
        <v>196</v>
      </c>
      <c r="N65">
        <v>48</v>
      </c>
      <c r="O65">
        <v>8672</v>
      </c>
      <c r="P65" t="s">
        <v>105</v>
      </c>
      <c r="Q65" t="s">
        <v>197</v>
      </c>
      <c r="R65" t="s">
        <v>198</v>
      </c>
      <c r="S65" t="s">
        <v>199</v>
      </c>
      <c r="T65">
        <v>3698</v>
      </c>
    </row>
    <row r="66" spans="1:20" x14ac:dyDescent="0.25">
      <c r="A66" s="1">
        <v>64</v>
      </c>
      <c r="B66" t="s">
        <v>200</v>
      </c>
      <c r="C66">
        <v>45.428059039828298</v>
      </c>
      <c r="D66">
        <v>-29.8839085881914</v>
      </c>
      <c r="E66" t="s">
        <v>149</v>
      </c>
      <c r="F66">
        <v>1.365803646719241E-2</v>
      </c>
      <c r="G66">
        <v>0.44126100301239612</v>
      </c>
      <c r="H66">
        <v>3.5320626053452209</v>
      </c>
      <c r="I66">
        <v>-30.283110402187539</v>
      </c>
      <c r="J66">
        <v>2006</v>
      </c>
      <c r="K66">
        <v>1495</v>
      </c>
      <c r="L66" t="s">
        <v>201</v>
      </c>
      <c r="N66">
        <v>50</v>
      </c>
      <c r="O66">
        <v>8609</v>
      </c>
      <c r="P66" t="s">
        <v>92</v>
      </c>
      <c r="Q66" t="s">
        <v>202</v>
      </c>
      <c r="R66" t="s">
        <v>203</v>
      </c>
      <c r="S66" t="s">
        <v>204</v>
      </c>
      <c r="T66">
        <v>3623</v>
      </c>
    </row>
    <row r="67" spans="1:20" x14ac:dyDescent="0.25">
      <c r="A67" s="1">
        <v>65</v>
      </c>
      <c r="B67" t="s">
        <v>200</v>
      </c>
      <c r="C67">
        <v>0.43509999999999999</v>
      </c>
      <c r="D67">
        <v>-30.54</v>
      </c>
      <c r="E67" t="s">
        <v>149</v>
      </c>
      <c r="F67">
        <v>1.365803646719241E-2</v>
      </c>
      <c r="G67">
        <v>0.44126100301239612</v>
      </c>
      <c r="H67">
        <v>3.5320626053452209</v>
      </c>
      <c r="I67">
        <v>-30.283110402187539</v>
      </c>
      <c r="J67">
        <v>2006</v>
      </c>
      <c r="K67">
        <v>1495</v>
      </c>
      <c r="L67" t="s">
        <v>201</v>
      </c>
      <c r="M67" t="s">
        <v>154</v>
      </c>
      <c r="N67">
        <v>50</v>
      </c>
      <c r="O67">
        <v>8609</v>
      </c>
      <c r="P67" t="s">
        <v>92</v>
      </c>
      <c r="Q67" t="s">
        <v>202</v>
      </c>
      <c r="R67" t="s">
        <v>203</v>
      </c>
      <c r="S67" t="s">
        <v>204</v>
      </c>
      <c r="T67">
        <v>3623</v>
      </c>
    </row>
    <row r="68" spans="1:20" x14ac:dyDescent="0.25">
      <c r="A68" s="1">
        <v>66</v>
      </c>
      <c r="B68" t="s">
        <v>205</v>
      </c>
      <c r="C68">
        <v>44.784671682932398</v>
      </c>
      <c r="D68">
        <v>-32.394564090872102</v>
      </c>
      <c r="E68" t="s">
        <v>149</v>
      </c>
      <c r="F68">
        <v>1.7093361871791779E-2</v>
      </c>
      <c r="G68">
        <v>0.47858579881889518</v>
      </c>
      <c r="H68">
        <v>-4.0695257395945887</v>
      </c>
      <c r="I68">
        <v>-33.67018799134101</v>
      </c>
      <c r="J68">
        <v>2006</v>
      </c>
      <c r="K68">
        <v>1804</v>
      </c>
      <c r="L68" t="s">
        <v>206</v>
      </c>
      <c r="N68">
        <v>60</v>
      </c>
      <c r="O68">
        <v>8777</v>
      </c>
      <c r="P68" t="s">
        <v>63</v>
      </c>
      <c r="Q68" t="s">
        <v>207</v>
      </c>
      <c r="R68" t="s">
        <v>64</v>
      </c>
      <c r="S68" t="s">
        <v>157</v>
      </c>
      <c r="T68">
        <v>3659</v>
      </c>
    </row>
    <row r="69" spans="1:20" x14ac:dyDescent="0.25">
      <c r="A69" s="1">
        <v>67</v>
      </c>
      <c r="B69" t="s">
        <v>205</v>
      </c>
      <c r="C69">
        <v>44.55</v>
      </c>
      <c r="D69">
        <v>-31.83</v>
      </c>
      <c r="E69" t="s">
        <v>149</v>
      </c>
      <c r="F69">
        <v>1.7093361871791779E-2</v>
      </c>
      <c r="G69">
        <v>0.47858579881889518</v>
      </c>
      <c r="H69">
        <v>-4.0695257395945887</v>
      </c>
      <c r="I69">
        <v>-33.67018799134101</v>
      </c>
      <c r="J69">
        <v>2006</v>
      </c>
      <c r="K69">
        <v>1804</v>
      </c>
      <c r="L69" t="s">
        <v>206</v>
      </c>
      <c r="N69">
        <v>60</v>
      </c>
      <c r="O69">
        <v>8777</v>
      </c>
      <c r="P69" t="s">
        <v>63</v>
      </c>
      <c r="Q69" t="s">
        <v>207</v>
      </c>
      <c r="R69" t="s">
        <v>64</v>
      </c>
      <c r="S69" t="s">
        <v>157</v>
      </c>
      <c r="T69">
        <v>3659</v>
      </c>
    </row>
    <row r="70" spans="1:20" x14ac:dyDescent="0.25">
      <c r="A70" s="1">
        <v>68</v>
      </c>
      <c r="B70" t="s">
        <v>208</v>
      </c>
      <c r="C70">
        <v>43.84</v>
      </c>
      <c r="D70">
        <v>-32.97</v>
      </c>
      <c r="E70" t="s">
        <v>149</v>
      </c>
      <c r="F70">
        <v>2.6113819475223898E-2</v>
      </c>
      <c r="G70">
        <v>0.421456637289846</v>
      </c>
      <c r="H70">
        <v>-1.445603194680241</v>
      </c>
      <c r="I70">
        <v>-32.527918423151412</v>
      </c>
      <c r="J70">
        <v>2006</v>
      </c>
      <c r="K70">
        <v>1882</v>
      </c>
      <c r="L70" t="s">
        <v>209</v>
      </c>
      <c r="N70">
        <v>62</v>
      </c>
      <c r="O70">
        <v>8909</v>
      </c>
      <c r="P70" t="s">
        <v>210</v>
      </c>
      <c r="Q70" t="s">
        <v>211</v>
      </c>
      <c r="R70" t="s">
        <v>212</v>
      </c>
      <c r="S70" t="s">
        <v>213</v>
      </c>
      <c r="T70">
        <v>2529</v>
      </c>
    </row>
    <row r="71" spans="1:20" x14ac:dyDescent="0.25">
      <c r="A71" s="1">
        <v>69</v>
      </c>
      <c r="B71" t="s">
        <v>208</v>
      </c>
      <c r="C71">
        <v>43.84</v>
      </c>
      <c r="D71">
        <v>-32.97</v>
      </c>
      <c r="E71" t="s">
        <v>149</v>
      </c>
      <c r="F71">
        <v>2.658083087492211E-2</v>
      </c>
      <c r="G71">
        <v>0.43253416750599188</v>
      </c>
      <c r="H71">
        <v>-1.0574736824015349</v>
      </c>
      <c r="I71">
        <v>-32.806341896659973</v>
      </c>
      <c r="J71">
        <v>2006</v>
      </c>
      <c r="K71">
        <v>1882</v>
      </c>
      <c r="L71" t="s">
        <v>209</v>
      </c>
      <c r="N71">
        <v>62</v>
      </c>
      <c r="O71">
        <v>8909</v>
      </c>
      <c r="P71" t="s">
        <v>210</v>
      </c>
      <c r="Q71" t="s">
        <v>211</v>
      </c>
      <c r="R71" t="s">
        <v>212</v>
      </c>
      <c r="S71" t="s">
        <v>213</v>
      </c>
      <c r="T71">
        <v>2529</v>
      </c>
    </row>
    <row r="72" spans="1:20" x14ac:dyDescent="0.25">
      <c r="A72" s="1">
        <v>70</v>
      </c>
      <c r="B72" t="s">
        <v>214</v>
      </c>
      <c r="C72">
        <v>45.67</v>
      </c>
      <c r="D72">
        <v>-30.58</v>
      </c>
      <c r="E72" t="s">
        <v>149</v>
      </c>
      <c r="F72">
        <v>1.4443878559852441E-2</v>
      </c>
      <c r="G72">
        <v>0.49986388954193789</v>
      </c>
      <c r="H72">
        <v>-3.1977412440287551</v>
      </c>
      <c r="I72">
        <v>-30.889009912270708</v>
      </c>
      <c r="J72">
        <v>2006</v>
      </c>
      <c r="K72">
        <v>1894</v>
      </c>
      <c r="L72" t="s">
        <v>215</v>
      </c>
      <c r="N72">
        <v>62</v>
      </c>
      <c r="P72" t="s">
        <v>63</v>
      </c>
      <c r="Q72" t="s">
        <v>216</v>
      </c>
      <c r="R72" t="s">
        <v>64</v>
      </c>
      <c r="S72" t="s">
        <v>217</v>
      </c>
      <c r="T72">
        <v>3608</v>
      </c>
    </row>
    <row r="73" spans="1:20" x14ac:dyDescent="0.25">
      <c r="A73" s="1">
        <v>71</v>
      </c>
      <c r="B73" t="s">
        <v>218</v>
      </c>
      <c r="C73">
        <v>46.66</v>
      </c>
      <c r="D73">
        <v>-29.63</v>
      </c>
      <c r="E73" t="s">
        <v>149</v>
      </c>
      <c r="F73">
        <v>1.478309220476098E-2</v>
      </c>
      <c r="G73">
        <v>0.50008249661580362</v>
      </c>
      <c r="H73">
        <v>-3.96879397554819</v>
      </c>
      <c r="I73">
        <v>-31.713430557137979</v>
      </c>
      <c r="J73">
        <v>2006</v>
      </c>
      <c r="K73">
        <v>755</v>
      </c>
      <c r="L73" t="s">
        <v>219</v>
      </c>
      <c r="N73">
        <v>28</v>
      </c>
      <c r="O73">
        <v>8708</v>
      </c>
      <c r="P73" t="s">
        <v>63</v>
      </c>
      <c r="Q73" t="s">
        <v>220</v>
      </c>
      <c r="R73" t="s">
        <v>64</v>
      </c>
      <c r="S73" t="s">
        <v>221</v>
      </c>
      <c r="T73">
        <v>3582</v>
      </c>
    </row>
    <row r="74" spans="1:20" x14ac:dyDescent="0.25">
      <c r="A74" s="1">
        <v>72</v>
      </c>
      <c r="B74" t="s">
        <v>222</v>
      </c>
      <c r="C74">
        <v>44.99</v>
      </c>
      <c r="D74">
        <v>-30.11</v>
      </c>
      <c r="E74" t="s">
        <v>149</v>
      </c>
      <c r="F74">
        <v>2.109757493962184E-2</v>
      </c>
      <c r="G74">
        <v>0.42347496804564072</v>
      </c>
      <c r="H74">
        <v>0.70826310297311368</v>
      </c>
      <c r="I74">
        <v>-29.726874786373479</v>
      </c>
      <c r="J74">
        <v>2006</v>
      </c>
      <c r="K74">
        <v>1417</v>
      </c>
      <c r="L74" t="s">
        <v>223</v>
      </c>
      <c r="N74">
        <v>48</v>
      </c>
      <c r="O74">
        <v>8658</v>
      </c>
      <c r="P74" t="s">
        <v>105</v>
      </c>
      <c r="Q74" t="s">
        <v>224</v>
      </c>
      <c r="R74" t="s">
        <v>106</v>
      </c>
      <c r="S74" t="s">
        <v>225</v>
      </c>
      <c r="T74">
        <v>3706</v>
      </c>
    </row>
    <row r="75" spans="1:20" x14ac:dyDescent="0.25">
      <c r="A75" s="1">
        <v>73</v>
      </c>
      <c r="B75" t="s">
        <v>222</v>
      </c>
      <c r="C75">
        <v>44.99</v>
      </c>
      <c r="D75">
        <v>-30.11</v>
      </c>
      <c r="E75" t="s">
        <v>149</v>
      </c>
      <c r="F75">
        <v>2.2045398624790959E-2</v>
      </c>
      <c r="G75">
        <v>0.40152024371162942</v>
      </c>
      <c r="H75">
        <v>-0.50542525097938584</v>
      </c>
      <c r="I75">
        <v>-30.918809847995242</v>
      </c>
      <c r="J75">
        <v>2006</v>
      </c>
      <c r="K75">
        <v>1417</v>
      </c>
      <c r="L75" t="s">
        <v>223</v>
      </c>
      <c r="N75">
        <v>48</v>
      </c>
      <c r="O75">
        <v>8658</v>
      </c>
      <c r="P75" t="s">
        <v>105</v>
      </c>
      <c r="Q75" t="s">
        <v>224</v>
      </c>
      <c r="R75" t="s">
        <v>106</v>
      </c>
      <c r="S75" t="s">
        <v>225</v>
      </c>
      <c r="T75">
        <v>3706</v>
      </c>
    </row>
    <row r="76" spans="1:20" x14ac:dyDescent="0.25">
      <c r="A76" s="1">
        <v>74</v>
      </c>
      <c r="B76" t="s">
        <v>226</v>
      </c>
      <c r="C76">
        <v>46.08</v>
      </c>
      <c r="D76">
        <v>-26.49</v>
      </c>
      <c r="E76" t="s">
        <v>149</v>
      </c>
      <c r="F76">
        <v>9.8902833737475309E-3</v>
      </c>
      <c r="G76">
        <v>0.43573502951395482</v>
      </c>
      <c r="H76">
        <v>-5.845012759354085</v>
      </c>
      <c r="I76">
        <v>-29.538151988150851</v>
      </c>
      <c r="J76">
        <v>2006</v>
      </c>
      <c r="K76">
        <v>1906</v>
      </c>
      <c r="L76" t="s">
        <v>227</v>
      </c>
      <c r="N76">
        <v>62</v>
      </c>
      <c r="O76">
        <v>8911</v>
      </c>
      <c r="P76" t="s">
        <v>228</v>
      </c>
      <c r="Q76" t="s">
        <v>229</v>
      </c>
      <c r="R76" t="s">
        <v>230</v>
      </c>
      <c r="S76" t="s">
        <v>231</v>
      </c>
      <c r="T76">
        <v>3607</v>
      </c>
    </row>
    <row r="77" spans="1:20" x14ac:dyDescent="0.25">
      <c r="A77" s="1">
        <v>75</v>
      </c>
      <c r="B77" t="s">
        <v>226</v>
      </c>
      <c r="C77">
        <v>46.08</v>
      </c>
      <c r="D77">
        <v>-26.49</v>
      </c>
      <c r="E77" t="s">
        <v>149</v>
      </c>
      <c r="F77">
        <v>1.0910985228726921E-2</v>
      </c>
      <c r="G77">
        <v>0.45050928290081599</v>
      </c>
      <c r="H77">
        <v>-4.3815099509011866</v>
      </c>
      <c r="I77">
        <v>-30.99495902144638</v>
      </c>
      <c r="J77">
        <v>2006</v>
      </c>
      <c r="K77">
        <v>1906</v>
      </c>
      <c r="L77" t="s">
        <v>227</v>
      </c>
      <c r="N77">
        <v>62</v>
      </c>
      <c r="O77">
        <v>8911</v>
      </c>
      <c r="P77" t="s">
        <v>228</v>
      </c>
      <c r="Q77" t="s">
        <v>229</v>
      </c>
      <c r="R77" t="s">
        <v>230</v>
      </c>
      <c r="S77" t="s">
        <v>231</v>
      </c>
      <c r="T77">
        <v>3607</v>
      </c>
    </row>
    <row r="78" spans="1:20" x14ac:dyDescent="0.25">
      <c r="A78" s="1">
        <v>76</v>
      </c>
      <c r="B78" t="s">
        <v>232</v>
      </c>
      <c r="C78">
        <v>44.17</v>
      </c>
      <c r="D78">
        <v>-31.78</v>
      </c>
      <c r="E78" t="s">
        <v>149</v>
      </c>
      <c r="F78">
        <v>1.400304828176905E-2</v>
      </c>
      <c r="G78">
        <v>0.36519978139083242</v>
      </c>
      <c r="H78">
        <v>0.81222024409954285</v>
      </c>
      <c r="I78">
        <v>-32.239867836390573</v>
      </c>
      <c r="J78">
        <v>2006</v>
      </c>
      <c r="K78">
        <v>757</v>
      </c>
      <c r="L78" t="s">
        <v>233</v>
      </c>
      <c r="N78">
        <v>28</v>
      </c>
      <c r="O78">
        <v>8702</v>
      </c>
      <c r="P78" t="s">
        <v>183</v>
      </c>
      <c r="Q78" t="s">
        <v>234</v>
      </c>
      <c r="R78" t="s">
        <v>184</v>
      </c>
      <c r="T78">
        <v>3580</v>
      </c>
    </row>
    <row r="79" spans="1:20" x14ac:dyDescent="0.25">
      <c r="A79" s="1">
        <v>77</v>
      </c>
      <c r="B79" t="s">
        <v>235</v>
      </c>
      <c r="C79">
        <v>46.66</v>
      </c>
      <c r="D79">
        <v>-25.47</v>
      </c>
      <c r="E79" t="s">
        <v>149</v>
      </c>
      <c r="F79">
        <v>2.212853654735911E-2</v>
      </c>
      <c r="G79">
        <v>0.43963196312783293</v>
      </c>
      <c r="H79">
        <v>2.1142033066448471</v>
      </c>
      <c r="I79">
        <v>-27.124486726671979</v>
      </c>
      <c r="J79">
        <v>2006</v>
      </c>
      <c r="K79">
        <v>1411</v>
      </c>
      <c r="L79" t="s">
        <v>236</v>
      </c>
      <c r="N79">
        <v>48</v>
      </c>
      <c r="O79">
        <v>8665</v>
      </c>
      <c r="P79" t="s">
        <v>105</v>
      </c>
      <c r="Q79" t="s">
        <v>237</v>
      </c>
      <c r="R79" t="s">
        <v>238</v>
      </c>
      <c r="S79" t="s">
        <v>239</v>
      </c>
      <c r="T79">
        <v>3696</v>
      </c>
    </row>
    <row r="80" spans="1:20" x14ac:dyDescent="0.25">
      <c r="A80" s="1">
        <v>78</v>
      </c>
      <c r="B80" t="s">
        <v>235</v>
      </c>
      <c r="C80">
        <v>46.66</v>
      </c>
      <c r="D80">
        <v>-25.47</v>
      </c>
      <c r="E80" t="s">
        <v>149</v>
      </c>
      <c r="F80">
        <v>2.4450077742933219E-2</v>
      </c>
      <c r="G80">
        <v>0.4687890589641</v>
      </c>
      <c r="H80">
        <v>1.63446643023393</v>
      </c>
      <c r="I80">
        <v>-28.649264401422329</v>
      </c>
      <c r="J80">
        <v>2006</v>
      </c>
      <c r="K80">
        <v>1411</v>
      </c>
      <c r="L80" t="s">
        <v>236</v>
      </c>
      <c r="N80">
        <v>48</v>
      </c>
      <c r="O80">
        <v>8665</v>
      </c>
      <c r="P80" t="s">
        <v>105</v>
      </c>
      <c r="Q80" t="s">
        <v>237</v>
      </c>
      <c r="R80" t="s">
        <v>238</v>
      </c>
      <c r="S80" t="s">
        <v>239</v>
      </c>
      <c r="T80">
        <v>3696</v>
      </c>
    </row>
    <row r="81" spans="1:20" x14ac:dyDescent="0.25">
      <c r="A81" s="1">
        <v>79</v>
      </c>
      <c r="B81" t="s">
        <v>240</v>
      </c>
      <c r="C81">
        <v>45.47</v>
      </c>
      <c r="D81">
        <v>-33.67</v>
      </c>
      <c r="E81" t="s">
        <v>149</v>
      </c>
      <c r="F81">
        <v>1.4190678731764101E-2</v>
      </c>
      <c r="G81">
        <v>0.43968254867760431</v>
      </c>
      <c r="H81">
        <v>-2.3309444796711318</v>
      </c>
      <c r="I81">
        <v>-33.342406289164863</v>
      </c>
      <c r="J81">
        <v>2006</v>
      </c>
      <c r="K81">
        <v>1406</v>
      </c>
      <c r="L81" t="s">
        <v>241</v>
      </c>
      <c r="N81">
        <v>48</v>
      </c>
      <c r="O81">
        <v>8666</v>
      </c>
      <c r="P81" t="s">
        <v>242</v>
      </c>
      <c r="Q81" t="s">
        <v>243</v>
      </c>
      <c r="R81" t="s">
        <v>244</v>
      </c>
      <c r="S81" t="s">
        <v>157</v>
      </c>
      <c r="T81">
        <v>3703</v>
      </c>
    </row>
    <row r="82" spans="1:20" x14ac:dyDescent="0.25">
      <c r="A82" s="1">
        <v>80</v>
      </c>
      <c r="B82" t="s">
        <v>245</v>
      </c>
      <c r="C82">
        <v>47.76</v>
      </c>
      <c r="D82">
        <v>-29.3</v>
      </c>
      <c r="E82" t="s">
        <v>149</v>
      </c>
      <c r="F82">
        <v>1.6977577459295169E-2</v>
      </c>
      <c r="G82">
        <v>0.46848772718686782</v>
      </c>
      <c r="H82">
        <v>-1.873594969168815</v>
      </c>
      <c r="I82">
        <v>-30.829413239147769</v>
      </c>
      <c r="J82">
        <v>2006</v>
      </c>
      <c r="K82">
        <v>1806</v>
      </c>
      <c r="L82" t="s">
        <v>246</v>
      </c>
      <c r="N82">
        <v>60</v>
      </c>
      <c r="O82">
        <v>8743</v>
      </c>
      <c r="P82" t="s">
        <v>247</v>
      </c>
      <c r="Q82" t="s">
        <v>248</v>
      </c>
      <c r="R82" t="s">
        <v>249</v>
      </c>
      <c r="S82" t="s">
        <v>250</v>
      </c>
      <c r="T82">
        <v>3662</v>
      </c>
    </row>
    <row r="83" spans="1:20" x14ac:dyDescent="0.25">
      <c r="A83" s="1">
        <v>81</v>
      </c>
      <c r="B83" t="s">
        <v>251</v>
      </c>
      <c r="C83">
        <v>45.63</v>
      </c>
      <c r="D83">
        <v>-29.26</v>
      </c>
      <c r="E83" t="s">
        <v>149</v>
      </c>
      <c r="F83">
        <v>2.142581794136986E-2</v>
      </c>
      <c r="G83">
        <v>0.43871073547282369</v>
      </c>
      <c r="H83">
        <v>-1.4643899306896411</v>
      </c>
      <c r="I83">
        <v>-30.15398427708784</v>
      </c>
      <c r="J83">
        <v>2006</v>
      </c>
      <c r="K83">
        <v>726</v>
      </c>
      <c r="L83" t="s">
        <v>252</v>
      </c>
      <c r="N83">
        <v>28</v>
      </c>
      <c r="O83">
        <v>8733</v>
      </c>
      <c r="P83" t="s">
        <v>51</v>
      </c>
      <c r="Q83" t="s">
        <v>253</v>
      </c>
      <c r="R83" t="s">
        <v>254</v>
      </c>
      <c r="S83" t="s">
        <v>255</v>
      </c>
      <c r="T83">
        <v>3601</v>
      </c>
    </row>
    <row r="84" spans="1:20" x14ac:dyDescent="0.25">
      <c r="A84" s="1">
        <v>82</v>
      </c>
      <c r="B84" t="s">
        <v>256</v>
      </c>
      <c r="C84">
        <v>44.99</v>
      </c>
      <c r="D84">
        <v>-30.63</v>
      </c>
      <c r="E84" t="s">
        <v>149</v>
      </c>
      <c r="F84">
        <v>3.000430270216017E-2</v>
      </c>
      <c r="G84">
        <v>0.47010025382006609</v>
      </c>
      <c r="H84">
        <v>-1.634023896765044</v>
      </c>
      <c r="I84">
        <v>-31.35585051840037</v>
      </c>
      <c r="J84">
        <v>2006</v>
      </c>
      <c r="K84">
        <v>719</v>
      </c>
      <c r="L84" t="s">
        <v>257</v>
      </c>
      <c r="N84">
        <v>28</v>
      </c>
      <c r="O84">
        <v>8735</v>
      </c>
      <c r="P84" t="s">
        <v>72</v>
      </c>
      <c r="Q84" t="s">
        <v>258</v>
      </c>
      <c r="R84" t="s">
        <v>259</v>
      </c>
      <c r="S84" t="s">
        <v>260</v>
      </c>
      <c r="T84">
        <v>3579</v>
      </c>
    </row>
    <row r="85" spans="1:20" x14ac:dyDescent="0.25">
      <c r="A85" s="1">
        <v>83</v>
      </c>
      <c r="B85" t="s">
        <v>261</v>
      </c>
      <c r="C85">
        <v>43.11</v>
      </c>
      <c r="D85">
        <v>-28.93</v>
      </c>
      <c r="E85" t="s">
        <v>149</v>
      </c>
      <c r="F85">
        <v>1.387023418275125E-2</v>
      </c>
      <c r="G85">
        <v>0.41100743865522449</v>
      </c>
      <c r="H85">
        <v>6.4099710874465243</v>
      </c>
      <c r="I85">
        <v>-31.564438874330641</v>
      </c>
      <c r="J85">
        <v>2006</v>
      </c>
      <c r="K85">
        <v>716</v>
      </c>
      <c r="L85" t="s">
        <v>262</v>
      </c>
      <c r="N85">
        <v>28</v>
      </c>
      <c r="O85">
        <v>8736</v>
      </c>
      <c r="P85" t="s">
        <v>144</v>
      </c>
      <c r="Q85" t="s">
        <v>263</v>
      </c>
      <c r="R85" t="s">
        <v>264</v>
      </c>
      <c r="S85" t="s">
        <v>265</v>
      </c>
      <c r="T85">
        <v>3589</v>
      </c>
    </row>
    <row r="86" spans="1:20" x14ac:dyDescent="0.25">
      <c r="A86" s="1">
        <v>84</v>
      </c>
      <c r="B86" t="s">
        <v>266</v>
      </c>
      <c r="C86">
        <v>59.24</v>
      </c>
      <c r="D86">
        <v>-29.78</v>
      </c>
      <c r="E86" t="s">
        <v>149</v>
      </c>
      <c r="F86">
        <v>1.7499310738142541E-2</v>
      </c>
      <c r="G86">
        <v>0.44389055357165608</v>
      </c>
      <c r="H86">
        <v>0.32058751777041872</v>
      </c>
      <c r="I86">
        <v>-33.014624586988717</v>
      </c>
      <c r="J86">
        <v>2006</v>
      </c>
      <c r="K86">
        <v>1390</v>
      </c>
      <c r="L86" t="s">
        <v>267</v>
      </c>
      <c r="N86">
        <v>48</v>
      </c>
      <c r="O86">
        <v>8686</v>
      </c>
      <c r="P86" t="s">
        <v>67</v>
      </c>
      <c r="Q86" t="s">
        <v>187</v>
      </c>
      <c r="R86" t="s">
        <v>69</v>
      </c>
      <c r="S86" t="s">
        <v>188</v>
      </c>
      <c r="T86">
        <v>3707</v>
      </c>
    </row>
    <row r="87" spans="1:20" x14ac:dyDescent="0.25">
      <c r="A87" s="1">
        <v>85</v>
      </c>
      <c r="B87" t="s">
        <v>268</v>
      </c>
      <c r="C87">
        <v>45.19</v>
      </c>
      <c r="D87">
        <v>-26.2</v>
      </c>
      <c r="E87" t="s">
        <v>149</v>
      </c>
      <c r="F87">
        <v>1.341353474395429E-2</v>
      </c>
      <c r="G87">
        <v>0.48961317980338842</v>
      </c>
      <c r="H87">
        <v>-4.0537806068652973</v>
      </c>
      <c r="I87">
        <v>-28.624336333599182</v>
      </c>
      <c r="J87">
        <v>2006</v>
      </c>
      <c r="K87">
        <v>1901</v>
      </c>
      <c r="L87" t="s">
        <v>269</v>
      </c>
      <c r="N87">
        <v>62</v>
      </c>
      <c r="O87">
        <v>8924</v>
      </c>
      <c r="P87" t="s">
        <v>28</v>
      </c>
      <c r="Q87" t="s">
        <v>270</v>
      </c>
      <c r="R87" t="s">
        <v>271</v>
      </c>
      <c r="S87" t="s">
        <v>272</v>
      </c>
      <c r="T87">
        <v>3611</v>
      </c>
    </row>
    <row r="88" spans="1:20" x14ac:dyDescent="0.25">
      <c r="A88" s="1">
        <v>86</v>
      </c>
      <c r="B88" t="s">
        <v>273</v>
      </c>
      <c r="C88">
        <v>45.05</v>
      </c>
      <c r="D88">
        <v>-28.6</v>
      </c>
      <c r="E88" t="s">
        <v>149</v>
      </c>
      <c r="F88">
        <v>1.6199753508619109E-2</v>
      </c>
      <c r="G88">
        <v>0.46004211669636441</v>
      </c>
      <c r="H88">
        <v>-5.5483418653481333</v>
      </c>
      <c r="I88">
        <v>-30.46190042155634</v>
      </c>
      <c r="J88">
        <v>2006</v>
      </c>
      <c r="K88">
        <v>1872</v>
      </c>
      <c r="L88" t="s">
        <v>274</v>
      </c>
      <c r="N88">
        <v>62</v>
      </c>
      <c r="O88">
        <v>8920</v>
      </c>
      <c r="P88" t="s">
        <v>63</v>
      </c>
      <c r="Q88" t="s">
        <v>275</v>
      </c>
      <c r="R88" t="s">
        <v>276</v>
      </c>
      <c r="S88" t="s">
        <v>157</v>
      </c>
      <c r="T88">
        <v>3595</v>
      </c>
    </row>
    <row r="89" spans="1:20" x14ac:dyDescent="0.25">
      <c r="A89" s="1">
        <v>87</v>
      </c>
      <c r="B89" t="s">
        <v>277</v>
      </c>
      <c r="C89">
        <v>47.09</v>
      </c>
      <c r="D89">
        <v>-27.91</v>
      </c>
      <c r="E89" t="s">
        <v>149</v>
      </c>
      <c r="F89">
        <v>1.2648930778385871E-2</v>
      </c>
      <c r="G89">
        <v>0.47607454694110801</v>
      </c>
      <c r="H89">
        <v>0.14923539361956889</v>
      </c>
      <c r="I89">
        <v>-29.418958641904979</v>
      </c>
      <c r="J89">
        <v>2006</v>
      </c>
      <c r="K89">
        <v>739</v>
      </c>
      <c r="L89" t="s">
        <v>278</v>
      </c>
      <c r="N89">
        <v>28</v>
      </c>
      <c r="O89">
        <v>8726</v>
      </c>
      <c r="P89" t="s">
        <v>28</v>
      </c>
      <c r="Q89" t="s">
        <v>279</v>
      </c>
      <c r="R89" t="s">
        <v>280</v>
      </c>
      <c r="S89" t="s">
        <v>281</v>
      </c>
      <c r="T89">
        <v>3581</v>
      </c>
    </row>
    <row r="90" spans="1:20" x14ac:dyDescent="0.25">
      <c r="A90" s="1">
        <v>88</v>
      </c>
      <c r="B90" t="s">
        <v>277</v>
      </c>
      <c r="C90">
        <v>0.43690000000000001</v>
      </c>
      <c r="D90">
        <v>-26.37</v>
      </c>
      <c r="E90" t="s">
        <v>149</v>
      </c>
      <c r="F90">
        <v>1.2648930778385871E-2</v>
      </c>
      <c r="G90">
        <v>0.47607454694110801</v>
      </c>
      <c r="H90">
        <v>0.14923539361956889</v>
      </c>
      <c r="I90">
        <v>-29.418958641904979</v>
      </c>
      <c r="J90">
        <v>2006</v>
      </c>
      <c r="K90">
        <v>739</v>
      </c>
      <c r="L90" t="s">
        <v>278</v>
      </c>
      <c r="M90" t="s">
        <v>154</v>
      </c>
      <c r="N90">
        <v>28</v>
      </c>
      <c r="O90">
        <v>8726</v>
      </c>
      <c r="P90" t="s">
        <v>28</v>
      </c>
      <c r="Q90" t="s">
        <v>279</v>
      </c>
      <c r="R90" t="s">
        <v>280</v>
      </c>
      <c r="S90" t="s">
        <v>281</v>
      </c>
      <c r="T90">
        <v>3581</v>
      </c>
    </row>
    <row r="91" spans="1:20" x14ac:dyDescent="0.25">
      <c r="A91" s="1">
        <v>89</v>
      </c>
      <c r="B91" t="s">
        <v>282</v>
      </c>
      <c r="C91">
        <v>44.13</v>
      </c>
      <c r="D91">
        <v>-30.28</v>
      </c>
      <c r="E91" t="s">
        <v>149</v>
      </c>
      <c r="F91">
        <v>1.939791448498128E-2</v>
      </c>
      <c r="G91">
        <v>0.47230956450701378</v>
      </c>
      <c r="H91">
        <v>-2.4910023129961321</v>
      </c>
      <c r="I91">
        <v>-31.961750028483539</v>
      </c>
      <c r="J91">
        <v>2006</v>
      </c>
      <c r="K91">
        <v>1907</v>
      </c>
      <c r="L91" t="s">
        <v>283</v>
      </c>
      <c r="N91">
        <v>62</v>
      </c>
      <c r="O91">
        <v>8915</v>
      </c>
      <c r="P91" t="s">
        <v>63</v>
      </c>
      <c r="Q91" t="s">
        <v>284</v>
      </c>
      <c r="R91" t="s">
        <v>276</v>
      </c>
      <c r="S91" t="s">
        <v>157</v>
      </c>
      <c r="T91">
        <v>3609</v>
      </c>
    </row>
    <row r="92" spans="1:20" x14ac:dyDescent="0.25">
      <c r="A92" s="1">
        <v>90</v>
      </c>
      <c r="B92" t="s">
        <v>282</v>
      </c>
      <c r="C92">
        <v>0.43330000000000002</v>
      </c>
      <c r="D92">
        <v>-30.76</v>
      </c>
      <c r="E92" t="s">
        <v>149</v>
      </c>
      <c r="F92">
        <v>1.939791448498128E-2</v>
      </c>
      <c r="G92">
        <v>0.47230956450701378</v>
      </c>
      <c r="H92">
        <v>-2.4910023129961321</v>
      </c>
      <c r="I92">
        <v>-31.961750028483539</v>
      </c>
      <c r="J92">
        <v>2006</v>
      </c>
      <c r="K92">
        <v>1907</v>
      </c>
      <c r="L92" t="s">
        <v>283</v>
      </c>
      <c r="M92" t="s">
        <v>154</v>
      </c>
      <c r="N92">
        <v>62</v>
      </c>
      <c r="O92">
        <v>8915</v>
      </c>
      <c r="P92" t="s">
        <v>63</v>
      </c>
      <c r="Q92" t="s">
        <v>284</v>
      </c>
      <c r="R92" t="s">
        <v>276</v>
      </c>
      <c r="S92" t="s">
        <v>157</v>
      </c>
      <c r="T92">
        <v>3609</v>
      </c>
    </row>
    <row r="93" spans="1:20" x14ac:dyDescent="0.25">
      <c r="A93" s="1">
        <v>91</v>
      </c>
      <c r="B93" t="s">
        <v>285</v>
      </c>
      <c r="C93">
        <v>50.79</v>
      </c>
      <c r="D93">
        <v>-30</v>
      </c>
      <c r="E93" t="s">
        <v>149</v>
      </c>
      <c r="F93">
        <v>1.3782774647201269E-2</v>
      </c>
      <c r="G93">
        <v>0.4758602841825697</v>
      </c>
      <c r="H93">
        <v>-3.0567045404849158</v>
      </c>
      <c r="I93">
        <v>-29.816269796057881</v>
      </c>
      <c r="J93">
        <v>2006</v>
      </c>
      <c r="K93">
        <v>1404</v>
      </c>
      <c r="L93" t="s">
        <v>286</v>
      </c>
      <c r="N93">
        <v>48</v>
      </c>
      <c r="O93">
        <v>8669</v>
      </c>
      <c r="P93" t="s">
        <v>287</v>
      </c>
      <c r="Q93" t="s">
        <v>288</v>
      </c>
      <c r="R93" t="s">
        <v>289</v>
      </c>
      <c r="S93" t="s">
        <v>290</v>
      </c>
      <c r="T93">
        <v>3697</v>
      </c>
    </row>
    <row r="94" spans="1:20" x14ac:dyDescent="0.25">
      <c r="A94" s="1">
        <v>92</v>
      </c>
      <c r="B94" t="s">
        <v>285</v>
      </c>
      <c r="C94">
        <v>0.47449999999999998</v>
      </c>
      <c r="D94">
        <v>-28.66</v>
      </c>
      <c r="E94" t="s">
        <v>149</v>
      </c>
      <c r="F94">
        <v>1.3782774647201269E-2</v>
      </c>
      <c r="G94">
        <v>0.4758602841825697</v>
      </c>
      <c r="H94">
        <v>-3.0567045404849158</v>
      </c>
      <c r="I94">
        <v>-29.816269796057881</v>
      </c>
      <c r="J94">
        <v>2006</v>
      </c>
      <c r="K94">
        <v>1404</v>
      </c>
      <c r="L94" t="s">
        <v>286</v>
      </c>
      <c r="M94" t="s">
        <v>154</v>
      </c>
      <c r="N94">
        <v>48</v>
      </c>
      <c r="O94">
        <v>8669</v>
      </c>
      <c r="P94" t="s">
        <v>287</v>
      </c>
      <c r="Q94" t="s">
        <v>288</v>
      </c>
      <c r="R94" t="s">
        <v>289</v>
      </c>
      <c r="S94" t="s">
        <v>290</v>
      </c>
      <c r="T94">
        <v>3697</v>
      </c>
    </row>
    <row r="95" spans="1:20" x14ac:dyDescent="0.25">
      <c r="A95" s="1">
        <v>93</v>
      </c>
      <c r="B95" t="s">
        <v>291</v>
      </c>
      <c r="C95">
        <v>0.45429999999999998</v>
      </c>
      <c r="D95">
        <v>-29.02</v>
      </c>
      <c r="E95" t="s">
        <v>149</v>
      </c>
      <c r="F95">
        <v>2.5084359556881729E-2</v>
      </c>
      <c r="G95">
        <v>0.4672960679494565</v>
      </c>
      <c r="H95">
        <v>1.4526890657693829</v>
      </c>
      <c r="I95">
        <v>-29.736807565227299</v>
      </c>
      <c r="J95">
        <v>2006</v>
      </c>
      <c r="K95">
        <v>547</v>
      </c>
      <c r="L95" t="s">
        <v>292</v>
      </c>
      <c r="M95" t="s">
        <v>154</v>
      </c>
      <c r="N95">
        <v>22</v>
      </c>
      <c r="O95">
        <v>8968</v>
      </c>
      <c r="P95" t="s">
        <v>111</v>
      </c>
      <c r="Q95">
        <v>3782</v>
      </c>
      <c r="R95" t="s">
        <v>113</v>
      </c>
      <c r="S95" t="s">
        <v>293</v>
      </c>
      <c r="T95">
        <v>3782</v>
      </c>
    </row>
    <row r="96" spans="1:20" x14ac:dyDescent="0.25">
      <c r="A96" s="1">
        <v>94</v>
      </c>
      <c r="B96" t="s">
        <v>294</v>
      </c>
      <c r="C96">
        <v>0.43909999999999999</v>
      </c>
      <c r="D96">
        <v>-31.58</v>
      </c>
      <c r="E96" t="s">
        <v>149</v>
      </c>
      <c r="J96">
        <v>2006</v>
      </c>
      <c r="K96">
        <v>1461</v>
      </c>
      <c r="L96" t="s">
        <v>295</v>
      </c>
      <c r="M96" t="s">
        <v>154</v>
      </c>
      <c r="N96">
        <v>50</v>
      </c>
      <c r="O96">
        <v>8796</v>
      </c>
      <c r="P96" t="s">
        <v>144</v>
      </c>
      <c r="Q96" t="s">
        <v>296</v>
      </c>
      <c r="R96" t="s">
        <v>297</v>
      </c>
      <c r="S96" t="s">
        <v>298</v>
      </c>
    </row>
    <row r="97" spans="1:20" x14ac:dyDescent="0.25">
      <c r="A97" s="1">
        <v>95</v>
      </c>
      <c r="B97" t="s">
        <v>299</v>
      </c>
      <c r="C97">
        <v>0.4123</v>
      </c>
      <c r="D97">
        <v>-32.18</v>
      </c>
      <c r="E97" t="s">
        <v>149</v>
      </c>
      <c r="F97">
        <v>2.2551934729425072E-2</v>
      </c>
      <c r="G97">
        <v>0.43030783409913492</v>
      </c>
      <c r="H97">
        <v>0.6338591540841797</v>
      </c>
      <c r="I97">
        <v>-32.82256659631085</v>
      </c>
      <c r="J97">
        <v>2006</v>
      </c>
      <c r="K97">
        <v>576</v>
      </c>
      <c r="L97" t="s">
        <v>300</v>
      </c>
      <c r="M97" t="s">
        <v>154</v>
      </c>
      <c r="N97">
        <v>23</v>
      </c>
      <c r="O97">
        <v>8990</v>
      </c>
      <c r="P97" t="s">
        <v>28</v>
      </c>
      <c r="Q97" t="s">
        <v>301</v>
      </c>
      <c r="R97" t="s">
        <v>302</v>
      </c>
      <c r="S97" t="s">
        <v>303</v>
      </c>
      <c r="T97">
        <v>3742</v>
      </c>
    </row>
    <row r="98" spans="1:20" x14ac:dyDescent="0.25">
      <c r="A98" s="1">
        <v>96</v>
      </c>
      <c r="B98" t="s">
        <v>304</v>
      </c>
      <c r="C98">
        <v>0.41210000000000002</v>
      </c>
      <c r="D98">
        <v>-29.93</v>
      </c>
      <c r="E98" t="s">
        <v>149</v>
      </c>
      <c r="J98">
        <v>2006</v>
      </c>
      <c r="K98">
        <v>1393</v>
      </c>
      <c r="L98" t="s">
        <v>305</v>
      </c>
      <c r="M98" t="s">
        <v>154</v>
      </c>
      <c r="N98">
        <v>48</v>
      </c>
      <c r="O98">
        <v>8683</v>
      </c>
      <c r="P98" t="s">
        <v>306</v>
      </c>
      <c r="Q98" t="s">
        <v>307</v>
      </c>
      <c r="R98" t="s">
        <v>308</v>
      </c>
      <c r="S98" t="s">
        <v>309</v>
      </c>
    </row>
    <row r="99" spans="1:20" x14ac:dyDescent="0.25">
      <c r="A99" s="1">
        <v>97</v>
      </c>
      <c r="B99" t="s">
        <v>310</v>
      </c>
      <c r="C99">
        <v>0.4521</v>
      </c>
      <c r="D99">
        <v>-32.32</v>
      </c>
      <c r="E99" t="s">
        <v>149</v>
      </c>
      <c r="F99">
        <v>1.448203004344112E-2</v>
      </c>
      <c r="G99">
        <v>0.47843394253161847</v>
      </c>
      <c r="H99">
        <v>-2.4791622601586369</v>
      </c>
      <c r="I99">
        <v>-34.214441360957728</v>
      </c>
      <c r="J99">
        <v>2006</v>
      </c>
      <c r="K99">
        <v>717</v>
      </c>
      <c r="L99" t="s">
        <v>311</v>
      </c>
      <c r="M99" t="s">
        <v>154</v>
      </c>
      <c r="N99">
        <v>28</v>
      </c>
      <c r="P99" t="s">
        <v>28</v>
      </c>
      <c r="Q99" t="s">
        <v>312</v>
      </c>
      <c r="R99" t="s">
        <v>313</v>
      </c>
      <c r="S99" t="s">
        <v>314</v>
      </c>
      <c r="T99">
        <v>2293</v>
      </c>
    </row>
    <row r="100" spans="1:20" x14ac:dyDescent="0.25">
      <c r="A100" s="1">
        <v>98</v>
      </c>
      <c r="B100" t="s">
        <v>315</v>
      </c>
      <c r="C100">
        <v>0.36759999999999998</v>
      </c>
      <c r="D100">
        <v>-26.51</v>
      </c>
      <c r="E100" t="s">
        <v>149</v>
      </c>
      <c r="F100">
        <v>3.048404367791074E-2</v>
      </c>
      <c r="G100">
        <v>0.46232039559055449</v>
      </c>
      <c r="H100">
        <v>-0.14267310444638259</v>
      </c>
      <c r="I100">
        <v>-28.78326079526034</v>
      </c>
      <c r="J100">
        <v>2006</v>
      </c>
      <c r="K100">
        <v>564</v>
      </c>
      <c r="L100" t="s">
        <v>316</v>
      </c>
      <c r="M100" t="s">
        <v>154</v>
      </c>
      <c r="N100">
        <v>23</v>
      </c>
      <c r="O100">
        <v>8974</v>
      </c>
      <c r="P100" t="s">
        <v>51</v>
      </c>
      <c r="Q100" t="s">
        <v>317</v>
      </c>
      <c r="R100" t="s">
        <v>318</v>
      </c>
      <c r="S100" t="s">
        <v>129</v>
      </c>
      <c r="T100">
        <v>3745</v>
      </c>
    </row>
    <row r="101" spans="1:20" x14ac:dyDescent="0.25">
      <c r="A101" s="1">
        <v>99</v>
      </c>
      <c r="B101" t="s">
        <v>319</v>
      </c>
      <c r="C101">
        <v>0.44040000000000001</v>
      </c>
      <c r="D101">
        <v>-30.74</v>
      </c>
      <c r="E101" t="s">
        <v>149</v>
      </c>
      <c r="F101">
        <v>4.3840743803608348E-2</v>
      </c>
      <c r="G101">
        <v>0.46827260543130178</v>
      </c>
      <c r="H101">
        <v>8.1576007848874574E-2</v>
      </c>
      <c r="I101">
        <v>-31.683632220576509</v>
      </c>
      <c r="J101">
        <v>2006</v>
      </c>
      <c r="K101">
        <v>1833</v>
      </c>
      <c r="L101" t="s">
        <v>320</v>
      </c>
      <c r="M101" t="s">
        <v>154</v>
      </c>
      <c r="N101">
        <v>60</v>
      </c>
      <c r="O101">
        <v>8744</v>
      </c>
      <c r="P101" t="s">
        <v>321</v>
      </c>
      <c r="Q101">
        <v>3658</v>
      </c>
      <c r="R101" t="s">
        <v>322</v>
      </c>
      <c r="S101" t="s">
        <v>323</v>
      </c>
      <c r="T101">
        <v>3658</v>
      </c>
    </row>
    <row r="102" spans="1:20" x14ac:dyDescent="0.25">
      <c r="A102" s="1">
        <v>100</v>
      </c>
      <c r="B102" t="s">
        <v>324</v>
      </c>
      <c r="C102">
        <v>0.498</v>
      </c>
      <c r="D102">
        <v>-31.05</v>
      </c>
      <c r="E102" t="s">
        <v>149</v>
      </c>
      <c r="F102">
        <v>1.9949141663235519E-2</v>
      </c>
      <c r="G102">
        <v>0.50358276355005771</v>
      </c>
      <c r="H102">
        <v>-0.9898014449928656</v>
      </c>
      <c r="I102">
        <v>-31.993508144734712</v>
      </c>
      <c r="J102">
        <v>2006</v>
      </c>
      <c r="K102">
        <v>1478</v>
      </c>
      <c r="L102" t="s">
        <v>325</v>
      </c>
      <c r="M102" t="s">
        <v>154</v>
      </c>
      <c r="N102">
        <v>50</v>
      </c>
      <c r="O102">
        <v>8628</v>
      </c>
      <c r="P102" t="s">
        <v>63</v>
      </c>
      <c r="Q102" t="s">
        <v>326</v>
      </c>
      <c r="R102" t="s">
        <v>64</v>
      </c>
      <c r="S102" t="s">
        <v>327</v>
      </c>
      <c r="T102">
        <v>3616</v>
      </c>
    </row>
    <row r="103" spans="1:20" x14ac:dyDescent="0.25">
      <c r="A103" s="1">
        <v>101</v>
      </c>
      <c r="B103" t="s">
        <v>328</v>
      </c>
      <c r="C103">
        <v>0.52480000000000004</v>
      </c>
      <c r="D103">
        <v>-30.97</v>
      </c>
      <c r="E103" t="s">
        <v>149</v>
      </c>
      <c r="F103">
        <v>1.258073949584883E-2</v>
      </c>
      <c r="G103">
        <v>0.49477576872580259</v>
      </c>
      <c r="H103">
        <v>-6.8607433577967951</v>
      </c>
      <c r="I103">
        <v>-31.504842201207701</v>
      </c>
      <c r="J103">
        <v>2006</v>
      </c>
      <c r="K103">
        <v>1830</v>
      </c>
      <c r="L103" t="s">
        <v>329</v>
      </c>
      <c r="M103" t="s">
        <v>154</v>
      </c>
      <c r="N103">
        <v>60</v>
      </c>
      <c r="O103">
        <v>8752</v>
      </c>
      <c r="P103" t="s">
        <v>63</v>
      </c>
      <c r="Q103">
        <v>3660</v>
      </c>
      <c r="R103" t="s">
        <v>64</v>
      </c>
      <c r="S103" t="s">
        <v>221</v>
      </c>
      <c r="T103">
        <v>3660</v>
      </c>
    </row>
    <row r="104" spans="1:20" x14ac:dyDescent="0.25">
      <c r="A104" s="1">
        <v>102</v>
      </c>
      <c r="B104" t="s">
        <v>330</v>
      </c>
      <c r="C104">
        <v>0.44190000000000002</v>
      </c>
      <c r="D104">
        <v>-31.87</v>
      </c>
      <c r="E104" t="s">
        <v>149</v>
      </c>
      <c r="F104">
        <v>2.6071579807417991E-2</v>
      </c>
      <c r="G104">
        <v>0.49013248118470382</v>
      </c>
      <c r="H104">
        <v>3.830881562426558</v>
      </c>
      <c r="I104">
        <v>-32.586292340343753</v>
      </c>
      <c r="J104">
        <v>2006</v>
      </c>
      <c r="K104">
        <v>535</v>
      </c>
      <c r="L104" t="s">
        <v>331</v>
      </c>
      <c r="M104" t="s">
        <v>154</v>
      </c>
      <c r="N104">
        <v>22</v>
      </c>
      <c r="O104">
        <v>8955</v>
      </c>
      <c r="P104" t="s">
        <v>111</v>
      </c>
      <c r="Q104">
        <v>2045</v>
      </c>
      <c r="R104" t="s">
        <v>113</v>
      </c>
      <c r="S104" t="s">
        <v>114</v>
      </c>
      <c r="T104">
        <v>2045</v>
      </c>
    </row>
    <row r="105" spans="1:20" x14ac:dyDescent="0.25">
      <c r="A105" s="1">
        <v>103</v>
      </c>
      <c r="B105" t="s">
        <v>332</v>
      </c>
      <c r="C105">
        <v>0.4788</v>
      </c>
      <c r="D105">
        <v>-30.17</v>
      </c>
      <c r="E105" t="s">
        <v>149</v>
      </c>
      <c r="F105">
        <v>1.9460139665766259E-2</v>
      </c>
      <c r="G105">
        <v>0.49765196843066212</v>
      </c>
      <c r="H105">
        <v>-1.680483197470735</v>
      </c>
      <c r="I105">
        <v>-32.65717287475708</v>
      </c>
      <c r="J105">
        <v>2006</v>
      </c>
      <c r="K105">
        <v>732</v>
      </c>
      <c r="L105" t="s">
        <v>333</v>
      </c>
      <c r="M105" t="s">
        <v>154</v>
      </c>
      <c r="N105">
        <v>28</v>
      </c>
      <c r="P105" t="s">
        <v>76</v>
      </c>
      <c r="Q105" t="s">
        <v>334</v>
      </c>
      <c r="R105" t="s">
        <v>335</v>
      </c>
      <c r="S105" t="s">
        <v>157</v>
      </c>
      <c r="T105">
        <v>3588</v>
      </c>
    </row>
    <row r="106" spans="1:20" x14ac:dyDescent="0.25">
      <c r="A106" s="1">
        <v>104</v>
      </c>
      <c r="B106" t="s">
        <v>336</v>
      </c>
      <c r="C106">
        <v>0.4551</v>
      </c>
      <c r="D106">
        <v>-31.8</v>
      </c>
      <c r="E106" t="s">
        <v>149</v>
      </c>
      <c r="F106">
        <v>1.694592069491542E-2</v>
      </c>
      <c r="G106">
        <v>0.47893776175622998</v>
      </c>
      <c r="H106">
        <v>0.90816521532752847</v>
      </c>
      <c r="I106">
        <v>-33.752785196563927</v>
      </c>
      <c r="J106">
        <v>2006</v>
      </c>
      <c r="K106">
        <v>738</v>
      </c>
      <c r="L106" t="s">
        <v>337</v>
      </c>
      <c r="M106" t="s">
        <v>154</v>
      </c>
      <c r="N106">
        <v>28</v>
      </c>
      <c r="O106">
        <v>8723</v>
      </c>
      <c r="P106" t="s">
        <v>28</v>
      </c>
      <c r="Q106" t="s">
        <v>338</v>
      </c>
      <c r="R106" t="s">
        <v>271</v>
      </c>
      <c r="S106" t="s">
        <v>157</v>
      </c>
      <c r="T106">
        <v>2312</v>
      </c>
    </row>
    <row r="107" spans="1:20" x14ac:dyDescent="0.25">
      <c r="A107" s="1">
        <v>105</v>
      </c>
      <c r="B107" t="s">
        <v>339</v>
      </c>
      <c r="C107">
        <v>0.48830000000000001</v>
      </c>
      <c r="D107">
        <v>-31.33</v>
      </c>
      <c r="E107" t="s">
        <v>149</v>
      </c>
      <c r="F107">
        <v>1.5719806129115398E-2</v>
      </c>
      <c r="G107">
        <v>0.48020658681909151</v>
      </c>
      <c r="H107">
        <v>-0.49709633773316758</v>
      </c>
      <c r="I107">
        <v>-32.048076526924113</v>
      </c>
      <c r="J107">
        <v>2006</v>
      </c>
      <c r="K107">
        <v>1489</v>
      </c>
      <c r="L107" t="s">
        <v>340</v>
      </c>
      <c r="M107" t="s">
        <v>154</v>
      </c>
      <c r="N107">
        <v>50</v>
      </c>
      <c r="P107" t="s">
        <v>51</v>
      </c>
      <c r="Q107" t="s">
        <v>341</v>
      </c>
      <c r="R107" t="s">
        <v>342</v>
      </c>
      <c r="S107" t="s">
        <v>343</v>
      </c>
      <c r="T107">
        <v>3618</v>
      </c>
    </row>
    <row r="108" spans="1:20" x14ac:dyDescent="0.25">
      <c r="A108" s="1">
        <v>106</v>
      </c>
      <c r="B108" t="s">
        <v>344</v>
      </c>
      <c r="C108">
        <v>0.43149999999999999</v>
      </c>
      <c r="D108">
        <v>-29.76</v>
      </c>
      <c r="E108" t="s">
        <v>149</v>
      </c>
      <c r="F108">
        <v>2.685286652655252E-2</v>
      </c>
      <c r="G108">
        <v>0.42310458420793778</v>
      </c>
      <c r="H108">
        <v>0.64453569057236115</v>
      </c>
      <c r="I108">
        <v>-30.948606585393641</v>
      </c>
      <c r="J108">
        <v>2006</v>
      </c>
      <c r="K108">
        <v>737</v>
      </c>
      <c r="L108" t="s">
        <v>345</v>
      </c>
      <c r="M108" t="s">
        <v>154</v>
      </c>
      <c r="N108">
        <v>28</v>
      </c>
      <c r="O108">
        <v>8721</v>
      </c>
      <c r="P108" t="s">
        <v>105</v>
      </c>
      <c r="Q108" t="s">
        <v>346</v>
      </c>
      <c r="R108" t="s">
        <v>238</v>
      </c>
      <c r="S108" t="s">
        <v>347</v>
      </c>
      <c r="T108">
        <v>2311</v>
      </c>
    </row>
    <row r="109" spans="1:20" x14ac:dyDescent="0.25">
      <c r="A109" s="1">
        <v>107</v>
      </c>
      <c r="B109" t="s">
        <v>344</v>
      </c>
      <c r="C109">
        <v>0.43149999999999999</v>
      </c>
      <c r="D109">
        <v>-29.76</v>
      </c>
      <c r="E109" t="s">
        <v>149</v>
      </c>
      <c r="F109">
        <v>2.5128959060623891E-2</v>
      </c>
      <c r="G109">
        <v>0.4175658802315198</v>
      </c>
      <c r="H109">
        <v>1.048374840832776</v>
      </c>
      <c r="I109">
        <v>-31.05146978139393</v>
      </c>
      <c r="J109">
        <v>2006</v>
      </c>
      <c r="K109">
        <v>737</v>
      </c>
      <c r="L109" t="s">
        <v>345</v>
      </c>
      <c r="M109" t="s">
        <v>154</v>
      </c>
      <c r="N109">
        <v>28</v>
      </c>
      <c r="O109">
        <v>8721</v>
      </c>
      <c r="P109" t="s">
        <v>105</v>
      </c>
      <c r="Q109" t="s">
        <v>346</v>
      </c>
      <c r="R109" t="s">
        <v>238</v>
      </c>
      <c r="S109" t="s">
        <v>347</v>
      </c>
      <c r="T109">
        <v>2311</v>
      </c>
    </row>
    <row r="110" spans="1:20" x14ac:dyDescent="0.25">
      <c r="A110" s="1">
        <v>108</v>
      </c>
      <c r="B110" t="s">
        <v>348</v>
      </c>
      <c r="C110">
        <v>0.39129999999999998</v>
      </c>
      <c r="D110">
        <v>-30.4</v>
      </c>
      <c r="E110" t="s">
        <v>149</v>
      </c>
      <c r="F110">
        <v>1.4483950086816039E-2</v>
      </c>
      <c r="G110">
        <v>0.3788239199467579</v>
      </c>
      <c r="H110">
        <v>-0.3168910843497148</v>
      </c>
      <c r="I110">
        <v>-31.524707758915351</v>
      </c>
      <c r="J110">
        <v>2006</v>
      </c>
      <c r="K110">
        <v>1389</v>
      </c>
      <c r="L110" t="s">
        <v>349</v>
      </c>
      <c r="M110" t="s">
        <v>154</v>
      </c>
      <c r="N110">
        <v>48</v>
      </c>
      <c r="O110">
        <v>8685</v>
      </c>
      <c r="P110" t="s">
        <v>144</v>
      </c>
      <c r="Q110" t="s">
        <v>350</v>
      </c>
      <c r="R110" t="s">
        <v>351</v>
      </c>
      <c r="S110" t="s">
        <v>109</v>
      </c>
      <c r="T110">
        <v>3709</v>
      </c>
    </row>
    <row r="111" spans="1:20" x14ac:dyDescent="0.25">
      <c r="A111" s="1">
        <v>109</v>
      </c>
      <c r="B111" t="s">
        <v>352</v>
      </c>
      <c r="C111">
        <v>0.46929999999999999</v>
      </c>
      <c r="D111">
        <v>-29.22</v>
      </c>
      <c r="E111" t="s">
        <v>149</v>
      </c>
      <c r="F111">
        <v>1.160289046132626E-2</v>
      </c>
      <c r="G111">
        <v>0.45855369867716</v>
      </c>
      <c r="H111">
        <v>-2.5782029115962768</v>
      </c>
      <c r="I111">
        <v>-30.849278796855419</v>
      </c>
      <c r="J111">
        <v>2006</v>
      </c>
      <c r="K111">
        <v>1483</v>
      </c>
      <c r="L111" t="s">
        <v>353</v>
      </c>
      <c r="M111" t="s">
        <v>154</v>
      </c>
      <c r="N111">
        <v>50</v>
      </c>
      <c r="O111">
        <v>8617</v>
      </c>
      <c r="P111" t="s">
        <v>33</v>
      </c>
      <c r="Q111" t="s">
        <v>354</v>
      </c>
      <c r="R111" t="s">
        <v>355</v>
      </c>
      <c r="S111" t="s">
        <v>356</v>
      </c>
      <c r="T111">
        <v>3622</v>
      </c>
    </row>
    <row r="112" spans="1:20" x14ac:dyDescent="0.25">
      <c r="A112" s="1">
        <v>110</v>
      </c>
      <c r="B112" t="s">
        <v>357</v>
      </c>
      <c r="C112">
        <v>0.4597</v>
      </c>
      <c r="D112">
        <v>-30.1</v>
      </c>
      <c r="E112" t="s">
        <v>149</v>
      </c>
      <c r="F112">
        <v>1.6039725865632491E-2</v>
      </c>
      <c r="G112">
        <v>0.49232495664713982</v>
      </c>
      <c r="H112">
        <v>-2.3689339926014119</v>
      </c>
      <c r="I112">
        <v>-33.262944058334291</v>
      </c>
      <c r="J112">
        <v>2006</v>
      </c>
      <c r="K112">
        <v>583</v>
      </c>
      <c r="L112" t="s">
        <v>358</v>
      </c>
      <c r="M112" t="s">
        <v>154</v>
      </c>
      <c r="N112">
        <v>24</v>
      </c>
      <c r="P112" t="s">
        <v>63</v>
      </c>
      <c r="Q112">
        <v>3683</v>
      </c>
      <c r="R112" t="s">
        <v>64</v>
      </c>
      <c r="S112" t="s">
        <v>65</v>
      </c>
      <c r="T112">
        <v>3683</v>
      </c>
    </row>
    <row r="113" spans="1:20" x14ac:dyDescent="0.25">
      <c r="A113" s="1">
        <v>111</v>
      </c>
      <c r="B113" t="s">
        <v>359</v>
      </c>
      <c r="C113">
        <v>0.49790000000000001</v>
      </c>
      <c r="D113">
        <v>-31.97</v>
      </c>
      <c r="E113" t="s">
        <v>149</v>
      </c>
      <c r="F113">
        <v>2.513171226597375E-2</v>
      </c>
      <c r="G113">
        <v>0.43704348731261872</v>
      </c>
      <c r="H113">
        <v>-1.6346148503143909</v>
      </c>
      <c r="I113">
        <v>-31.683632220576509</v>
      </c>
      <c r="J113">
        <v>2006</v>
      </c>
      <c r="K113">
        <v>1882</v>
      </c>
      <c r="L113" t="s">
        <v>360</v>
      </c>
      <c r="M113" t="s">
        <v>154</v>
      </c>
      <c r="N113">
        <v>62</v>
      </c>
      <c r="O113">
        <v>8909</v>
      </c>
      <c r="P113" t="s">
        <v>210</v>
      </c>
      <c r="Q113" t="s">
        <v>211</v>
      </c>
      <c r="R113" t="s">
        <v>212</v>
      </c>
      <c r="S113" t="s">
        <v>213</v>
      </c>
      <c r="T113">
        <v>3612</v>
      </c>
    </row>
    <row r="114" spans="1:20" x14ac:dyDescent="0.25">
      <c r="A114" s="1">
        <v>112</v>
      </c>
      <c r="B114" t="s">
        <v>361</v>
      </c>
      <c r="C114">
        <v>0.48970000000000002</v>
      </c>
      <c r="D114">
        <v>-28.29</v>
      </c>
      <c r="E114" t="s">
        <v>149</v>
      </c>
      <c r="F114">
        <v>1.6604650969834829E-2</v>
      </c>
      <c r="G114">
        <v>0.46373769719071101</v>
      </c>
      <c r="H114">
        <v>-1.120490695294627</v>
      </c>
      <c r="I114">
        <v>-28.683933006722111</v>
      </c>
      <c r="J114">
        <v>2006</v>
      </c>
      <c r="K114">
        <v>1878</v>
      </c>
      <c r="L114" t="s">
        <v>362</v>
      </c>
      <c r="M114" t="s">
        <v>154</v>
      </c>
      <c r="N114">
        <v>62</v>
      </c>
      <c r="P114" t="s">
        <v>363</v>
      </c>
      <c r="Q114" t="s">
        <v>364</v>
      </c>
      <c r="R114" t="s">
        <v>365</v>
      </c>
      <c r="S114" t="s">
        <v>366</v>
      </c>
      <c r="T114">
        <v>3602</v>
      </c>
    </row>
    <row r="115" spans="1:20" x14ac:dyDescent="0.25">
      <c r="A115" s="1">
        <v>113</v>
      </c>
      <c r="B115" t="s">
        <v>367</v>
      </c>
      <c r="C115">
        <v>0.46949999999999997</v>
      </c>
      <c r="D115">
        <v>-32.299999999999997</v>
      </c>
      <c r="E115" t="s">
        <v>149</v>
      </c>
      <c r="F115">
        <v>1.457196010203041E-2</v>
      </c>
      <c r="G115">
        <v>0.42477680524619488</v>
      </c>
      <c r="H115">
        <v>-1.7709083076388521</v>
      </c>
      <c r="I115">
        <v>-33.481465193118382</v>
      </c>
      <c r="J115">
        <v>2006</v>
      </c>
      <c r="K115">
        <v>1407</v>
      </c>
      <c r="L115" t="s">
        <v>368</v>
      </c>
      <c r="M115" t="s">
        <v>154</v>
      </c>
      <c r="N115">
        <v>48</v>
      </c>
      <c r="O115">
        <v>8667</v>
      </c>
      <c r="P115" t="s">
        <v>33</v>
      </c>
      <c r="Q115" t="s">
        <v>369</v>
      </c>
      <c r="R115" t="s">
        <v>370</v>
      </c>
      <c r="S115" t="s">
        <v>371</v>
      </c>
      <c r="T115">
        <v>3700</v>
      </c>
    </row>
    <row r="116" spans="1:20" x14ac:dyDescent="0.25">
      <c r="A116" s="1">
        <v>114</v>
      </c>
      <c r="B116" t="s">
        <v>372</v>
      </c>
      <c r="C116">
        <v>0.503</v>
      </c>
      <c r="D116">
        <v>-26.31</v>
      </c>
      <c r="E116" t="s">
        <v>149</v>
      </c>
      <c r="F116">
        <v>2.027437819879099E-2</v>
      </c>
      <c r="G116">
        <v>0.4834485128686169</v>
      </c>
      <c r="H116">
        <v>0.49428160531712528</v>
      </c>
      <c r="I116">
        <v>-28.73359690099123</v>
      </c>
      <c r="J116">
        <v>2006</v>
      </c>
      <c r="K116">
        <v>1408</v>
      </c>
      <c r="L116" t="s">
        <v>373</v>
      </c>
      <c r="M116" t="s">
        <v>154</v>
      </c>
      <c r="N116">
        <v>48</v>
      </c>
      <c r="P116" t="s">
        <v>72</v>
      </c>
      <c r="Q116" t="s">
        <v>374</v>
      </c>
      <c r="R116" t="s">
        <v>375</v>
      </c>
      <c r="S116" t="s">
        <v>157</v>
      </c>
      <c r="T116">
        <v>3702</v>
      </c>
    </row>
    <row r="117" spans="1:20" x14ac:dyDescent="0.25">
      <c r="A117" s="1">
        <v>115</v>
      </c>
      <c r="B117" t="s">
        <v>376</v>
      </c>
      <c r="C117">
        <v>0.49209999999999998</v>
      </c>
      <c r="D117">
        <v>-31.4</v>
      </c>
      <c r="E117" t="s">
        <v>149</v>
      </c>
      <c r="F117">
        <v>1.691719272555825E-2</v>
      </c>
      <c r="G117">
        <v>0.47410528461390311</v>
      </c>
      <c r="H117">
        <v>-4.2165481780979217</v>
      </c>
      <c r="I117">
        <v>-31.753161672553269</v>
      </c>
      <c r="J117">
        <v>2006</v>
      </c>
      <c r="K117">
        <v>1470</v>
      </c>
      <c r="L117" t="s">
        <v>377</v>
      </c>
      <c r="M117" t="s">
        <v>154</v>
      </c>
      <c r="N117">
        <v>50</v>
      </c>
      <c r="O117">
        <v>8780</v>
      </c>
      <c r="P117" t="s">
        <v>378</v>
      </c>
      <c r="Q117" t="s">
        <v>379</v>
      </c>
      <c r="R117" t="s">
        <v>380</v>
      </c>
      <c r="S117" t="s">
        <v>381</v>
      </c>
      <c r="T117">
        <v>3617</v>
      </c>
    </row>
    <row r="118" spans="1:20" x14ac:dyDescent="0.25">
      <c r="A118" s="1">
        <v>116</v>
      </c>
      <c r="B118" t="s">
        <v>382</v>
      </c>
      <c r="C118">
        <v>0.4884</v>
      </c>
      <c r="D118">
        <v>-30.45</v>
      </c>
      <c r="E118" t="s">
        <v>149</v>
      </c>
      <c r="F118">
        <v>1.7807821567793061E-2</v>
      </c>
      <c r="G118">
        <v>0.46216306992345102</v>
      </c>
      <c r="H118">
        <v>-3.388741860159616</v>
      </c>
      <c r="I118">
        <v>-31.6339683263074</v>
      </c>
      <c r="J118">
        <v>2006</v>
      </c>
      <c r="K118">
        <v>1398</v>
      </c>
      <c r="L118" t="s">
        <v>383</v>
      </c>
      <c r="M118" t="s">
        <v>154</v>
      </c>
      <c r="N118">
        <v>48</v>
      </c>
      <c r="O118">
        <v>8678</v>
      </c>
      <c r="P118" t="s">
        <v>51</v>
      </c>
      <c r="Q118" t="s">
        <v>384</v>
      </c>
      <c r="R118" t="s">
        <v>385</v>
      </c>
      <c r="S118" t="s">
        <v>386</v>
      </c>
      <c r="T118">
        <v>3699</v>
      </c>
    </row>
    <row r="119" spans="1:20" x14ac:dyDescent="0.25">
      <c r="A119" s="1">
        <v>117</v>
      </c>
      <c r="B119" t="s">
        <v>387</v>
      </c>
      <c r="C119">
        <v>0.58840000000000003</v>
      </c>
      <c r="D119">
        <v>-30.95</v>
      </c>
      <c r="E119" t="s">
        <v>149</v>
      </c>
      <c r="F119">
        <v>2.1879865522536429E-2</v>
      </c>
      <c r="G119">
        <v>0.4946075668237031</v>
      </c>
      <c r="H119">
        <v>-1.177474372536597</v>
      </c>
      <c r="I119">
        <v>-31.177060499031558</v>
      </c>
      <c r="J119">
        <v>2006</v>
      </c>
      <c r="K119">
        <v>731</v>
      </c>
      <c r="L119" t="s">
        <v>388</v>
      </c>
      <c r="M119" t="s">
        <v>154</v>
      </c>
      <c r="N119">
        <v>28</v>
      </c>
      <c r="P119" t="s">
        <v>111</v>
      </c>
      <c r="Q119" t="s">
        <v>389</v>
      </c>
      <c r="R119" t="s">
        <v>113</v>
      </c>
      <c r="S119" t="s">
        <v>390</v>
      </c>
      <c r="T119">
        <v>3578</v>
      </c>
    </row>
    <row r="120" spans="1:20" x14ac:dyDescent="0.25">
      <c r="A120" s="1">
        <v>118</v>
      </c>
      <c r="B120" t="s">
        <v>391</v>
      </c>
      <c r="C120">
        <v>0.46839999999999998</v>
      </c>
      <c r="D120">
        <v>-25.81</v>
      </c>
      <c r="E120" t="s">
        <v>149</v>
      </c>
      <c r="J120">
        <v>2006</v>
      </c>
      <c r="K120">
        <v>498</v>
      </c>
      <c r="L120" t="s">
        <v>392</v>
      </c>
      <c r="M120" t="s">
        <v>154</v>
      </c>
      <c r="N120">
        <v>20</v>
      </c>
      <c r="P120" t="s">
        <v>111</v>
      </c>
      <c r="Q120">
        <v>3715</v>
      </c>
      <c r="R120" t="s">
        <v>393</v>
      </c>
      <c r="S120" t="s">
        <v>394</v>
      </c>
    </row>
    <row r="121" spans="1:20" x14ac:dyDescent="0.25">
      <c r="A121" s="1">
        <v>119</v>
      </c>
      <c r="B121" t="s">
        <v>395</v>
      </c>
      <c r="C121">
        <v>0.4592</v>
      </c>
      <c r="D121">
        <v>-30.18</v>
      </c>
      <c r="E121" t="s">
        <v>149</v>
      </c>
      <c r="F121">
        <v>2.8348926083450209E-2</v>
      </c>
      <c r="G121">
        <v>0.43719687266100121</v>
      </c>
      <c r="H121">
        <v>-1.285640914108688</v>
      </c>
      <c r="I121">
        <v>-32.100808932437047</v>
      </c>
      <c r="J121">
        <v>2006</v>
      </c>
      <c r="K121">
        <v>553</v>
      </c>
      <c r="L121" t="s">
        <v>396</v>
      </c>
      <c r="M121" t="s">
        <v>154</v>
      </c>
      <c r="N121">
        <v>23</v>
      </c>
      <c r="O121">
        <v>8986</v>
      </c>
      <c r="P121" t="s">
        <v>72</v>
      </c>
      <c r="Q121" t="s">
        <v>397</v>
      </c>
      <c r="R121" t="s">
        <v>98</v>
      </c>
      <c r="S121" t="s">
        <v>398</v>
      </c>
      <c r="T121">
        <v>3736</v>
      </c>
    </row>
    <row r="122" spans="1:20" x14ac:dyDescent="0.25">
      <c r="A122" s="1">
        <v>120</v>
      </c>
      <c r="B122" t="s">
        <v>399</v>
      </c>
      <c r="C122">
        <v>0.47239999999999999</v>
      </c>
      <c r="D122">
        <v>-29.71</v>
      </c>
      <c r="E122" t="s">
        <v>149</v>
      </c>
      <c r="F122">
        <v>3.1988442465653417E-2</v>
      </c>
      <c r="G122">
        <v>0.43220981233919997</v>
      </c>
      <c r="H122">
        <v>-0.70928295257644391</v>
      </c>
      <c r="I122">
        <v>-30.372505411871941</v>
      </c>
      <c r="J122">
        <v>2006</v>
      </c>
      <c r="K122">
        <v>563</v>
      </c>
      <c r="L122" t="s">
        <v>400</v>
      </c>
      <c r="M122" t="s">
        <v>154</v>
      </c>
      <c r="N122">
        <v>23</v>
      </c>
      <c r="O122">
        <v>8975</v>
      </c>
      <c r="P122" t="s">
        <v>72</v>
      </c>
      <c r="Q122" t="s">
        <v>401</v>
      </c>
      <c r="R122" t="s">
        <v>98</v>
      </c>
      <c r="S122" t="s">
        <v>99</v>
      </c>
      <c r="T122">
        <v>3744</v>
      </c>
    </row>
    <row r="123" spans="1:20" x14ac:dyDescent="0.25">
      <c r="A123" s="1">
        <v>121</v>
      </c>
      <c r="B123" t="s">
        <v>402</v>
      </c>
      <c r="C123">
        <v>0.46460000000000001</v>
      </c>
      <c r="D123">
        <v>-27.28</v>
      </c>
      <c r="E123" t="s">
        <v>149</v>
      </c>
      <c r="F123">
        <v>1.359867814592132E-2</v>
      </c>
      <c r="G123">
        <v>0.46096383394159413</v>
      </c>
      <c r="H123">
        <v>-4.8676717643683958</v>
      </c>
      <c r="I123">
        <v>-29.220303064828531</v>
      </c>
      <c r="J123">
        <v>2006</v>
      </c>
      <c r="K123">
        <v>715</v>
      </c>
      <c r="L123" t="s">
        <v>403</v>
      </c>
      <c r="M123" t="s">
        <v>154</v>
      </c>
      <c r="N123">
        <v>28</v>
      </c>
      <c r="O123">
        <v>8738</v>
      </c>
      <c r="P123" t="s">
        <v>404</v>
      </c>
      <c r="Q123" t="s">
        <v>405</v>
      </c>
      <c r="R123" t="s">
        <v>406</v>
      </c>
      <c r="S123" t="s">
        <v>407</v>
      </c>
      <c r="T123">
        <v>3587</v>
      </c>
    </row>
    <row r="124" spans="1:20" x14ac:dyDescent="0.25">
      <c r="A124" s="1">
        <v>122</v>
      </c>
      <c r="B124" t="s">
        <v>408</v>
      </c>
      <c r="C124">
        <v>0.47739999999999999</v>
      </c>
      <c r="D124">
        <v>-28.4</v>
      </c>
      <c r="E124" t="s">
        <v>149</v>
      </c>
      <c r="F124">
        <v>1.6171153461375161E-2</v>
      </c>
      <c r="G124">
        <v>0.50480645327754814</v>
      </c>
      <c r="H124">
        <v>-5.0002848426009221</v>
      </c>
      <c r="I124">
        <v>-30.998270479662761</v>
      </c>
      <c r="J124">
        <v>2006</v>
      </c>
      <c r="K124">
        <v>1880</v>
      </c>
      <c r="L124" t="s">
        <v>409</v>
      </c>
      <c r="M124" t="s">
        <v>154</v>
      </c>
      <c r="N124">
        <v>62</v>
      </c>
      <c r="P124" t="s">
        <v>63</v>
      </c>
      <c r="Q124" t="s">
        <v>410</v>
      </c>
      <c r="R124" t="s">
        <v>64</v>
      </c>
      <c r="S124" t="s">
        <v>221</v>
      </c>
      <c r="T124">
        <v>3615</v>
      </c>
    </row>
    <row r="125" spans="1:20" x14ac:dyDescent="0.25">
      <c r="A125" s="1">
        <v>123</v>
      </c>
      <c r="B125" t="s">
        <v>411</v>
      </c>
      <c r="C125">
        <v>0.48309999999999997</v>
      </c>
      <c r="D125">
        <v>-27.5</v>
      </c>
      <c r="E125" t="s">
        <v>149</v>
      </c>
      <c r="F125">
        <v>2.628400858266039E-2</v>
      </c>
      <c r="G125">
        <v>0.46560036517363601</v>
      </c>
      <c r="H125">
        <v>-2.09564949781356</v>
      </c>
      <c r="I125">
        <v>-28.912386920360031</v>
      </c>
      <c r="J125">
        <v>2006</v>
      </c>
      <c r="K125">
        <v>1459</v>
      </c>
      <c r="L125" t="s">
        <v>412</v>
      </c>
      <c r="M125" t="s">
        <v>154</v>
      </c>
      <c r="N125">
        <v>50</v>
      </c>
      <c r="O125">
        <v>8786</v>
      </c>
      <c r="P125" t="s">
        <v>26</v>
      </c>
      <c r="Q125" t="s">
        <v>413</v>
      </c>
      <c r="R125" t="s">
        <v>414</v>
      </c>
      <c r="S125" t="s">
        <v>415</v>
      </c>
      <c r="T125">
        <v>3624</v>
      </c>
    </row>
    <row r="126" spans="1:20" x14ac:dyDescent="0.25">
      <c r="A126" s="1">
        <v>124</v>
      </c>
      <c r="B126" t="s">
        <v>416</v>
      </c>
      <c r="C126">
        <v>0.5252</v>
      </c>
      <c r="D126">
        <v>-30.96</v>
      </c>
      <c r="E126" t="s">
        <v>149</v>
      </c>
      <c r="F126">
        <v>2.5084689089693829E-2</v>
      </c>
      <c r="G126">
        <v>0.4686120054377852</v>
      </c>
      <c r="H126">
        <v>1.0068399114070909</v>
      </c>
      <c r="I126">
        <v>-32.508052865443773</v>
      </c>
      <c r="J126">
        <v>2006</v>
      </c>
      <c r="K126">
        <v>1823</v>
      </c>
      <c r="L126" t="s">
        <v>417</v>
      </c>
      <c r="M126" t="s">
        <v>154</v>
      </c>
      <c r="N126">
        <v>60</v>
      </c>
      <c r="O126">
        <v>8767</v>
      </c>
      <c r="P126" t="s">
        <v>80</v>
      </c>
      <c r="Q126" t="s">
        <v>418</v>
      </c>
      <c r="R126" t="s">
        <v>419</v>
      </c>
      <c r="S126" t="s">
        <v>157</v>
      </c>
      <c r="T126">
        <v>5010</v>
      </c>
    </row>
    <row r="127" spans="1:20" x14ac:dyDescent="0.25">
      <c r="A127" s="1">
        <v>125</v>
      </c>
      <c r="B127" t="s">
        <v>420</v>
      </c>
      <c r="C127">
        <v>0.4012</v>
      </c>
      <c r="D127">
        <v>-29.9</v>
      </c>
      <c r="E127" t="s">
        <v>20</v>
      </c>
      <c r="J127">
        <v>2006</v>
      </c>
      <c r="K127">
        <v>495</v>
      </c>
      <c r="N127">
        <v>20</v>
      </c>
      <c r="P127" t="s">
        <v>28</v>
      </c>
      <c r="R127" t="s">
        <v>421</v>
      </c>
    </row>
    <row r="128" spans="1:20" x14ac:dyDescent="0.25">
      <c r="A128" s="1">
        <v>126</v>
      </c>
      <c r="B128" t="s">
        <v>422</v>
      </c>
      <c r="C128">
        <v>0.4672</v>
      </c>
      <c r="D128">
        <v>-29.51</v>
      </c>
      <c r="E128" t="s">
        <v>20</v>
      </c>
      <c r="J128">
        <v>2006</v>
      </c>
      <c r="K128">
        <v>489</v>
      </c>
      <c r="N128">
        <v>20</v>
      </c>
      <c r="P128" t="s">
        <v>111</v>
      </c>
      <c r="R128" t="s">
        <v>393</v>
      </c>
      <c r="S128" t="s">
        <v>394</v>
      </c>
    </row>
    <row r="129" spans="1:19" x14ac:dyDescent="0.25">
      <c r="A129" s="1">
        <v>127</v>
      </c>
      <c r="B129" t="s">
        <v>423</v>
      </c>
      <c r="C129">
        <v>41.1444369347698</v>
      </c>
      <c r="D129">
        <v>-30.2891308227147</v>
      </c>
      <c r="E129" t="s">
        <v>20</v>
      </c>
      <c r="F129">
        <v>1.5008298E-2</v>
      </c>
      <c r="G129">
        <v>0.47861105900000001</v>
      </c>
      <c r="H129">
        <v>-1.3988787878787909</v>
      </c>
      <c r="I129">
        <v>-32.715910498409343</v>
      </c>
      <c r="J129">
        <v>2025</v>
      </c>
      <c r="N129">
        <v>28</v>
      </c>
      <c r="O129">
        <v>8715</v>
      </c>
      <c r="P129" t="s">
        <v>28</v>
      </c>
      <c r="R129" t="s">
        <v>271</v>
      </c>
    </row>
    <row r="130" spans="1:19" x14ac:dyDescent="0.25">
      <c r="A130" s="1">
        <v>128</v>
      </c>
      <c r="B130" t="s">
        <v>424</v>
      </c>
      <c r="C130">
        <v>43.943858308603502</v>
      </c>
      <c r="D130">
        <v>-29.1445559259646</v>
      </c>
      <c r="E130" t="s">
        <v>20</v>
      </c>
      <c r="F130">
        <v>1.2930682000000001E-2</v>
      </c>
      <c r="G130">
        <v>0.45821731999999998</v>
      </c>
      <c r="H130">
        <v>-0.81565151515151779</v>
      </c>
      <c r="I130">
        <v>-31.40620784729586</v>
      </c>
      <c r="J130">
        <v>2025</v>
      </c>
      <c r="K130">
        <v>739</v>
      </c>
      <c r="N130">
        <v>28</v>
      </c>
      <c r="O130">
        <v>8726</v>
      </c>
      <c r="P130" t="s">
        <v>28</v>
      </c>
      <c r="Q130" t="s">
        <v>279</v>
      </c>
      <c r="R130" t="s">
        <v>280</v>
      </c>
      <c r="S130" t="s">
        <v>281</v>
      </c>
    </row>
    <row r="131" spans="1:19" x14ac:dyDescent="0.25">
      <c r="A131" s="1">
        <v>129</v>
      </c>
      <c r="B131" t="s">
        <v>425</v>
      </c>
      <c r="C131">
        <v>43.0530253219559</v>
      </c>
      <c r="D131">
        <v>-30.4450094992612</v>
      </c>
      <c r="E131" t="s">
        <v>20</v>
      </c>
      <c r="F131">
        <v>2.2495804000000001E-2</v>
      </c>
      <c r="G131">
        <v>0.44423522599999998</v>
      </c>
      <c r="H131">
        <v>-0.69684595959596229</v>
      </c>
      <c r="I131">
        <v>-32.540595970307528</v>
      </c>
      <c r="J131">
        <v>2025</v>
      </c>
      <c r="K131">
        <v>719</v>
      </c>
      <c r="N131">
        <v>28</v>
      </c>
      <c r="O131">
        <v>8735</v>
      </c>
      <c r="P131" t="s">
        <v>72</v>
      </c>
      <c r="Q131" t="s">
        <v>258</v>
      </c>
      <c r="R131" t="s">
        <v>259</v>
      </c>
      <c r="S131" t="s">
        <v>260</v>
      </c>
    </row>
    <row r="132" spans="1:19" x14ac:dyDescent="0.25">
      <c r="A132" s="1">
        <v>130</v>
      </c>
      <c r="B132" t="s">
        <v>426</v>
      </c>
      <c r="C132">
        <v>48.1950414439901</v>
      </c>
      <c r="D132">
        <v>-30.343796248292001</v>
      </c>
      <c r="E132" t="s">
        <v>20</v>
      </c>
      <c r="F132">
        <v>2.3168089999999999E-2</v>
      </c>
      <c r="G132">
        <v>0.49885458300000002</v>
      </c>
      <c r="H132">
        <v>-0.43763383838384101</v>
      </c>
      <c r="I132">
        <v>-31.942464050901378</v>
      </c>
      <c r="J132">
        <v>2025</v>
      </c>
      <c r="K132">
        <v>746</v>
      </c>
      <c r="N132">
        <v>28</v>
      </c>
      <c r="O132">
        <v>8718</v>
      </c>
      <c r="P132" t="s">
        <v>111</v>
      </c>
      <c r="Q132">
        <f>3578</f>
        <v>3578</v>
      </c>
      <c r="R132" t="s">
        <v>113</v>
      </c>
      <c r="S132" t="s">
        <v>390</v>
      </c>
    </row>
    <row r="133" spans="1:19" x14ac:dyDescent="0.25">
      <c r="A133" s="1">
        <v>131</v>
      </c>
      <c r="B133" t="s">
        <v>427</v>
      </c>
      <c r="C133">
        <v>46.393839873281401</v>
      </c>
      <c r="D133">
        <v>-29.103496782310899</v>
      </c>
      <c r="E133" t="s">
        <v>20</v>
      </c>
      <c r="F133">
        <v>1.6560271000000001E-2</v>
      </c>
      <c r="G133">
        <v>0.50301438700000001</v>
      </c>
      <c r="H133">
        <v>-0.62124242424242682</v>
      </c>
      <c r="I133">
        <v>-31.086516648992578</v>
      </c>
      <c r="J133">
        <v>2025</v>
      </c>
      <c r="K133">
        <v>726</v>
      </c>
      <c r="N133">
        <v>28</v>
      </c>
      <c r="O133">
        <v>8733</v>
      </c>
      <c r="P133" t="s">
        <v>51</v>
      </c>
      <c r="Q133" t="s">
        <v>253</v>
      </c>
      <c r="R133" t="s">
        <v>254</v>
      </c>
    </row>
    <row r="134" spans="1:19" x14ac:dyDescent="0.25">
      <c r="A134" s="1">
        <v>132</v>
      </c>
      <c r="B134" t="s">
        <v>428</v>
      </c>
      <c r="C134">
        <v>44.7140793737736</v>
      </c>
      <c r="D134">
        <v>-30.289050445665801</v>
      </c>
      <c r="E134" t="s">
        <v>20</v>
      </c>
      <c r="F134">
        <v>1.3334221E-2</v>
      </c>
      <c r="G134">
        <v>0.48744971799999998</v>
      </c>
      <c r="H134">
        <v>4.8388888888886469E-2</v>
      </c>
      <c r="I134">
        <v>-31.736211664899258</v>
      </c>
      <c r="J134">
        <v>2025</v>
      </c>
      <c r="K134">
        <v>755</v>
      </c>
      <c r="N134">
        <v>28</v>
      </c>
      <c r="O134">
        <v>8708</v>
      </c>
      <c r="P134" t="s">
        <v>63</v>
      </c>
      <c r="Q134" t="s">
        <v>220</v>
      </c>
      <c r="R134" t="s">
        <v>64</v>
      </c>
      <c r="S134" t="s">
        <v>221</v>
      </c>
    </row>
    <row r="135" spans="1:19" x14ac:dyDescent="0.25">
      <c r="A135" s="1">
        <v>133</v>
      </c>
      <c r="B135" t="s">
        <v>429</v>
      </c>
      <c r="C135">
        <v>43.330252490663</v>
      </c>
      <c r="D135">
        <v>-31.069491849298501</v>
      </c>
      <c r="E135" t="s">
        <v>20</v>
      </c>
      <c r="F135">
        <v>1.6808389E-2</v>
      </c>
      <c r="G135">
        <v>0.392860231</v>
      </c>
      <c r="H135">
        <v>2.3164949494949481</v>
      </c>
      <c r="I135">
        <v>-32.530283351007427</v>
      </c>
      <c r="J135">
        <v>2025</v>
      </c>
      <c r="K135">
        <v>561</v>
      </c>
      <c r="N135">
        <v>23</v>
      </c>
      <c r="O135">
        <v>8976</v>
      </c>
      <c r="P135" t="s">
        <v>28</v>
      </c>
      <c r="Q135" t="s">
        <v>29</v>
      </c>
      <c r="R135" t="s">
        <v>30</v>
      </c>
      <c r="S135" t="s">
        <v>31</v>
      </c>
    </row>
    <row r="136" spans="1:19" x14ac:dyDescent="0.25">
      <c r="A136" s="1">
        <v>134</v>
      </c>
      <c r="B136" t="s">
        <v>430</v>
      </c>
      <c r="C136">
        <v>43.591237577132503</v>
      </c>
      <c r="D136">
        <v>-30.9151158293839</v>
      </c>
      <c r="E136" t="s">
        <v>20</v>
      </c>
      <c r="F136">
        <v>2.7895579E-2</v>
      </c>
      <c r="G136">
        <v>0.41484919399999998</v>
      </c>
      <c r="H136">
        <v>1.2256439393939369</v>
      </c>
      <c r="I136">
        <v>-32.169341675503723</v>
      </c>
      <c r="J136">
        <v>2025</v>
      </c>
      <c r="K136">
        <v>737</v>
      </c>
      <c r="N136">
        <v>28</v>
      </c>
      <c r="O136">
        <v>8721</v>
      </c>
      <c r="P136" t="s">
        <v>105</v>
      </c>
      <c r="Q136" t="s">
        <v>346</v>
      </c>
      <c r="R136" t="s">
        <v>238</v>
      </c>
      <c r="S136" t="s">
        <v>347</v>
      </c>
    </row>
    <row r="137" spans="1:19" x14ac:dyDescent="0.25">
      <c r="A137" s="1">
        <v>135</v>
      </c>
      <c r="B137" t="s">
        <v>430</v>
      </c>
      <c r="C137">
        <v>43.591237577132503</v>
      </c>
      <c r="D137">
        <v>-30.9151158293839</v>
      </c>
      <c r="E137" t="s">
        <v>20</v>
      </c>
      <c r="F137">
        <v>2.7895579E-2</v>
      </c>
      <c r="G137">
        <v>0.41484919399999998</v>
      </c>
      <c r="H137">
        <v>1.2256439393939369</v>
      </c>
      <c r="I137">
        <v>-32.169341675503723</v>
      </c>
      <c r="J137">
        <v>2025</v>
      </c>
      <c r="N137">
        <v>28</v>
      </c>
      <c r="O137">
        <v>8721</v>
      </c>
      <c r="P137" t="s">
        <v>144</v>
      </c>
    </row>
    <row r="138" spans="1:19" x14ac:dyDescent="0.25">
      <c r="A138" s="1">
        <v>136</v>
      </c>
      <c r="B138" t="s">
        <v>431</v>
      </c>
      <c r="C138">
        <v>44.456887590756601</v>
      </c>
      <c r="D138">
        <v>-28.6232503275406</v>
      </c>
      <c r="E138" t="s">
        <v>20</v>
      </c>
      <c r="F138">
        <v>1.1539571E-2</v>
      </c>
      <c r="G138">
        <v>0.45416973700000002</v>
      </c>
      <c r="H138">
        <v>-4.0450025252525297</v>
      </c>
      <c r="I138">
        <v>-30.37494591728526</v>
      </c>
      <c r="J138">
        <v>2025</v>
      </c>
      <c r="K138">
        <v>740</v>
      </c>
      <c r="N138">
        <v>28</v>
      </c>
      <c r="O138">
        <v>8716</v>
      </c>
      <c r="P138" t="s">
        <v>432</v>
      </c>
      <c r="Q138" t="s">
        <v>433</v>
      </c>
      <c r="R138" t="s">
        <v>434</v>
      </c>
      <c r="S138" t="s">
        <v>435</v>
      </c>
    </row>
    <row r="139" spans="1:19" x14ac:dyDescent="0.25">
      <c r="A139" s="1">
        <v>137</v>
      </c>
      <c r="B139" t="s">
        <v>436</v>
      </c>
      <c r="C139">
        <v>37.229610685574301</v>
      </c>
      <c r="D139">
        <v>-29.195102150877702</v>
      </c>
      <c r="E139" t="s">
        <v>20</v>
      </c>
      <c r="F139">
        <v>3.2737522999999998E-2</v>
      </c>
      <c r="G139">
        <v>0.44608301900000003</v>
      </c>
      <c r="H139">
        <v>1.344449494949493</v>
      </c>
      <c r="I139">
        <v>-30.52963520678685</v>
      </c>
      <c r="J139">
        <v>2025</v>
      </c>
      <c r="K139">
        <v>564</v>
      </c>
      <c r="N139">
        <v>23</v>
      </c>
      <c r="O139">
        <v>8974</v>
      </c>
      <c r="P139" t="s">
        <v>51</v>
      </c>
      <c r="Q139" t="s">
        <v>317</v>
      </c>
      <c r="R139" t="s">
        <v>318</v>
      </c>
      <c r="S139" t="s">
        <v>129</v>
      </c>
    </row>
    <row r="140" spans="1:19" x14ac:dyDescent="0.25">
      <c r="A140" s="1">
        <v>138</v>
      </c>
      <c r="B140" t="s">
        <v>437</v>
      </c>
      <c r="C140">
        <v>29.235018235055001</v>
      </c>
      <c r="D140">
        <v>-27.295308337588502</v>
      </c>
      <c r="E140" t="s">
        <v>20</v>
      </c>
      <c r="F140">
        <v>1.8465961999999999E-2</v>
      </c>
      <c r="G140">
        <v>0.38981501699999999</v>
      </c>
      <c r="H140">
        <v>1.852073232323231</v>
      </c>
      <c r="I140">
        <v>-30.230569247083778</v>
      </c>
      <c r="J140">
        <v>2025</v>
      </c>
      <c r="K140">
        <v>570</v>
      </c>
      <c r="N140">
        <v>23</v>
      </c>
      <c r="O140">
        <v>8980</v>
      </c>
      <c r="P140" t="s">
        <v>105</v>
      </c>
      <c r="Q140" t="s">
        <v>168</v>
      </c>
      <c r="R140" t="s">
        <v>106</v>
      </c>
      <c r="S140" t="s">
        <v>122</v>
      </c>
    </row>
    <row r="141" spans="1:19" x14ac:dyDescent="0.25">
      <c r="A141" s="1">
        <v>139</v>
      </c>
      <c r="B141" t="s">
        <v>437</v>
      </c>
      <c r="C141">
        <v>0.27279999999999999</v>
      </c>
      <c r="D141">
        <v>-28.17</v>
      </c>
      <c r="E141" t="s">
        <v>20</v>
      </c>
      <c r="J141">
        <v>2025</v>
      </c>
      <c r="K141">
        <v>570</v>
      </c>
      <c r="N141">
        <v>23</v>
      </c>
      <c r="O141">
        <v>8980</v>
      </c>
      <c r="P141" t="s">
        <v>105</v>
      </c>
      <c r="Q141" t="s">
        <v>168</v>
      </c>
      <c r="R141" t="s">
        <v>106</v>
      </c>
      <c r="S141" t="s">
        <v>122</v>
      </c>
    </row>
    <row r="142" spans="1:19" x14ac:dyDescent="0.25">
      <c r="A142" s="1">
        <v>140</v>
      </c>
      <c r="B142" t="s">
        <v>438</v>
      </c>
      <c r="C142">
        <v>41.159136443641003</v>
      </c>
      <c r="D142">
        <v>-29.4525475567856</v>
      </c>
      <c r="E142" t="s">
        <v>20</v>
      </c>
      <c r="F142">
        <v>4.0569896000000001E-2</v>
      </c>
      <c r="G142">
        <v>0.4512003</v>
      </c>
      <c r="H142">
        <v>0.13479292929292691</v>
      </c>
      <c r="I142">
        <v>-30.333695440084831</v>
      </c>
      <c r="J142">
        <v>2025</v>
      </c>
      <c r="K142">
        <v>553</v>
      </c>
      <c r="N142">
        <v>23</v>
      </c>
      <c r="O142">
        <v>8986</v>
      </c>
      <c r="P142" t="s">
        <v>72</v>
      </c>
      <c r="Q142" t="s">
        <v>397</v>
      </c>
      <c r="R142" t="s">
        <v>98</v>
      </c>
      <c r="S142" t="s">
        <v>398</v>
      </c>
    </row>
    <row r="143" spans="1:19" x14ac:dyDescent="0.25">
      <c r="A143" s="1">
        <v>141</v>
      </c>
      <c r="B143" t="s">
        <v>439</v>
      </c>
      <c r="C143">
        <v>42.337351793582997</v>
      </c>
      <c r="D143">
        <v>-29.0008888885468</v>
      </c>
      <c r="E143" t="s">
        <v>20</v>
      </c>
      <c r="F143">
        <v>1.1074034999999999E-2</v>
      </c>
      <c r="G143">
        <v>0.42231847300000003</v>
      </c>
      <c r="H143">
        <v>0.7396212121212099</v>
      </c>
      <c r="I143">
        <v>-30.570885683987271</v>
      </c>
      <c r="J143">
        <v>2025</v>
      </c>
      <c r="K143">
        <v>559</v>
      </c>
      <c r="N143">
        <v>23</v>
      </c>
      <c r="O143">
        <v>8983</v>
      </c>
      <c r="P143" t="s">
        <v>80</v>
      </c>
      <c r="Q143" t="s">
        <v>81</v>
      </c>
      <c r="R143" t="s">
        <v>82</v>
      </c>
      <c r="S143" t="s">
        <v>83</v>
      </c>
    </row>
    <row r="144" spans="1:19" x14ac:dyDescent="0.25">
      <c r="A144" s="1">
        <v>142</v>
      </c>
      <c r="B144" t="s">
        <v>440</v>
      </c>
      <c r="C144">
        <v>41.530335605894301</v>
      </c>
      <c r="D144">
        <v>-29.710772172425401</v>
      </c>
      <c r="E144" t="s">
        <v>20</v>
      </c>
      <c r="F144">
        <v>2.9246208999999999E-2</v>
      </c>
      <c r="G144">
        <v>0.44456076700000002</v>
      </c>
      <c r="H144">
        <v>-1.0640631313131339</v>
      </c>
      <c r="I144">
        <v>-31.633085471898202</v>
      </c>
      <c r="J144">
        <v>2025</v>
      </c>
      <c r="K144">
        <v>563</v>
      </c>
      <c r="N144">
        <v>23</v>
      </c>
      <c r="O144">
        <v>8975</v>
      </c>
      <c r="P144" t="s">
        <v>72</v>
      </c>
      <c r="Q144" t="s">
        <v>401</v>
      </c>
      <c r="R144" t="s">
        <v>98</v>
      </c>
      <c r="S144" t="s">
        <v>99</v>
      </c>
    </row>
    <row r="145" spans="1:19" x14ac:dyDescent="0.25">
      <c r="A145" s="1">
        <v>143</v>
      </c>
      <c r="B145" t="s">
        <v>441</v>
      </c>
      <c r="C145">
        <v>41.643996771556502</v>
      </c>
      <c r="D145">
        <v>-29.519304007414</v>
      </c>
      <c r="E145" t="s">
        <v>20</v>
      </c>
      <c r="F145">
        <v>2.2873870000000001E-2</v>
      </c>
      <c r="G145">
        <v>0.49570773699999998</v>
      </c>
      <c r="H145">
        <v>2.6297095959595951</v>
      </c>
      <c r="I145">
        <v>-31.890900954400848</v>
      </c>
      <c r="J145">
        <v>2025</v>
      </c>
      <c r="N145">
        <v>23</v>
      </c>
      <c r="O145">
        <v>8985</v>
      </c>
      <c r="P145" t="s">
        <v>28</v>
      </c>
    </row>
    <row r="146" spans="1:19" x14ac:dyDescent="0.25">
      <c r="A146" s="1">
        <v>144</v>
      </c>
      <c r="B146" t="s">
        <v>442</v>
      </c>
      <c r="C146">
        <v>45.485760602444401</v>
      </c>
      <c r="D146">
        <v>-29.3396028599395</v>
      </c>
      <c r="E146" t="s">
        <v>20</v>
      </c>
      <c r="F146">
        <v>1.8643936999999999E-2</v>
      </c>
      <c r="G146">
        <v>0.46028507200000002</v>
      </c>
      <c r="H146">
        <v>2.132886363636362</v>
      </c>
      <c r="I146">
        <v>-30.859639024390251</v>
      </c>
      <c r="J146">
        <v>2025</v>
      </c>
      <c r="K146">
        <v>558</v>
      </c>
      <c r="N146">
        <v>23</v>
      </c>
      <c r="O146">
        <v>8989</v>
      </c>
      <c r="P146" t="s">
        <v>72</v>
      </c>
      <c r="Q146" t="s">
        <v>443</v>
      </c>
      <c r="R146" t="s">
        <v>375</v>
      </c>
    </row>
    <row r="147" spans="1:19" x14ac:dyDescent="0.25">
      <c r="A147" s="1">
        <v>145</v>
      </c>
      <c r="B147" t="s">
        <v>444</v>
      </c>
      <c r="C147">
        <v>42.508620792853399</v>
      </c>
      <c r="D147">
        <v>-31.191296322384101</v>
      </c>
      <c r="E147" t="s">
        <v>20</v>
      </c>
      <c r="F147">
        <v>1.0451804E-2</v>
      </c>
      <c r="G147">
        <v>0.34852384199999997</v>
      </c>
      <c r="H147">
        <v>1.528058080808079</v>
      </c>
      <c r="I147">
        <v>-32.581846447507957</v>
      </c>
      <c r="J147">
        <v>2025</v>
      </c>
      <c r="K147">
        <v>757</v>
      </c>
      <c r="N147">
        <v>28</v>
      </c>
      <c r="O147">
        <v>8702</v>
      </c>
      <c r="P147" t="s">
        <v>183</v>
      </c>
      <c r="Q147" t="s">
        <v>234</v>
      </c>
      <c r="R147" t="s">
        <v>184</v>
      </c>
    </row>
    <row r="148" spans="1:19" x14ac:dyDescent="0.25">
      <c r="A148" s="1">
        <v>146</v>
      </c>
      <c r="B148" t="s">
        <v>445</v>
      </c>
      <c r="C148">
        <v>41.4838720382917</v>
      </c>
      <c r="D148">
        <v>-30.398487263376602</v>
      </c>
      <c r="E148" t="s">
        <v>20</v>
      </c>
      <c r="F148">
        <v>1.8573859000000002E-2</v>
      </c>
      <c r="G148">
        <v>0.44646581099999999</v>
      </c>
      <c r="H148">
        <v>0.44800757575757338</v>
      </c>
      <c r="I148">
        <v>-32.643722163308603</v>
      </c>
      <c r="J148">
        <v>2025</v>
      </c>
      <c r="N148">
        <v>28</v>
      </c>
      <c r="O148">
        <v>8713</v>
      </c>
      <c r="P148" t="s">
        <v>306</v>
      </c>
      <c r="R148" t="s">
        <v>308</v>
      </c>
      <c r="S148" t="s">
        <v>446</v>
      </c>
    </row>
    <row r="149" spans="1:19" x14ac:dyDescent="0.25">
      <c r="A149" s="1">
        <v>147</v>
      </c>
      <c r="B149" t="s">
        <v>447</v>
      </c>
      <c r="C149">
        <v>43.684374758401702</v>
      </c>
      <c r="D149">
        <v>-29.814975376547299</v>
      </c>
      <c r="E149" t="s">
        <v>20</v>
      </c>
      <c r="F149">
        <v>2.5007090999999999E-2</v>
      </c>
      <c r="G149">
        <v>0.46951184499999998</v>
      </c>
      <c r="H149">
        <v>-0.72924747474747753</v>
      </c>
      <c r="I149">
        <v>-31.364957370095439</v>
      </c>
      <c r="J149">
        <v>2025</v>
      </c>
      <c r="K149">
        <v>748</v>
      </c>
      <c r="N149">
        <v>28</v>
      </c>
      <c r="O149">
        <v>8711</v>
      </c>
      <c r="P149" t="s">
        <v>72</v>
      </c>
      <c r="Q149">
        <f>3579</f>
        <v>3579</v>
      </c>
      <c r="R149" t="s">
        <v>259</v>
      </c>
      <c r="S149" t="s">
        <v>260</v>
      </c>
    </row>
    <row r="150" spans="1:19" x14ac:dyDescent="0.25">
      <c r="A150" s="1">
        <v>148</v>
      </c>
      <c r="B150" t="s">
        <v>448</v>
      </c>
      <c r="C150">
        <v>42.609451238476801</v>
      </c>
      <c r="D150">
        <v>-29.4398007961879</v>
      </c>
      <c r="E150" t="s">
        <v>20</v>
      </c>
      <c r="F150">
        <v>1.8394412999999998E-2</v>
      </c>
      <c r="G150">
        <v>0.43996998199999998</v>
      </c>
      <c r="H150">
        <v>2.9969267676767659</v>
      </c>
      <c r="I150">
        <v>-31.478396182396612</v>
      </c>
      <c r="J150">
        <v>2025</v>
      </c>
      <c r="K150">
        <v>560</v>
      </c>
      <c r="N150">
        <v>23</v>
      </c>
      <c r="O150">
        <v>8982</v>
      </c>
      <c r="P150" t="s">
        <v>51</v>
      </c>
      <c r="Q150" t="s">
        <v>52</v>
      </c>
      <c r="R150" t="s">
        <v>53</v>
      </c>
      <c r="S150" t="s">
        <v>31</v>
      </c>
    </row>
    <row r="151" spans="1:19" x14ac:dyDescent="0.25">
      <c r="A151" s="1">
        <v>149</v>
      </c>
      <c r="B151" t="s">
        <v>449</v>
      </c>
      <c r="C151">
        <v>41.245394486798702</v>
      </c>
      <c r="D151">
        <v>-31.643590126491699</v>
      </c>
      <c r="E151" t="s">
        <v>20</v>
      </c>
      <c r="F151">
        <v>2.9902413999999999E-2</v>
      </c>
      <c r="G151">
        <v>0.447937109</v>
      </c>
      <c r="H151">
        <v>5.9189393939391537E-2</v>
      </c>
      <c r="I151">
        <v>-33.571857900318129</v>
      </c>
      <c r="J151">
        <v>2025</v>
      </c>
      <c r="K151">
        <v>543</v>
      </c>
      <c r="N151">
        <v>22</v>
      </c>
      <c r="O151">
        <v>8962</v>
      </c>
      <c r="P151" t="s">
        <v>72</v>
      </c>
      <c r="Q151">
        <v>2037</v>
      </c>
      <c r="R151" t="s">
        <v>73</v>
      </c>
      <c r="S151" t="s">
        <v>74</v>
      </c>
    </row>
    <row r="152" spans="1:19" x14ac:dyDescent="0.25">
      <c r="A152" s="1">
        <v>150</v>
      </c>
      <c r="B152" t="s">
        <v>450</v>
      </c>
      <c r="C152">
        <v>45.206669576199097</v>
      </c>
      <c r="D152">
        <v>-33.463548618609401</v>
      </c>
      <c r="E152" t="s">
        <v>20</v>
      </c>
      <c r="F152">
        <v>2.3312171999999999E-2</v>
      </c>
      <c r="G152">
        <v>0.47304990299999999</v>
      </c>
      <c r="H152">
        <v>2.1004848484848471</v>
      </c>
      <c r="I152">
        <v>-34.510306256627793</v>
      </c>
      <c r="J152">
        <v>2025</v>
      </c>
      <c r="N152">
        <v>22</v>
      </c>
      <c r="O152">
        <v>8966</v>
      </c>
      <c r="P152" t="s">
        <v>111</v>
      </c>
    </row>
    <row r="153" spans="1:19" x14ac:dyDescent="0.25">
      <c r="A153" s="1">
        <v>151</v>
      </c>
      <c r="B153" t="s">
        <v>451</v>
      </c>
      <c r="C153">
        <v>42.973485834492202</v>
      </c>
      <c r="D153">
        <v>-30.0055722815965</v>
      </c>
      <c r="E153" t="s">
        <v>20</v>
      </c>
      <c r="F153">
        <v>2.7952579000000002E-2</v>
      </c>
      <c r="G153">
        <v>0.45960752599999999</v>
      </c>
      <c r="H153">
        <v>1.484856060606059</v>
      </c>
      <c r="I153">
        <v>-32.313718345705198</v>
      </c>
      <c r="J153">
        <v>2025</v>
      </c>
      <c r="K153">
        <v>531</v>
      </c>
      <c r="N153">
        <v>22</v>
      </c>
      <c r="O153">
        <v>8961</v>
      </c>
      <c r="P153" t="s">
        <v>72</v>
      </c>
      <c r="Q153">
        <v>2062</v>
      </c>
      <c r="R153" t="s">
        <v>98</v>
      </c>
      <c r="S153" t="s">
        <v>452</v>
      </c>
    </row>
    <row r="154" spans="1:19" x14ac:dyDescent="0.25">
      <c r="A154" s="1">
        <v>152</v>
      </c>
      <c r="B154" t="s">
        <v>453</v>
      </c>
      <c r="C154">
        <v>41.958802083458103</v>
      </c>
      <c r="D154">
        <v>-32.576879049954698</v>
      </c>
      <c r="E154" t="s">
        <v>20</v>
      </c>
      <c r="J154">
        <v>2025</v>
      </c>
      <c r="O154">
        <v>8878</v>
      </c>
    </row>
    <row r="155" spans="1:19" x14ac:dyDescent="0.25">
      <c r="A155" s="1">
        <v>153</v>
      </c>
      <c r="B155" t="s">
        <v>454</v>
      </c>
      <c r="C155">
        <v>44.249996686926103</v>
      </c>
      <c r="D155">
        <v>-31.980242911481</v>
      </c>
      <c r="E155" t="s">
        <v>20</v>
      </c>
      <c r="F155">
        <v>2.0303437000000001E-2</v>
      </c>
      <c r="G155">
        <v>0.35713837100000001</v>
      </c>
      <c r="H155">
        <v>3.7205606060606051</v>
      </c>
      <c r="I155">
        <v>-32.984038600212088</v>
      </c>
      <c r="J155">
        <v>2025</v>
      </c>
      <c r="N155">
        <v>22</v>
      </c>
      <c r="O155">
        <v>8965</v>
      </c>
      <c r="P155" t="s">
        <v>26</v>
      </c>
    </row>
    <row r="156" spans="1:19" x14ac:dyDescent="0.25">
      <c r="A156" s="1">
        <v>154</v>
      </c>
      <c r="B156" t="s">
        <v>455</v>
      </c>
      <c r="C156">
        <v>43.965154587548597</v>
      </c>
      <c r="D156">
        <v>-25.886478548615202</v>
      </c>
      <c r="E156" t="s">
        <v>20</v>
      </c>
      <c r="F156">
        <v>3.2576278E-2</v>
      </c>
      <c r="G156">
        <v>0.47132439199999998</v>
      </c>
      <c r="H156">
        <v>2.003280303030301</v>
      </c>
      <c r="I156">
        <v>-27.786478472958649</v>
      </c>
      <c r="J156">
        <v>2025</v>
      </c>
      <c r="K156">
        <v>547</v>
      </c>
      <c r="N156">
        <v>22</v>
      </c>
      <c r="O156">
        <v>8968</v>
      </c>
      <c r="P156" t="s">
        <v>111</v>
      </c>
      <c r="Q156">
        <v>3782</v>
      </c>
      <c r="R156" t="s">
        <v>113</v>
      </c>
      <c r="S156" t="s">
        <v>293</v>
      </c>
    </row>
    <row r="157" spans="1:19" x14ac:dyDescent="0.25">
      <c r="A157" s="1">
        <v>155</v>
      </c>
      <c r="B157" t="s">
        <v>456</v>
      </c>
      <c r="C157">
        <v>40.698242724390198</v>
      </c>
      <c r="D157">
        <v>-30.5903662612624</v>
      </c>
      <c r="E157" t="s">
        <v>20</v>
      </c>
      <c r="F157">
        <v>2.0112341999999998E-2</v>
      </c>
      <c r="G157">
        <v>0.47952200499999997</v>
      </c>
      <c r="H157">
        <v>-2.2413181818181851</v>
      </c>
      <c r="I157">
        <v>-33.551232661717933</v>
      </c>
      <c r="J157">
        <v>2025</v>
      </c>
      <c r="K157">
        <v>537</v>
      </c>
      <c r="N157">
        <v>22</v>
      </c>
      <c r="O157">
        <v>8957</v>
      </c>
      <c r="P157" t="s">
        <v>63</v>
      </c>
      <c r="Q157">
        <v>2047</v>
      </c>
      <c r="R157" t="s">
        <v>64</v>
      </c>
      <c r="S157" t="s">
        <v>59</v>
      </c>
    </row>
    <row r="158" spans="1:19" x14ac:dyDescent="0.25">
      <c r="A158" s="1">
        <v>156</v>
      </c>
      <c r="B158" t="s">
        <v>457</v>
      </c>
      <c r="C158">
        <v>45.643932201134199</v>
      </c>
      <c r="D158">
        <v>-33.076766467271803</v>
      </c>
      <c r="E158" t="s">
        <v>20</v>
      </c>
      <c r="F158">
        <v>1.7598320000000001E-2</v>
      </c>
      <c r="G158">
        <v>0.46461041600000003</v>
      </c>
      <c r="H158">
        <v>2.348896464646463</v>
      </c>
      <c r="I158">
        <v>-34.293741251325557</v>
      </c>
      <c r="J158">
        <v>2025</v>
      </c>
      <c r="K158">
        <v>535</v>
      </c>
      <c r="N158">
        <v>22</v>
      </c>
      <c r="O158">
        <v>8955</v>
      </c>
      <c r="P158" t="s">
        <v>111</v>
      </c>
      <c r="Q158">
        <v>2045</v>
      </c>
      <c r="R158" t="s">
        <v>113</v>
      </c>
      <c r="S158" t="s">
        <v>114</v>
      </c>
    </row>
    <row r="159" spans="1:19" x14ac:dyDescent="0.25">
      <c r="A159" s="1">
        <v>157</v>
      </c>
      <c r="B159" t="s">
        <v>458</v>
      </c>
      <c r="C159">
        <v>42.3964946066613</v>
      </c>
      <c r="D159">
        <v>-27.4993837776844</v>
      </c>
      <c r="E159" t="s">
        <v>20</v>
      </c>
      <c r="F159">
        <v>1.3777052E-2</v>
      </c>
      <c r="G159">
        <v>0.45575359100000001</v>
      </c>
      <c r="H159">
        <v>0.53441161616161381</v>
      </c>
      <c r="I159">
        <v>-29.993379003181339</v>
      </c>
      <c r="J159">
        <v>2025</v>
      </c>
      <c r="K159">
        <v>521</v>
      </c>
      <c r="N159">
        <v>22</v>
      </c>
      <c r="O159">
        <v>8945</v>
      </c>
      <c r="P159" t="s">
        <v>111</v>
      </c>
      <c r="Q159">
        <v>3715</v>
      </c>
      <c r="R159" t="s">
        <v>393</v>
      </c>
      <c r="S159" t="s">
        <v>394</v>
      </c>
    </row>
    <row r="160" spans="1:19" x14ac:dyDescent="0.25">
      <c r="A160" s="1">
        <v>158</v>
      </c>
      <c r="B160" t="s">
        <v>459</v>
      </c>
      <c r="C160">
        <v>44.874145975289601</v>
      </c>
      <c r="D160">
        <v>-32.465600550095701</v>
      </c>
      <c r="E160" t="s">
        <v>20</v>
      </c>
      <c r="F160">
        <v>1.2963235E-2</v>
      </c>
      <c r="G160">
        <v>0.43378941599999998</v>
      </c>
      <c r="H160">
        <v>-3.980199494949499</v>
      </c>
      <c r="I160">
        <v>-34.386554825026508</v>
      </c>
      <c r="J160">
        <v>2025</v>
      </c>
      <c r="K160">
        <v>1812</v>
      </c>
      <c r="N160">
        <v>60</v>
      </c>
      <c r="O160">
        <v>8766</v>
      </c>
      <c r="P160" t="s">
        <v>33</v>
      </c>
    </row>
    <row r="161" spans="1:19" x14ac:dyDescent="0.25">
      <c r="A161" s="1">
        <v>159</v>
      </c>
      <c r="B161" t="s">
        <v>460</v>
      </c>
      <c r="C161">
        <v>42.410206032109798</v>
      </c>
      <c r="D161">
        <v>-29.1399936400367</v>
      </c>
      <c r="E161" t="s">
        <v>20</v>
      </c>
      <c r="F161">
        <v>1.3743392E-2</v>
      </c>
      <c r="G161">
        <v>0.50177422400000005</v>
      </c>
      <c r="H161">
        <v>-6.6479242424242466</v>
      </c>
      <c r="I161">
        <v>-31.911526193001059</v>
      </c>
      <c r="J161">
        <v>2025</v>
      </c>
      <c r="K161">
        <v>1830</v>
      </c>
      <c r="N161">
        <v>60</v>
      </c>
      <c r="O161">
        <v>8752</v>
      </c>
      <c r="P161" t="s">
        <v>63</v>
      </c>
      <c r="Q161">
        <v>3660</v>
      </c>
      <c r="R161" t="s">
        <v>64</v>
      </c>
      <c r="S161" t="s">
        <v>221</v>
      </c>
    </row>
    <row r="162" spans="1:19" x14ac:dyDescent="0.25">
      <c r="A162" s="1">
        <v>160</v>
      </c>
      <c r="B162" t="s">
        <v>461</v>
      </c>
      <c r="C162">
        <v>44.296635514150601</v>
      </c>
      <c r="D162">
        <v>-30.2160572754191</v>
      </c>
      <c r="E162" t="s">
        <v>20</v>
      </c>
      <c r="F162">
        <v>1.4257494000000001E-2</v>
      </c>
      <c r="G162">
        <v>0.48709785500000002</v>
      </c>
      <c r="H162">
        <v>-3.3429696969696998</v>
      </c>
      <c r="I162">
        <v>-32.365281442205728</v>
      </c>
      <c r="J162">
        <v>2025</v>
      </c>
      <c r="K162">
        <v>1803</v>
      </c>
      <c r="N162">
        <v>60</v>
      </c>
      <c r="O162">
        <v>8776</v>
      </c>
      <c r="P162" t="s">
        <v>28</v>
      </c>
      <c r="Q162">
        <v>3611</v>
      </c>
      <c r="R162" t="s">
        <v>313</v>
      </c>
      <c r="S162" t="s">
        <v>272</v>
      </c>
    </row>
    <row r="163" spans="1:19" x14ac:dyDescent="0.25">
      <c r="A163" s="1">
        <v>161</v>
      </c>
      <c r="B163" t="s">
        <v>462</v>
      </c>
      <c r="C163">
        <v>43.921500882483201</v>
      </c>
      <c r="D163">
        <v>-30.420571633525402</v>
      </c>
      <c r="E163" t="s">
        <v>20</v>
      </c>
      <c r="F163">
        <v>1.5013996999999999E-2</v>
      </c>
      <c r="G163">
        <v>0.48018792999999999</v>
      </c>
      <c r="H163">
        <v>-7.0416666666669112E-2</v>
      </c>
      <c r="I163">
        <v>-32.045590243902438</v>
      </c>
      <c r="J163">
        <v>2025</v>
      </c>
      <c r="K163">
        <v>1806</v>
      </c>
      <c r="N163">
        <v>60</v>
      </c>
      <c r="O163">
        <v>8743</v>
      </c>
      <c r="P163" t="s">
        <v>247</v>
      </c>
      <c r="Q163" t="s">
        <v>248</v>
      </c>
      <c r="R163" t="s">
        <v>249</v>
      </c>
    </row>
    <row r="164" spans="1:19" x14ac:dyDescent="0.25">
      <c r="A164" s="1">
        <v>162</v>
      </c>
      <c r="B164" t="s">
        <v>463</v>
      </c>
      <c r="C164">
        <v>44.835286883414902</v>
      </c>
      <c r="D164">
        <v>-29.1690486954253</v>
      </c>
      <c r="E164" t="s">
        <v>20</v>
      </c>
      <c r="F164">
        <v>4.4596189000000001E-2</v>
      </c>
      <c r="G164">
        <v>0.48171540099999999</v>
      </c>
      <c r="H164">
        <v>0.7288207070707049</v>
      </c>
      <c r="I164">
        <v>-31.622772852598089</v>
      </c>
      <c r="J164">
        <v>2025</v>
      </c>
      <c r="K164">
        <v>1833</v>
      </c>
      <c r="N164">
        <v>60</v>
      </c>
      <c r="O164">
        <v>8744</v>
      </c>
      <c r="Q164">
        <v>3658</v>
      </c>
    </row>
    <row r="165" spans="1:19" x14ac:dyDescent="0.25">
      <c r="A165" s="1">
        <v>163</v>
      </c>
      <c r="B165" t="s">
        <v>464</v>
      </c>
      <c r="C165">
        <v>41.977821520631998</v>
      </c>
      <c r="D165">
        <v>-27.708679238173701</v>
      </c>
      <c r="E165" t="s">
        <v>20</v>
      </c>
      <c r="F165">
        <v>1.4747839E-2</v>
      </c>
      <c r="G165">
        <v>0.42904386300000003</v>
      </c>
      <c r="H165">
        <v>-1.074863636363639</v>
      </c>
      <c r="I165">
        <v>-29.704625662778369</v>
      </c>
      <c r="J165">
        <v>2025</v>
      </c>
      <c r="K165">
        <v>1807</v>
      </c>
      <c r="N165">
        <v>60</v>
      </c>
      <c r="O165">
        <v>8769</v>
      </c>
      <c r="P165" t="s">
        <v>183</v>
      </c>
      <c r="Q165">
        <v>2525</v>
      </c>
      <c r="R165" t="s">
        <v>184</v>
      </c>
    </row>
    <row r="166" spans="1:19" x14ac:dyDescent="0.25">
      <c r="A166" s="1">
        <v>164</v>
      </c>
      <c r="B166" t="s">
        <v>465</v>
      </c>
      <c r="C166">
        <v>42.925970481628902</v>
      </c>
      <c r="D166">
        <v>-32.2858487083775</v>
      </c>
      <c r="E166" t="s">
        <v>20</v>
      </c>
      <c r="F166">
        <v>1.9979472000000002E-2</v>
      </c>
      <c r="G166">
        <v>0.49682914500000003</v>
      </c>
      <c r="H166">
        <v>-4.3798181818181856</v>
      </c>
      <c r="I166">
        <v>-34.809372216330857</v>
      </c>
      <c r="J166">
        <v>2025</v>
      </c>
      <c r="K166">
        <v>1804</v>
      </c>
      <c r="N166">
        <v>60</v>
      </c>
      <c r="O166">
        <v>8777</v>
      </c>
      <c r="P166" t="s">
        <v>63</v>
      </c>
      <c r="Q166" t="s">
        <v>207</v>
      </c>
      <c r="R166" t="s">
        <v>64</v>
      </c>
    </row>
    <row r="167" spans="1:19" x14ac:dyDescent="0.25">
      <c r="A167" s="1">
        <v>165</v>
      </c>
      <c r="B167" t="s">
        <v>466</v>
      </c>
      <c r="C167">
        <v>42.480995195571801</v>
      </c>
      <c r="D167">
        <v>-30.854206044379101</v>
      </c>
      <c r="E167" t="s">
        <v>20</v>
      </c>
      <c r="F167">
        <v>1.3759967E-2</v>
      </c>
      <c r="G167">
        <v>0.471447479</v>
      </c>
      <c r="H167">
        <v>-3.591381313131317</v>
      </c>
      <c r="I167">
        <v>-33.004663838812299</v>
      </c>
      <c r="J167">
        <v>2025</v>
      </c>
      <c r="K167">
        <v>1815</v>
      </c>
      <c r="N167">
        <v>60</v>
      </c>
      <c r="O167">
        <v>8760</v>
      </c>
      <c r="P167" t="s">
        <v>33</v>
      </c>
    </row>
    <row r="168" spans="1:19" x14ac:dyDescent="0.25">
      <c r="A168" s="1">
        <v>166</v>
      </c>
      <c r="B168" t="s">
        <v>467</v>
      </c>
      <c r="C168">
        <v>43.326517705212297</v>
      </c>
      <c r="D168">
        <v>-29.3334332956575</v>
      </c>
      <c r="E168" t="s">
        <v>20</v>
      </c>
      <c r="F168">
        <v>2.5687412999999999E-2</v>
      </c>
      <c r="G168">
        <v>0.41838771000000002</v>
      </c>
      <c r="H168">
        <v>-0.27562626262626522</v>
      </c>
      <c r="I168">
        <v>-30.73588759278897</v>
      </c>
      <c r="J168">
        <v>2025</v>
      </c>
      <c r="K168">
        <v>1802</v>
      </c>
      <c r="N168">
        <v>60</v>
      </c>
      <c r="O168">
        <v>8774</v>
      </c>
      <c r="P168" t="s">
        <v>105</v>
      </c>
      <c r="Q168">
        <v>2523</v>
      </c>
      <c r="R168" t="s">
        <v>238</v>
      </c>
      <c r="S168" t="s">
        <v>347</v>
      </c>
    </row>
    <row r="169" spans="1:19" x14ac:dyDescent="0.25">
      <c r="A169" s="1">
        <v>167</v>
      </c>
      <c r="B169" t="s">
        <v>468</v>
      </c>
      <c r="C169">
        <v>43.478149456377103</v>
      </c>
      <c r="D169">
        <v>-28.901935106320099</v>
      </c>
      <c r="E169" t="s">
        <v>20</v>
      </c>
      <c r="F169">
        <v>1.9263704999999999E-2</v>
      </c>
      <c r="G169">
        <v>0.48746175000000003</v>
      </c>
      <c r="H169">
        <v>-1.9605050505050541</v>
      </c>
      <c r="I169">
        <v>-31.767149522799581</v>
      </c>
      <c r="J169">
        <v>2025</v>
      </c>
      <c r="K169">
        <v>1813</v>
      </c>
      <c r="N169">
        <v>60</v>
      </c>
      <c r="O169">
        <v>8763</v>
      </c>
      <c r="P169" t="s">
        <v>63</v>
      </c>
      <c r="Q169">
        <v>3657</v>
      </c>
      <c r="R169" t="s">
        <v>64</v>
      </c>
    </row>
    <row r="170" spans="1:19" x14ac:dyDescent="0.25">
      <c r="A170" s="1">
        <v>168</v>
      </c>
      <c r="B170" t="s">
        <v>469</v>
      </c>
      <c r="C170">
        <v>43.998552039226503</v>
      </c>
      <c r="D170">
        <v>-27.7592202890675</v>
      </c>
      <c r="E170" t="s">
        <v>20</v>
      </c>
      <c r="F170">
        <v>2.8111832999999999E-2</v>
      </c>
      <c r="G170">
        <v>0.47743206399999999</v>
      </c>
      <c r="H170">
        <v>1.268845959595958</v>
      </c>
      <c r="I170">
        <v>-30.73588759278897</v>
      </c>
      <c r="J170">
        <v>2025</v>
      </c>
      <c r="K170">
        <v>1831</v>
      </c>
      <c r="N170">
        <v>60</v>
      </c>
      <c r="O170">
        <v>8751</v>
      </c>
      <c r="P170" t="s">
        <v>80</v>
      </c>
      <c r="Q170">
        <v>3670</v>
      </c>
      <c r="R170" t="s">
        <v>419</v>
      </c>
    </row>
    <row r="171" spans="1:19" x14ac:dyDescent="0.25">
      <c r="A171" s="1">
        <v>169</v>
      </c>
      <c r="B171" t="s">
        <v>470</v>
      </c>
      <c r="C171">
        <v>43.841438874634598</v>
      </c>
      <c r="D171">
        <v>-32.2611441649535</v>
      </c>
      <c r="E171" t="s">
        <v>20</v>
      </c>
      <c r="F171">
        <v>1.6373887E-2</v>
      </c>
      <c r="G171">
        <v>0.458460268</v>
      </c>
      <c r="H171">
        <v>-0.97765909090909375</v>
      </c>
      <c r="I171">
        <v>-33.375918133616118</v>
      </c>
      <c r="J171">
        <v>2025</v>
      </c>
      <c r="K171">
        <v>715</v>
      </c>
      <c r="N171">
        <v>28</v>
      </c>
      <c r="O171">
        <v>8738</v>
      </c>
      <c r="P171" t="s">
        <v>404</v>
      </c>
      <c r="Q171" t="s">
        <v>405</v>
      </c>
      <c r="R171" t="s">
        <v>406</v>
      </c>
      <c r="S171" t="s">
        <v>407</v>
      </c>
    </row>
    <row r="172" spans="1:19" x14ac:dyDescent="0.25">
      <c r="A172" s="1">
        <v>170</v>
      </c>
      <c r="B172" t="s">
        <v>471</v>
      </c>
      <c r="C172">
        <v>46.2252054795823</v>
      </c>
      <c r="D172">
        <v>-33.253234156799799</v>
      </c>
      <c r="E172" t="s">
        <v>20</v>
      </c>
      <c r="J172">
        <v>2025</v>
      </c>
      <c r="O172">
        <v>8885</v>
      </c>
    </row>
    <row r="173" spans="1:19" x14ac:dyDescent="0.25">
      <c r="A173" s="1">
        <v>171</v>
      </c>
      <c r="B173" t="s">
        <v>472</v>
      </c>
      <c r="C173">
        <v>43.549498881916101</v>
      </c>
      <c r="D173">
        <v>-26.746087898419599</v>
      </c>
      <c r="E173" t="s">
        <v>20</v>
      </c>
      <c r="F173">
        <v>2.2544064933321169E-2</v>
      </c>
      <c r="G173">
        <v>0.45381753649894818</v>
      </c>
      <c r="H173">
        <v>1.970013338666976</v>
      </c>
      <c r="I173">
        <v>-28.915622517408011</v>
      </c>
      <c r="J173">
        <v>2025</v>
      </c>
      <c r="K173">
        <v>1411</v>
      </c>
      <c r="N173">
        <v>48</v>
      </c>
      <c r="O173">
        <v>8665</v>
      </c>
      <c r="P173" t="s">
        <v>105</v>
      </c>
      <c r="Q173" t="s">
        <v>237</v>
      </c>
      <c r="R173" t="s">
        <v>238</v>
      </c>
      <c r="S173" t="s">
        <v>239</v>
      </c>
    </row>
    <row r="174" spans="1:19" x14ac:dyDescent="0.25">
      <c r="A174" s="1">
        <v>172</v>
      </c>
      <c r="B174" t="s">
        <v>473</v>
      </c>
      <c r="C174">
        <v>44.068538396220099</v>
      </c>
      <c r="D174">
        <v>-32.195683542309602</v>
      </c>
      <c r="E174" t="s">
        <v>20</v>
      </c>
      <c r="F174">
        <v>1.8466830460614141E-2</v>
      </c>
      <c r="G174">
        <v>0.43018227828127059</v>
      </c>
      <c r="H174">
        <v>-0.25966743370799339</v>
      </c>
      <c r="I174">
        <v>-33.675129035712509</v>
      </c>
      <c r="J174">
        <v>2025</v>
      </c>
      <c r="K174">
        <v>585</v>
      </c>
      <c r="N174">
        <v>24</v>
      </c>
      <c r="O174">
        <v>8639</v>
      </c>
      <c r="P174" t="s">
        <v>55</v>
      </c>
      <c r="Q174">
        <v>2083</v>
      </c>
      <c r="R174" t="s">
        <v>95</v>
      </c>
      <c r="S174" t="s">
        <v>109</v>
      </c>
    </row>
    <row r="175" spans="1:19" x14ac:dyDescent="0.25">
      <c r="A175" s="1">
        <v>173</v>
      </c>
      <c r="B175" t="s">
        <v>474</v>
      </c>
      <c r="C175">
        <v>51.550182564770601</v>
      </c>
      <c r="D175">
        <v>-31.968637759902901</v>
      </c>
      <c r="E175" t="s">
        <v>20</v>
      </c>
      <c r="J175">
        <v>2025</v>
      </c>
      <c r="K175">
        <v>1404</v>
      </c>
      <c r="N175">
        <v>48</v>
      </c>
      <c r="O175">
        <v>8669</v>
      </c>
      <c r="P175" t="s">
        <v>287</v>
      </c>
      <c r="Q175" t="s">
        <v>288</v>
      </c>
      <c r="R175" t="s">
        <v>289</v>
      </c>
      <c r="S175" t="s">
        <v>290</v>
      </c>
    </row>
    <row r="176" spans="1:19" x14ac:dyDescent="0.25">
      <c r="A176" s="1">
        <v>174</v>
      </c>
      <c r="B176" t="s">
        <v>475</v>
      </c>
      <c r="C176">
        <v>43.991483410414503</v>
      </c>
      <c r="D176">
        <v>-30.847900887631798</v>
      </c>
      <c r="E176" t="s">
        <v>20</v>
      </c>
      <c r="F176">
        <v>1.1137847646382291E-2</v>
      </c>
      <c r="G176">
        <v>0.42626882008477079</v>
      </c>
      <c r="H176">
        <v>2.905658022034622</v>
      </c>
      <c r="I176">
        <v>-32.425294809541469</v>
      </c>
      <c r="J176">
        <v>2025</v>
      </c>
      <c r="K176">
        <v>1389</v>
      </c>
      <c r="N176">
        <v>48</v>
      </c>
      <c r="O176">
        <v>8685</v>
      </c>
      <c r="P176" t="s">
        <v>144</v>
      </c>
      <c r="Q176" t="s">
        <v>350</v>
      </c>
      <c r="R176" t="s">
        <v>351</v>
      </c>
      <c r="S176" t="s">
        <v>109</v>
      </c>
    </row>
    <row r="177" spans="1:19" x14ac:dyDescent="0.25">
      <c r="A177" s="1">
        <v>175</v>
      </c>
      <c r="B177" t="s">
        <v>476</v>
      </c>
      <c r="C177">
        <v>44.937787737594199</v>
      </c>
      <c r="D177">
        <v>-30.2763099384598</v>
      </c>
      <c r="E177" t="s">
        <v>20</v>
      </c>
      <c r="F177">
        <v>1.5735526918787102E-2</v>
      </c>
      <c r="G177">
        <v>0.46737536838174931</v>
      </c>
      <c r="H177">
        <v>-1.650688783528441</v>
      </c>
      <c r="I177">
        <v>-32.380224884948717</v>
      </c>
      <c r="J177">
        <v>2025</v>
      </c>
      <c r="K177">
        <v>1398</v>
      </c>
      <c r="N177">
        <v>48</v>
      </c>
      <c r="O177">
        <v>8678</v>
      </c>
      <c r="P177" t="s">
        <v>51</v>
      </c>
      <c r="Q177" t="s">
        <v>384</v>
      </c>
      <c r="R177" t="s">
        <v>385</v>
      </c>
      <c r="S177" t="s">
        <v>386</v>
      </c>
    </row>
    <row r="178" spans="1:19" x14ac:dyDescent="0.25">
      <c r="A178" s="1">
        <v>176</v>
      </c>
      <c r="B178" t="s">
        <v>477</v>
      </c>
      <c r="C178">
        <v>42.851590238463999</v>
      </c>
      <c r="D178">
        <v>-31.004135100736701</v>
      </c>
      <c r="E178" t="s">
        <v>20</v>
      </c>
      <c r="F178">
        <v>3.0540039078240568E-2</v>
      </c>
      <c r="G178">
        <v>0.44970859604510333</v>
      </c>
      <c r="H178">
        <v>0.2142420876059391</v>
      </c>
      <c r="I178">
        <v>-32.894885204978543</v>
      </c>
      <c r="J178">
        <v>2025</v>
      </c>
      <c r="K178">
        <v>592</v>
      </c>
      <c r="N178">
        <v>24</v>
      </c>
      <c r="O178">
        <v>8656</v>
      </c>
      <c r="P178" t="s">
        <v>28</v>
      </c>
      <c r="Q178">
        <v>3686</v>
      </c>
    </row>
    <row r="179" spans="1:19" x14ac:dyDescent="0.25">
      <c r="A179" s="1">
        <v>177</v>
      </c>
      <c r="B179" t="s">
        <v>478</v>
      </c>
      <c r="C179">
        <v>45.6788402527187</v>
      </c>
      <c r="D179">
        <v>-29.394293456652701</v>
      </c>
      <c r="E179" t="s">
        <v>20</v>
      </c>
      <c r="F179">
        <v>2.0618369515444459E-2</v>
      </c>
      <c r="G179">
        <v>0.42398854782092948</v>
      </c>
      <c r="H179">
        <v>0.44130951779518851</v>
      </c>
      <c r="I179">
        <v>-30.569685027376341</v>
      </c>
      <c r="J179">
        <v>2025</v>
      </c>
      <c r="K179">
        <v>580</v>
      </c>
      <c r="N179">
        <v>24</v>
      </c>
      <c r="O179">
        <v>8641</v>
      </c>
      <c r="P179" t="s">
        <v>105</v>
      </c>
      <c r="R179" t="s">
        <v>106</v>
      </c>
      <c r="S179" t="s">
        <v>107</v>
      </c>
    </row>
    <row r="180" spans="1:19" x14ac:dyDescent="0.25">
      <c r="A180" s="1">
        <v>178</v>
      </c>
      <c r="B180" t="s">
        <v>479</v>
      </c>
      <c r="C180">
        <v>45.023713829082403</v>
      </c>
      <c r="D180">
        <v>-29.289136429300999</v>
      </c>
      <c r="E180" t="s">
        <v>20</v>
      </c>
      <c r="F180">
        <v>1.8065004681946339E-2</v>
      </c>
      <c r="G180">
        <v>0.39220855035586583</v>
      </c>
      <c r="H180">
        <v>2.9485011608291192</v>
      </c>
      <c r="I180">
        <v>-30.573311936667722</v>
      </c>
      <c r="J180">
        <v>2025</v>
      </c>
      <c r="K180">
        <v>1414</v>
      </c>
      <c r="N180">
        <v>48</v>
      </c>
      <c r="O180">
        <v>8664</v>
      </c>
      <c r="P180" t="s">
        <v>105</v>
      </c>
      <c r="Q180" t="s">
        <v>175</v>
      </c>
      <c r="R180" t="s">
        <v>176</v>
      </c>
      <c r="S180" t="s">
        <v>177</v>
      </c>
    </row>
    <row r="181" spans="1:19" x14ac:dyDescent="0.25">
      <c r="A181" s="1">
        <v>179</v>
      </c>
      <c r="B181" t="s">
        <v>480</v>
      </c>
      <c r="C181">
        <v>44.352520713312401</v>
      </c>
      <c r="D181">
        <v>-31.7096539307129</v>
      </c>
      <c r="E181" t="s">
        <v>20</v>
      </c>
      <c r="F181">
        <v>1.7865774459097278E-2</v>
      </c>
      <c r="G181">
        <v>0.45190061376460711</v>
      </c>
      <c r="H181">
        <v>1.7283292432465029</v>
      </c>
      <c r="I181">
        <v>-32.656339623929213</v>
      </c>
      <c r="J181">
        <v>2025</v>
      </c>
      <c r="K181">
        <v>1461</v>
      </c>
      <c r="N181">
        <v>50</v>
      </c>
      <c r="O181">
        <v>8796</v>
      </c>
      <c r="P181" t="s">
        <v>144</v>
      </c>
      <c r="Q181" t="s">
        <v>296</v>
      </c>
      <c r="R181" t="s">
        <v>297</v>
      </c>
      <c r="S181" t="s">
        <v>298</v>
      </c>
    </row>
    <row r="182" spans="1:19" x14ac:dyDescent="0.25">
      <c r="A182" s="1">
        <v>180</v>
      </c>
      <c r="B182" t="s">
        <v>481</v>
      </c>
      <c r="C182">
        <v>44.460094430807601</v>
      </c>
      <c r="D182">
        <v>-27.611989318660498</v>
      </c>
      <c r="E182" t="s">
        <v>20</v>
      </c>
      <c r="F182">
        <v>2.5715534832675659E-2</v>
      </c>
      <c r="G182">
        <v>0.45454937735822148</v>
      </c>
      <c r="H182">
        <v>0.16360507132608251</v>
      </c>
      <c r="I182">
        <v>-29.456023028588099</v>
      </c>
      <c r="J182">
        <v>2025</v>
      </c>
      <c r="N182">
        <v>50</v>
      </c>
      <c r="O182">
        <v>8789</v>
      </c>
      <c r="P182" t="s">
        <v>72</v>
      </c>
      <c r="R182" t="s">
        <v>98</v>
      </c>
    </row>
    <row r="183" spans="1:19" x14ac:dyDescent="0.25">
      <c r="A183" s="1">
        <v>181</v>
      </c>
      <c r="B183" t="s">
        <v>482</v>
      </c>
      <c r="C183">
        <v>44.431335240606401</v>
      </c>
      <c r="D183">
        <v>-28.744401719455698</v>
      </c>
      <c r="E183" t="s">
        <v>20</v>
      </c>
      <c r="F183">
        <v>1.4717245352865791E-2</v>
      </c>
      <c r="G183">
        <v>0.42929644735410322</v>
      </c>
      <c r="H183">
        <v>3.280617069834936</v>
      </c>
      <c r="I183">
        <v>-29.516045303903791</v>
      </c>
      <c r="J183">
        <v>2025</v>
      </c>
      <c r="K183">
        <v>1495</v>
      </c>
      <c r="N183">
        <v>50</v>
      </c>
      <c r="O183">
        <v>8609</v>
      </c>
      <c r="P183" t="s">
        <v>92</v>
      </c>
      <c r="Q183" t="s">
        <v>202</v>
      </c>
      <c r="R183" t="s">
        <v>203</v>
      </c>
      <c r="S183" t="s">
        <v>204</v>
      </c>
    </row>
    <row r="184" spans="1:19" x14ac:dyDescent="0.25">
      <c r="A184" s="1">
        <v>182</v>
      </c>
      <c r="B184" t="s">
        <v>483</v>
      </c>
      <c r="C184">
        <v>46.649985893205198</v>
      </c>
      <c r="D184">
        <v>-30.835606203738401</v>
      </c>
      <c r="E184" t="s">
        <v>20</v>
      </c>
      <c r="F184">
        <v>1.8054265509281069E-2</v>
      </c>
      <c r="G184">
        <v>0.48362849968469518</v>
      </c>
      <c r="H184">
        <v>-2.5852919537146302</v>
      </c>
      <c r="I184">
        <v>-32.961372154830819</v>
      </c>
      <c r="J184">
        <v>2025</v>
      </c>
      <c r="K184">
        <v>1465</v>
      </c>
      <c r="N184">
        <v>50</v>
      </c>
      <c r="O184">
        <v>8778</v>
      </c>
      <c r="P184" t="s">
        <v>63</v>
      </c>
      <c r="Q184" t="s">
        <v>151</v>
      </c>
      <c r="R184" t="s">
        <v>152</v>
      </c>
      <c r="S184" t="s">
        <v>153</v>
      </c>
    </row>
    <row r="185" spans="1:19" x14ac:dyDescent="0.25">
      <c r="A185" s="1">
        <v>183</v>
      </c>
      <c r="B185" t="s">
        <v>484</v>
      </c>
      <c r="C185">
        <v>44.979609013575697</v>
      </c>
      <c r="D185">
        <v>-28.1255697789897</v>
      </c>
      <c r="E185" t="s">
        <v>20</v>
      </c>
      <c r="F185">
        <v>2.203931177926053E-2</v>
      </c>
      <c r="G185">
        <v>0.45906102956384598</v>
      </c>
      <c r="H185">
        <v>-1.682511961699118</v>
      </c>
      <c r="I185">
        <v>-29.77826202465819</v>
      </c>
      <c r="J185">
        <v>2025</v>
      </c>
      <c r="K185">
        <v>1464</v>
      </c>
      <c r="N185">
        <v>50</v>
      </c>
      <c r="O185">
        <v>8800</v>
      </c>
      <c r="P185" t="s">
        <v>191</v>
      </c>
      <c r="Q185" t="s">
        <v>192</v>
      </c>
      <c r="R185" t="s">
        <v>193</v>
      </c>
      <c r="S185" t="s">
        <v>194</v>
      </c>
    </row>
    <row r="186" spans="1:19" x14ac:dyDescent="0.25">
      <c r="A186" s="1">
        <v>184</v>
      </c>
      <c r="B186" t="s">
        <v>485</v>
      </c>
      <c r="C186">
        <v>52.215705944728697</v>
      </c>
      <c r="D186">
        <v>-28.624586696603</v>
      </c>
      <c r="E186" t="s">
        <v>20</v>
      </c>
      <c r="F186">
        <v>1.667124369694432E-2</v>
      </c>
      <c r="G186">
        <v>0.48228023076179238</v>
      </c>
      <c r="H186">
        <v>-0.57868485104419254</v>
      </c>
      <c r="I186">
        <v>-28.834373924950661</v>
      </c>
      <c r="J186">
        <v>2025</v>
      </c>
      <c r="K186">
        <v>1490</v>
      </c>
      <c r="N186">
        <v>50</v>
      </c>
      <c r="O186">
        <v>8612</v>
      </c>
      <c r="P186" t="s">
        <v>363</v>
      </c>
      <c r="Q186">
        <f>3602</f>
        <v>3602</v>
      </c>
      <c r="R186" t="s">
        <v>365</v>
      </c>
      <c r="S186" t="s">
        <v>366</v>
      </c>
    </row>
    <row r="187" spans="1:19" x14ac:dyDescent="0.25">
      <c r="A187" s="1">
        <v>185</v>
      </c>
      <c r="B187" t="s">
        <v>486</v>
      </c>
      <c r="C187">
        <v>43.867736120323499</v>
      </c>
      <c r="D187">
        <v>-30.0566551236913</v>
      </c>
      <c r="E187" t="s">
        <v>20</v>
      </c>
      <c r="F187">
        <v>2.391586600065879E-2</v>
      </c>
      <c r="G187">
        <v>0.40563352446550038</v>
      </c>
      <c r="H187">
        <v>1.1065011082978751</v>
      </c>
      <c r="I187">
        <v>-31.5923910654552</v>
      </c>
      <c r="J187">
        <v>2025</v>
      </c>
      <c r="K187">
        <v>1417</v>
      </c>
      <c r="N187">
        <v>48</v>
      </c>
      <c r="O187">
        <v>8658</v>
      </c>
      <c r="P187" t="s">
        <v>105</v>
      </c>
      <c r="Q187" t="s">
        <v>224</v>
      </c>
      <c r="R187" t="s">
        <v>106</v>
      </c>
      <c r="S187" t="s">
        <v>225</v>
      </c>
    </row>
    <row r="188" spans="1:19" x14ac:dyDescent="0.25">
      <c r="A188" s="1">
        <v>186</v>
      </c>
      <c r="B188" t="s">
        <v>487</v>
      </c>
      <c r="C188">
        <v>45.773998626650901</v>
      </c>
      <c r="D188">
        <v>-31.027412643909098</v>
      </c>
      <c r="E188" t="s">
        <v>20</v>
      </c>
      <c r="F188">
        <v>2.3203871982186802E-2</v>
      </c>
      <c r="G188">
        <v>0.43120564630301689</v>
      </c>
      <c r="H188">
        <v>9.702315406683687E-2</v>
      </c>
      <c r="I188">
        <v>-32.095551251942481</v>
      </c>
      <c r="J188">
        <v>2025</v>
      </c>
      <c r="K188">
        <v>1882</v>
      </c>
      <c r="N188">
        <v>62</v>
      </c>
      <c r="O188">
        <v>8909</v>
      </c>
      <c r="P188" t="s">
        <v>210</v>
      </c>
      <c r="Q188" t="s">
        <v>211</v>
      </c>
      <c r="R188" t="s">
        <v>212</v>
      </c>
      <c r="S188" t="s">
        <v>213</v>
      </c>
    </row>
    <row r="189" spans="1:19" x14ac:dyDescent="0.25">
      <c r="A189" s="1">
        <v>187</v>
      </c>
      <c r="B189" t="s">
        <v>488</v>
      </c>
      <c r="C189">
        <v>45.209167230096902</v>
      </c>
      <c r="D189">
        <v>-28.470394880783498</v>
      </c>
      <c r="E189" t="s">
        <v>20</v>
      </c>
      <c r="F189">
        <v>1.424744663447792E-2</v>
      </c>
      <c r="G189">
        <v>0.49094502381007821</v>
      </c>
      <c r="H189">
        <v>-1.9901283604002309</v>
      </c>
      <c r="I189">
        <v>-29.74082358499842</v>
      </c>
      <c r="J189">
        <v>2025</v>
      </c>
      <c r="K189">
        <v>1872</v>
      </c>
      <c r="N189">
        <v>62</v>
      </c>
      <c r="O189">
        <v>8920</v>
      </c>
      <c r="Q189" t="s">
        <v>275</v>
      </c>
    </row>
    <row r="190" spans="1:19" x14ac:dyDescent="0.25">
      <c r="A190" s="1">
        <v>188</v>
      </c>
      <c r="B190" t="s">
        <v>489</v>
      </c>
      <c r="C190">
        <v>48.366810939546703</v>
      </c>
      <c r="D190">
        <v>-28.089768184057998</v>
      </c>
      <c r="E190" t="s">
        <v>20</v>
      </c>
      <c r="F190">
        <v>1.7195007840421751E-2</v>
      </c>
      <c r="G190">
        <v>0.47355725758040979</v>
      </c>
      <c r="H190">
        <v>0.1829286228306099</v>
      </c>
      <c r="I190">
        <v>-30.378009303587781</v>
      </c>
      <c r="J190">
        <v>2025</v>
      </c>
      <c r="K190">
        <v>584</v>
      </c>
      <c r="N190">
        <v>24</v>
      </c>
      <c r="O190">
        <v>8640</v>
      </c>
      <c r="P190" t="s">
        <v>132</v>
      </c>
    </row>
    <row r="191" spans="1:19" x14ac:dyDescent="0.25">
      <c r="A191" s="1">
        <v>189</v>
      </c>
      <c r="B191" t="s">
        <v>489</v>
      </c>
      <c r="C191">
        <v>48.366810939546703</v>
      </c>
      <c r="D191">
        <v>-28.089768184057998</v>
      </c>
      <c r="E191" t="s">
        <v>20</v>
      </c>
      <c r="F191">
        <v>1.136467135148918E-2</v>
      </c>
      <c r="G191">
        <v>0.4515014491677759</v>
      </c>
      <c r="H191">
        <v>0.12821189671769989</v>
      </c>
      <c r="I191">
        <v>-30.250274713127471</v>
      </c>
      <c r="J191">
        <v>2025</v>
      </c>
      <c r="K191">
        <v>584</v>
      </c>
      <c r="N191">
        <v>24</v>
      </c>
      <c r="O191">
        <v>8640</v>
      </c>
      <c r="P191" t="s">
        <v>132</v>
      </c>
    </row>
    <row r="192" spans="1:19" x14ac:dyDescent="0.25">
      <c r="A192" s="1">
        <v>190</v>
      </c>
      <c r="B192" t="s">
        <v>490</v>
      </c>
      <c r="C192">
        <v>45.346771009445497</v>
      </c>
      <c r="D192">
        <v>-30.606522071526602</v>
      </c>
      <c r="E192" t="s">
        <v>20</v>
      </c>
      <c r="F192">
        <v>1.6912412080131261E-2</v>
      </c>
      <c r="G192">
        <v>0.46733147112845891</v>
      </c>
      <c r="H192">
        <v>-0.83648683729644968</v>
      </c>
      <c r="I192">
        <v>-33.858398608213292</v>
      </c>
      <c r="J192">
        <v>2025</v>
      </c>
      <c r="K192">
        <v>606</v>
      </c>
      <c r="N192">
        <v>24</v>
      </c>
      <c r="O192">
        <v>8644</v>
      </c>
      <c r="P192" t="s">
        <v>46</v>
      </c>
      <c r="Q192">
        <v>3691</v>
      </c>
      <c r="R192" t="s">
        <v>58</v>
      </c>
      <c r="S192" t="s">
        <v>61</v>
      </c>
    </row>
    <row r="193" spans="1:19" x14ac:dyDescent="0.25">
      <c r="A193" s="1">
        <v>191</v>
      </c>
      <c r="B193" t="s">
        <v>491</v>
      </c>
      <c r="C193">
        <v>44.406866132281799</v>
      </c>
      <c r="D193">
        <v>-28.405666978939099</v>
      </c>
      <c r="E193" t="s">
        <v>20</v>
      </c>
      <c r="F193">
        <v>8.2230974487360418E-3</v>
      </c>
      <c r="G193">
        <v>0.44217923645767138</v>
      </c>
      <c r="H193">
        <v>-2.7566392364616119</v>
      </c>
      <c r="I193">
        <v>-30.411204570631789</v>
      </c>
      <c r="J193">
        <v>2025</v>
      </c>
      <c r="K193">
        <v>1906</v>
      </c>
      <c r="N193">
        <v>62</v>
      </c>
      <c r="O193">
        <v>8911</v>
      </c>
      <c r="P193" t="s">
        <v>228</v>
      </c>
      <c r="Q193" t="s">
        <v>229</v>
      </c>
      <c r="R193" t="s">
        <v>230</v>
      </c>
      <c r="S193" t="s">
        <v>231</v>
      </c>
    </row>
    <row r="194" spans="1:19" x14ac:dyDescent="0.25">
      <c r="A194" s="1">
        <v>192</v>
      </c>
      <c r="B194" t="s">
        <v>492</v>
      </c>
      <c r="C194">
        <v>44.051986912376201</v>
      </c>
      <c r="D194">
        <v>-28.260741025478399</v>
      </c>
      <c r="E194" t="s">
        <v>20</v>
      </c>
      <c r="F194">
        <v>2.961860899766202E-2</v>
      </c>
      <c r="G194">
        <v>0.48056746934012462</v>
      </c>
      <c r="H194">
        <v>0.41675280856528801</v>
      </c>
      <c r="I194">
        <v>-30.307443798913319</v>
      </c>
      <c r="J194">
        <v>2025</v>
      </c>
      <c r="K194">
        <v>1905</v>
      </c>
      <c r="N194">
        <v>62</v>
      </c>
      <c r="O194">
        <v>8913</v>
      </c>
      <c r="P194" t="s">
        <v>72</v>
      </c>
      <c r="Q194">
        <f>3609</f>
        <v>3609</v>
      </c>
      <c r="R194" t="s">
        <v>98</v>
      </c>
    </row>
    <row r="195" spans="1:19" x14ac:dyDescent="0.25">
      <c r="A195" s="1">
        <v>193</v>
      </c>
      <c r="B195" t="s">
        <v>493</v>
      </c>
      <c r="C195">
        <v>53.562366156364</v>
      </c>
      <c r="D195">
        <v>-32.521728405281401</v>
      </c>
      <c r="E195" t="s">
        <v>20</v>
      </c>
      <c r="F195">
        <v>1.429039894618492E-2</v>
      </c>
      <c r="G195">
        <v>0.48380628993669827</v>
      </c>
      <c r="H195">
        <v>0.6288401186367385</v>
      </c>
      <c r="I195">
        <v>-33.654317811395963</v>
      </c>
      <c r="J195">
        <v>2025</v>
      </c>
      <c r="K195">
        <v>590</v>
      </c>
      <c r="N195">
        <v>24</v>
      </c>
      <c r="O195">
        <v>8633</v>
      </c>
      <c r="P195" t="s">
        <v>494</v>
      </c>
      <c r="Q195">
        <v>2073</v>
      </c>
      <c r="R195" t="s">
        <v>495</v>
      </c>
      <c r="S195" t="s">
        <v>496</v>
      </c>
    </row>
    <row r="196" spans="1:19" x14ac:dyDescent="0.25">
      <c r="A196" s="1">
        <v>194</v>
      </c>
      <c r="B196" t="s">
        <v>497</v>
      </c>
      <c r="C196">
        <v>42.882993377864203</v>
      </c>
      <c r="D196">
        <v>-30.682411193939501</v>
      </c>
      <c r="E196" t="s">
        <v>20</v>
      </c>
      <c r="F196">
        <v>1.6734254676481E-2</v>
      </c>
      <c r="G196">
        <v>0.44922341038868102</v>
      </c>
      <c r="H196">
        <v>-3.0069848972674431</v>
      </c>
      <c r="I196">
        <v>-32.739483482124527</v>
      </c>
      <c r="J196">
        <v>2025</v>
      </c>
      <c r="K196">
        <v>1896</v>
      </c>
      <c r="N196">
        <v>62</v>
      </c>
      <c r="O196">
        <v>8904</v>
      </c>
      <c r="P196" t="s">
        <v>46</v>
      </c>
      <c r="Q196" t="s">
        <v>180</v>
      </c>
      <c r="R196" t="s">
        <v>58</v>
      </c>
      <c r="S196" t="s">
        <v>59</v>
      </c>
    </row>
    <row r="197" spans="1:19" x14ac:dyDescent="0.25">
      <c r="A197" s="1">
        <v>195</v>
      </c>
      <c r="B197" t="s">
        <v>498</v>
      </c>
      <c r="C197">
        <v>42.329132352265098</v>
      </c>
      <c r="D197">
        <v>-26.860445787321801</v>
      </c>
      <c r="E197" t="s">
        <v>20</v>
      </c>
      <c r="F197">
        <v>1.350079369108863E-2</v>
      </c>
      <c r="G197">
        <v>0.41249923240237429</v>
      </c>
      <c r="H197">
        <v>0.31900123398542218</v>
      </c>
      <c r="I197">
        <v>-29.219155363185099</v>
      </c>
      <c r="J197">
        <v>2025</v>
      </c>
      <c r="K197">
        <v>611</v>
      </c>
      <c r="N197">
        <v>24</v>
      </c>
      <c r="O197">
        <v>8643</v>
      </c>
      <c r="P197" t="s">
        <v>26</v>
      </c>
      <c r="Q197">
        <v>2067</v>
      </c>
    </row>
    <row r="198" spans="1:19" x14ac:dyDescent="0.25">
      <c r="A198" s="1">
        <v>196</v>
      </c>
      <c r="B198" t="s">
        <v>499</v>
      </c>
      <c r="C198">
        <v>47.744790248384597</v>
      </c>
      <c r="D198">
        <v>-27.147325687055702</v>
      </c>
      <c r="E198" t="s">
        <v>20</v>
      </c>
      <c r="F198">
        <v>1.0777339621812191E-2</v>
      </c>
      <c r="G198">
        <v>0.4905489682028461</v>
      </c>
      <c r="H198">
        <v>0.82095888563825814</v>
      </c>
      <c r="I198">
        <v>-28.61623753820556</v>
      </c>
      <c r="J198">
        <v>2025</v>
      </c>
      <c r="N198">
        <v>62</v>
      </c>
      <c r="O198">
        <v>8935</v>
      </c>
      <c r="P198" t="s">
        <v>494</v>
      </c>
      <c r="R198" t="s">
        <v>500</v>
      </c>
    </row>
    <row r="199" spans="1:19" x14ac:dyDescent="0.25">
      <c r="A199" s="1">
        <v>197</v>
      </c>
      <c r="B199" t="s">
        <v>501</v>
      </c>
      <c r="C199">
        <v>43.6800233807908</v>
      </c>
      <c r="D199">
        <v>-31.236717027173199</v>
      </c>
      <c r="E199" t="s">
        <v>20</v>
      </c>
      <c r="F199">
        <v>1.1028030420504591E-2</v>
      </c>
      <c r="G199">
        <v>0.44071455405512677</v>
      </c>
      <c r="H199">
        <v>-1.215424948311403</v>
      </c>
      <c r="I199">
        <v>-33.013199882634787</v>
      </c>
      <c r="J199">
        <v>2025</v>
      </c>
      <c r="K199">
        <v>1407</v>
      </c>
      <c r="N199">
        <v>48</v>
      </c>
      <c r="O199">
        <v>8667</v>
      </c>
      <c r="P199" t="s">
        <v>33</v>
      </c>
      <c r="Q199" t="s">
        <v>369</v>
      </c>
      <c r="R199" t="s">
        <v>370</v>
      </c>
    </row>
    <row r="200" spans="1:19" x14ac:dyDescent="0.25">
      <c r="A200" s="1">
        <v>198</v>
      </c>
      <c r="B200" t="s">
        <v>502</v>
      </c>
      <c r="C200">
        <v>45.0157176833454</v>
      </c>
      <c r="D200">
        <v>-31.481073004197</v>
      </c>
      <c r="E200" t="s">
        <v>20</v>
      </c>
      <c r="F200">
        <v>1.813192503642785E-2</v>
      </c>
      <c r="G200">
        <v>0.43059801329652891</v>
      </c>
      <c r="H200">
        <v>-0.39925155872592027</v>
      </c>
      <c r="I200">
        <v>-32.568695720910647</v>
      </c>
      <c r="J200">
        <v>2025</v>
      </c>
      <c r="K200">
        <v>595</v>
      </c>
      <c r="N200">
        <v>24</v>
      </c>
      <c r="O200">
        <v>8654</v>
      </c>
      <c r="P200" t="s">
        <v>46</v>
      </c>
      <c r="Q200">
        <v>3689</v>
      </c>
      <c r="R200" t="s">
        <v>58</v>
      </c>
      <c r="S200" t="s">
        <v>59</v>
      </c>
    </row>
    <row r="201" spans="1:19" x14ac:dyDescent="0.25">
      <c r="A201" s="1">
        <v>199</v>
      </c>
      <c r="B201" t="s">
        <v>503</v>
      </c>
      <c r="C201">
        <v>44.566657730344502</v>
      </c>
      <c r="D201">
        <v>-28.841640962393999</v>
      </c>
      <c r="E201" t="s">
        <v>20</v>
      </c>
      <c r="F201">
        <v>1.7617003471588791E-2</v>
      </c>
      <c r="G201">
        <v>0.44557497721924871</v>
      </c>
      <c r="H201">
        <v>-1.1494902596098371</v>
      </c>
      <c r="I201">
        <v>-30.542472373255588</v>
      </c>
      <c r="J201">
        <v>2025</v>
      </c>
      <c r="K201">
        <v>600</v>
      </c>
      <c r="N201">
        <v>24</v>
      </c>
      <c r="O201">
        <v>8649</v>
      </c>
      <c r="P201" t="s">
        <v>191</v>
      </c>
      <c r="Q201">
        <v>3665</v>
      </c>
      <c r="R201" t="s">
        <v>193</v>
      </c>
    </row>
    <row r="202" spans="1:19" x14ac:dyDescent="0.25">
      <c r="A202" s="1">
        <v>200</v>
      </c>
      <c r="B202" t="s">
        <v>504</v>
      </c>
      <c r="C202">
        <v>46.665751597504197</v>
      </c>
      <c r="D202">
        <v>-32.2435355746779</v>
      </c>
      <c r="E202" t="s">
        <v>20</v>
      </c>
      <c r="F202">
        <v>1.4070566075401549E-2</v>
      </c>
      <c r="G202">
        <v>0.44623497059037898</v>
      </c>
      <c r="H202">
        <v>-3.8446496682247422</v>
      </c>
      <c r="I202">
        <v>-32.661423972048468</v>
      </c>
      <c r="J202">
        <v>2025</v>
      </c>
      <c r="K202">
        <v>1470</v>
      </c>
      <c r="N202">
        <v>50</v>
      </c>
      <c r="O202">
        <v>8780</v>
      </c>
      <c r="P202" t="s">
        <v>378</v>
      </c>
      <c r="Q202" t="s">
        <v>379</v>
      </c>
      <c r="R202" t="s">
        <v>380</v>
      </c>
      <c r="S202" t="s">
        <v>381</v>
      </c>
    </row>
    <row r="203" spans="1:19" x14ac:dyDescent="0.25">
      <c r="A203" s="1">
        <v>201</v>
      </c>
      <c r="B203" t="s">
        <v>505</v>
      </c>
      <c r="C203">
        <v>48.539882967714</v>
      </c>
      <c r="D203">
        <v>-32.0729824104926</v>
      </c>
      <c r="E203" t="s">
        <v>20</v>
      </c>
      <c r="F203">
        <v>1.4216412594108279E-2</v>
      </c>
      <c r="G203">
        <v>0.47393873558766031</v>
      </c>
      <c r="H203">
        <v>-0.28111447480015012</v>
      </c>
      <c r="I203">
        <v>-32.787307014595797</v>
      </c>
      <c r="J203">
        <v>2025</v>
      </c>
      <c r="N203">
        <v>50</v>
      </c>
      <c r="O203">
        <v>8613</v>
      </c>
      <c r="P203" t="s">
        <v>287</v>
      </c>
      <c r="R203" t="s">
        <v>506</v>
      </c>
    </row>
    <row r="204" spans="1:19" x14ac:dyDescent="0.25">
      <c r="A204" s="1">
        <v>202</v>
      </c>
      <c r="B204" t="s">
        <v>507</v>
      </c>
      <c r="C204">
        <v>47.666135435068199</v>
      </c>
      <c r="D204">
        <v>-28.679178393336802</v>
      </c>
      <c r="E204" t="s">
        <v>20</v>
      </c>
      <c r="F204">
        <v>1.8989115292211811E-2</v>
      </c>
      <c r="G204">
        <v>0.49134529890861289</v>
      </c>
      <c r="H204">
        <v>-2.0576957601023951</v>
      </c>
      <c r="I204">
        <v>-29.72614225728196</v>
      </c>
      <c r="J204">
        <v>2025</v>
      </c>
      <c r="K204">
        <v>1486</v>
      </c>
      <c r="N204">
        <v>50</v>
      </c>
      <c r="O204">
        <v>8615</v>
      </c>
      <c r="P204" t="s">
        <v>63</v>
      </c>
      <c r="Q204" t="s">
        <v>171</v>
      </c>
      <c r="R204" t="s">
        <v>64</v>
      </c>
      <c r="S204" t="s">
        <v>172</v>
      </c>
    </row>
    <row r="205" spans="1:19" x14ac:dyDescent="0.25">
      <c r="A205" s="1">
        <v>203</v>
      </c>
      <c r="B205" t="s">
        <v>508</v>
      </c>
      <c r="C205">
        <v>48.341583686631701</v>
      </c>
      <c r="D205">
        <v>-32.356603475816897</v>
      </c>
      <c r="E205" t="s">
        <v>20</v>
      </c>
      <c r="F205">
        <v>2.0768021752450631E-2</v>
      </c>
      <c r="G205">
        <v>0.45933852999445662</v>
      </c>
      <c r="H205">
        <v>2.074166885838054</v>
      </c>
      <c r="I205">
        <v>-33.866622457440307</v>
      </c>
      <c r="J205">
        <v>2025</v>
      </c>
      <c r="K205">
        <v>579</v>
      </c>
      <c r="N205">
        <v>24</v>
      </c>
      <c r="O205">
        <v>8642</v>
      </c>
      <c r="P205" t="s">
        <v>80</v>
      </c>
      <c r="Q205">
        <v>2081</v>
      </c>
      <c r="R205" t="s">
        <v>419</v>
      </c>
      <c r="S205" t="s">
        <v>509</v>
      </c>
    </row>
    <row r="206" spans="1:19" x14ac:dyDescent="0.25">
      <c r="A206" s="1">
        <v>204</v>
      </c>
      <c r="B206" t="s">
        <v>510</v>
      </c>
      <c r="C206">
        <v>44.107567233824</v>
      </c>
      <c r="D206">
        <v>-28.798761730166301</v>
      </c>
      <c r="E206" t="s">
        <v>20</v>
      </c>
      <c r="F206">
        <v>1.639597652458535E-2</v>
      </c>
      <c r="G206">
        <v>0.40947133539405289</v>
      </c>
      <c r="H206">
        <v>2.5511099810173782E-3</v>
      </c>
      <c r="I206">
        <v>-30.731464040791721</v>
      </c>
      <c r="J206">
        <v>2025</v>
      </c>
      <c r="K206">
        <v>1459</v>
      </c>
      <c r="N206">
        <v>50</v>
      </c>
      <c r="O206">
        <v>8786</v>
      </c>
      <c r="P206" t="s">
        <v>26</v>
      </c>
      <c r="Q206" t="s">
        <v>413</v>
      </c>
      <c r="R206" t="s">
        <v>414</v>
      </c>
      <c r="S206" t="s">
        <v>415</v>
      </c>
    </row>
    <row r="207" spans="1:19" x14ac:dyDescent="0.25">
      <c r="A207" s="1">
        <v>205</v>
      </c>
      <c r="B207" t="s">
        <v>511</v>
      </c>
      <c r="C207">
        <v>44.219749568249703</v>
      </c>
      <c r="D207">
        <v>-29.1780436768037</v>
      </c>
      <c r="E207" t="s">
        <v>20</v>
      </c>
      <c r="F207">
        <v>1.461254642049198E-2</v>
      </c>
      <c r="G207">
        <v>0.44969906263975412</v>
      </c>
      <c r="H207">
        <v>-1.017951663395309</v>
      </c>
      <c r="I207">
        <v>-30.28414135362738</v>
      </c>
      <c r="J207">
        <v>2025</v>
      </c>
      <c r="K207">
        <v>598</v>
      </c>
      <c r="N207">
        <v>24</v>
      </c>
      <c r="O207">
        <v>8651</v>
      </c>
      <c r="P207" t="s">
        <v>116</v>
      </c>
      <c r="Q207">
        <v>2069</v>
      </c>
      <c r="R207" t="s">
        <v>117</v>
      </c>
      <c r="S207" t="s">
        <v>118</v>
      </c>
    </row>
    <row r="208" spans="1:19" x14ac:dyDescent="0.25">
      <c r="A208" s="1">
        <v>206</v>
      </c>
      <c r="B208" t="s">
        <v>512</v>
      </c>
      <c r="C208">
        <v>44.844345018092</v>
      </c>
      <c r="D208">
        <v>-31.552590652176001</v>
      </c>
      <c r="E208" t="s">
        <v>20</v>
      </c>
      <c r="F208">
        <v>1.4318892691616779E-2</v>
      </c>
      <c r="G208">
        <v>0.43317794601475318</v>
      </c>
      <c r="H208">
        <v>0.2401643993797534</v>
      </c>
      <c r="I208">
        <v>-33.566837660927362</v>
      </c>
      <c r="J208">
        <v>2025</v>
      </c>
      <c r="K208">
        <v>1390</v>
      </c>
      <c r="N208">
        <v>48</v>
      </c>
      <c r="O208">
        <v>8686</v>
      </c>
      <c r="P208" t="s">
        <v>67</v>
      </c>
      <c r="Q208" t="s">
        <v>187</v>
      </c>
      <c r="R208" t="s">
        <v>69</v>
      </c>
      <c r="S208" t="s">
        <v>188</v>
      </c>
    </row>
    <row r="209" spans="1:20" x14ac:dyDescent="0.25">
      <c r="A209" s="1">
        <v>207</v>
      </c>
      <c r="B209" t="s">
        <v>513</v>
      </c>
      <c r="C209">
        <v>44.246209672989401</v>
      </c>
      <c r="D209">
        <v>-32.700493425227101</v>
      </c>
      <c r="E209" t="s">
        <v>20</v>
      </c>
      <c r="F209">
        <v>2.0933247530833289E-2</v>
      </c>
      <c r="G209">
        <v>0.43948503850011089</v>
      </c>
      <c r="H209">
        <v>1.310637662072587</v>
      </c>
      <c r="I209">
        <v>-33.930437888564839</v>
      </c>
      <c r="J209">
        <v>2025</v>
      </c>
      <c r="K209">
        <v>1413</v>
      </c>
      <c r="N209">
        <v>48</v>
      </c>
      <c r="O209">
        <v>8663</v>
      </c>
      <c r="P209" t="s">
        <v>67</v>
      </c>
      <c r="Q209" t="s">
        <v>514</v>
      </c>
    </row>
    <row r="210" spans="1:20" x14ac:dyDescent="0.25">
      <c r="A210" s="1">
        <v>208</v>
      </c>
      <c r="B210" t="s">
        <v>515</v>
      </c>
      <c r="C210">
        <v>45.141287351168998</v>
      </c>
      <c r="D210">
        <v>-27.0372808201266</v>
      </c>
      <c r="E210" t="s">
        <v>20</v>
      </c>
      <c r="F210">
        <v>2.2309346322274961E-2</v>
      </c>
      <c r="G210">
        <v>0.44480315894842409</v>
      </c>
      <c r="H210">
        <v>0.21659611455282349</v>
      </c>
      <c r="I210">
        <v>-28.439969451931269</v>
      </c>
      <c r="J210">
        <v>2025</v>
      </c>
      <c r="K210">
        <v>1400</v>
      </c>
      <c r="N210">
        <v>48</v>
      </c>
      <c r="O210">
        <v>8672</v>
      </c>
      <c r="P210" t="s">
        <v>105</v>
      </c>
      <c r="Q210" t="s">
        <v>197</v>
      </c>
      <c r="R210" t="s">
        <v>198</v>
      </c>
      <c r="S210" t="s">
        <v>199</v>
      </c>
    </row>
    <row r="211" spans="1:20" x14ac:dyDescent="0.25">
      <c r="A211" s="1">
        <v>209</v>
      </c>
      <c r="B211" t="s">
        <v>516</v>
      </c>
      <c r="C211">
        <v>0.4249</v>
      </c>
      <c r="D211">
        <v>-31.49</v>
      </c>
      <c r="E211" t="s">
        <v>20</v>
      </c>
      <c r="F211">
        <v>1.903648493292863E-2</v>
      </c>
      <c r="G211">
        <v>0.43655933066021929</v>
      </c>
      <c r="H211">
        <v>0.87208939566314592</v>
      </c>
      <c r="I211">
        <v>-32.108413367138013</v>
      </c>
      <c r="J211">
        <v>2025</v>
      </c>
      <c r="K211">
        <v>1406</v>
      </c>
      <c r="N211">
        <v>48</v>
      </c>
      <c r="O211">
        <v>8666</v>
      </c>
      <c r="P211" t="s">
        <v>242</v>
      </c>
      <c r="Q211" t="s">
        <v>243</v>
      </c>
      <c r="R211" t="s">
        <v>244</v>
      </c>
    </row>
    <row r="212" spans="1:20" x14ac:dyDescent="0.25">
      <c r="A212" s="1">
        <v>210</v>
      </c>
      <c r="B212" t="s">
        <v>517</v>
      </c>
      <c r="C212">
        <v>0.41930000000000001</v>
      </c>
      <c r="D212">
        <v>-27.79</v>
      </c>
      <c r="E212" t="s">
        <v>20</v>
      </c>
      <c r="J212">
        <v>2025</v>
      </c>
      <c r="O212">
        <v>3698</v>
      </c>
    </row>
    <row r="213" spans="1:20" x14ac:dyDescent="0.25">
      <c r="A213" s="1">
        <v>211</v>
      </c>
      <c r="B213" t="s">
        <v>518</v>
      </c>
      <c r="C213">
        <v>0.40539999999999998</v>
      </c>
      <c r="D213">
        <v>-29.37</v>
      </c>
      <c r="E213" t="s">
        <v>20</v>
      </c>
      <c r="J213">
        <v>2025</v>
      </c>
      <c r="K213">
        <v>564</v>
      </c>
      <c r="N213">
        <v>23</v>
      </c>
      <c r="O213">
        <v>8974</v>
      </c>
      <c r="P213" t="s">
        <v>51</v>
      </c>
      <c r="Q213" t="s">
        <v>317</v>
      </c>
      <c r="R213" t="s">
        <v>318</v>
      </c>
      <c r="S213" t="s">
        <v>129</v>
      </c>
    </row>
    <row r="214" spans="1:20" x14ac:dyDescent="0.25">
      <c r="A214" s="1">
        <v>212</v>
      </c>
      <c r="B214" t="s">
        <v>519</v>
      </c>
      <c r="K214" t="s">
        <v>520</v>
      </c>
      <c r="L214" t="s">
        <v>521</v>
      </c>
      <c r="N214" t="s">
        <v>522</v>
      </c>
      <c r="P214" t="s">
        <v>191</v>
      </c>
      <c r="R214" t="s">
        <v>184</v>
      </c>
      <c r="S214" t="s">
        <v>157</v>
      </c>
      <c r="T214">
        <v>3661</v>
      </c>
    </row>
    <row r="215" spans="1:20" x14ac:dyDescent="0.25">
      <c r="A215" s="1">
        <v>213</v>
      </c>
      <c r="B215" t="s">
        <v>523</v>
      </c>
      <c r="K215" t="s">
        <v>524</v>
      </c>
      <c r="L215" t="s">
        <v>525</v>
      </c>
      <c r="N215" t="s">
        <v>526</v>
      </c>
      <c r="P215" t="s">
        <v>33</v>
      </c>
      <c r="R215" t="s">
        <v>157</v>
      </c>
      <c r="S215" t="s">
        <v>157</v>
      </c>
      <c r="T215">
        <v>5008</v>
      </c>
    </row>
    <row r="216" spans="1:20" x14ac:dyDescent="0.25">
      <c r="A216" s="1">
        <v>214</v>
      </c>
      <c r="B216" t="s">
        <v>527</v>
      </c>
      <c r="K216" t="s">
        <v>528</v>
      </c>
      <c r="L216" t="s">
        <v>529</v>
      </c>
      <c r="N216" t="s">
        <v>526</v>
      </c>
      <c r="P216" t="s">
        <v>33</v>
      </c>
      <c r="R216" t="s">
        <v>157</v>
      </c>
      <c r="S216" t="s">
        <v>157</v>
      </c>
      <c r="T216">
        <v>5009</v>
      </c>
    </row>
    <row r="217" spans="1:20" x14ac:dyDescent="0.25">
      <c r="A217" s="1">
        <v>215</v>
      </c>
      <c r="B217" t="s">
        <v>530</v>
      </c>
      <c r="F217">
        <v>1.060102138293673E-2</v>
      </c>
      <c r="G217">
        <v>0.44029850732839187</v>
      </c>
      <c r="H217">
        <v>-2.44835947519306</v>
      </c>
      <c r="I217">
        <v>-31.87235501879913</v>
      </c>
      <c r="K217" t="s">
        <v>531</v>
      </c>
      <c r="L217" t="s">
        <v>532</v>
      </c>
      <c r="N217" t="s">
        <v>533</v>
      </c>
      <c r="P217" t="s">
        <v>191</v>
      </c>
      <c r="R217" t="s">
        <v>184</v>
      </c>
      <c r="S217" t="s">
        <v>534</v>
      </c>
      <c r="T217">
        <v>3610</v>
      </c>
    </row>
    <row r="218" spans="1:20" x14ac:dyDescent="0.25">
      <c r="A218" s="1">
        <v>216</v>
      </c>
      <c r="B218" t="s">
        <v>535</v>
      </c>
      <c r="F218">
        <v>1.4662102452408791E-2</v>
      </c>
      <c r="G218">
        <v>0.4432501282364365</v>
      </c>
      <c r="H218">
        <v>-3.244361570588707</v>
      </c>
      <c r="I218">
        <v>-30.253312065626069</v>
      </c>
      <c r="K218" t="s">
        <v>536</v>
      </c>
      <c r="L218" t="s">
        <v>537</v>
      </c>
      <c r="N218" t="s">
        <v>538</v>
      </c>
      <c r="P218" t="s">
        <v>432</v>
      </c>
      <c r="R218" t="s">
        <v>434</v>
      </c>
      <c r="S218" t="s">
        <v>435</v>
      </c>
      <c r="T218">
        <v>2296</v>
      </c>
    </row>
    <row r="219" spans="1:20" x14ac:dyDescent="0.25">
      <c r="A219" s="1">
        <v>217</v>
      </c>
      <c r="B219" t="s">
        <v>535</v>
      </c>
      <c r="K219" t="s">
        <v>536</v>
      </c>
      <c r="L219" t="s">
        <v>537</v>
      </c>
      <c r="N219" t="s">
        <v>538</v>
      </c>
      <c r="P219" t="s">
        <v>432</v>
      </c>
      <c r="R219" t="s">
        <v>434</v>
      </c>
      <c r="S219" t="s">
        <v>435</v>
      </c>
      <c r="T219">
        <v>2296</v>
      </c>
    </row>
    <row r="220" spans="1:20" x14ac:dyDescent="0.25">
      <c r="A220" s="1">
        <v>218</v>
      </c>
      <c r="B220" t="s">
        <v>539</v>
      </c>
      <c r="F220">
        <v>1.6605694537606831E-2</v>
      </c>
      <c r="G220">
        <v>0.37403918138818032</v>
      </c>
      <c r="H220">
        <v>0.43880905828871558</v>
      </c>
      <c r="I220">
        <v>-29.746740344081122</v>
      </c>
      <c r="K220" t="s">
        <v>540</v>
      </c>
      <c r="L220" t="s">
        <v>541</v>
      </c>
      <c r="N220" t="s">
        <v>542</v>
      </c>
      <c r="P220" t="s">
        <v>26</v>
      </c>
      <c r="R220" t="s">
        <v>157</v>
      </c>
      <c r="S220" t="s">
        <v>157</v>
      </c>
      <c r="T220">
        <v>4798</v>
      </c>
    </row>
    <row r="221" spans="1:20" x14ac:dyDescent="0.25">
      <c r="A221" s="1">
        <v>219</v>
      </c>
      <c r="B221" t="s">
        <v>543</v>
      </c>
      <c r="F221">
        <v>1.3739614647424609E-2</v>
      </c>
      <c r="G221">
        <v>0.45144211466509637</v>
      </c>
      <c r="H221">
        <v>-0.75262728825021397</v>
      </c>
      <c r="I221">
        <v>-33.034490144696363</v>
      </c>
      <c r="K221" t="s">
        <v>544</v>
      </c>
      <c r="L221" t="s">
        <v>545</v>
      </c>
      <c r="N221" t="s">
        <v>542</v>
      </c>
      <c r="P221" t="s">
        <v>132</v>
      </c>
      <c r="R221" t="s">
        <v>157</v>
      </c>
      <c r="S221" t="s">
        <v>157</v>
      </c>
      <c r="T221">
        <v>4796</v>
      </c>
    </row>
    <row r="222" spans="1:20" x14ac:dyDescent="0.25">
      <c r="A222" s="1">
        <v>220</v>
      </c>
      <c r="B222" t="s">
        <v>546</v>
      </c>
      <c r="F222">
        <v>1.5998406826544052E-2</v>
      </c>
      <c r="G222">
        <v>0.47675733323964281</v>
      </c>
      <c r="H222">
        <v>-2.2913072990407741</v>
      </c>
      <c r="I222">
        <v>-31.33598496069272</v>
      </c>
      <c r="K222" t="s">
        <v>547</v>
      </c>
      <c r="L222" t="s">
        <v>548</v>
      </c>
      <c r="N222" t="s">
        <v>542</v>
      </c>
      <c r="P222" t="s">
        <v>63</v>
      </c>
      <c r="R222" t="s">
        <v>157</v>
      </c>
      <c r="S222" t="s">
        <v>157</v>
      </c>
      <c r="T222">
        <v>3685</v>
      </c>
    </row>
    <row r="223" spans="1:20" x14ac:dyDescent="0.25">
      <c r="A223" s="1">
        <v>221</v>
      </c>
      <c r="B223" t="s">
        <v>549</v>
      </c>
      <c r="F223">
        <v>2.7675565326629251E-2</v>
      </c>
      <c r="G223">
        <v>0.4631844603823127</v>
      </c>
      <c r="H223">
        <v>-0.4165587745668069</v>
      </c>
      <c r="I223">
        <v>-32.955027913865791</v>
      </c>
      <c r="K223" t="s">
        <v>550</v>
      </c>
      <c r="L223" t="s">
        <v>551</v>
      </c>
      <c r="N223" t="s">
        <v>542</v>
      </c>
      <c r="P223" t="s">
        <v>28</v>
      </c>
      <c r="R223" t="s">
        <v>157</v>
      </c>
      <c r="S223" t="s">
        <v>157</v>
      </c>
      <c r="T223">
        <v>3686</v>
      </c>
    </row>
    <row r="224" spans="1:20" x14ac:dyDescent="0.25">
      <c r="A224" s="1">
        <v>222</v>
      </c>
      <c r="B224" t="s">
        <v>552</v>
      </c>
      <c r="F224">
        <v>1.647622741501889E-2</v>
      </c>
      <c r="G224">
        <v>0.4415753975530361</v>
      </c>
      <c r="H224">
        <v>-0.65054664467894374</v>
      </c>
      <c r="I224">
        <v>-30.660555998632791</v>
      </c>
      <c r="K224" t="s">
        <v>553</v>
      </c>
      <c r="L224" t="s">
        <v>554</v>
      </c>
      <c r="N224" t="s">
        <v>542</v>
      </c>
      <c r="P224" t="s">
        <v>51</v>
      </c>
      <c r="R224" t="s">
        <v>555</v>
      </c>
      <c r="S224" t="s">
        <v>556</v>
      </c>
      <c r="T224">
        <v>3694</v>
      </c>
    </row>
    <row r="225" spans="1:20" x14ac:dyDescent="0.25">
      <c r="A225" s="1">
        <v>223</v>
      </c>
      <c r="B225" s="2" t="s">
        <v>557</v>
      </c>
      <c r="F225">
        <v>1.800165668090566E-2</v>
      </c>
      <c r="G225">
        <v>0.42125029451486351</v>
      </c>
      <c r="H225">
        <v>0.5465820073185762</v>
      </c>
      <c r="I225">
        <v>-31.991548365045009</v>
      </c>
      <c r="K225" t="s">
        <v>558</v>
      </c>
      <c r="L225" t="s">
        <v>305</v>
      </c>
      <c r="N225" t="s">
        <v>559</v>
      </c>
      <c r="P225" t="s">
        <v>306</v>
      </c>
      <c r="R225" t="s">
        <v>308</v>
      </c>
      <c r="S225" t="s">
        <v>560</v>
      </c>
      <c r="T225">
        <v>3712</v>
      </c>
    </row>
    <row r="226" spans="1:20" x14ac:dyDescent="0.25">
      <c r="A226" s="1">
        <v>224</v>
      </c>
      <c r="B226" t="s">
        <v>561</v>
      </c>
      <c r="F226">
        <v>1.681736102315546E-2</v>
      </c>
      <c r="G226">
        <v>0.49183775662932422</v>
      </c>
      <c r="H226">
        <v>-4.3803591494946179</v>
      </c>
      <c r="I226">
        <v>-30.074522046257272</v>
      </c>
      <c r="K226" t="s">
        <v>562</v>
      </c>
      <c r="L226" t="s">
        <v>563</v>
      </c>
      <c r="N226" t="s">
        <v>533</v>
      </c>
      <c r="P226" t="s">
        <v>564</v>
      </c>
      <c r="R226" t="s">
        <v>565</v>
      </c>
      <c r="S226" t="s">
        <v>142</v>
      </c>
      <c r="T226">
        <v>3613</v>
      </c>
    </row>
    <row r="227" spans="1:20" x14ac:dyDescent="0.25">
      <c r="A227" s="1">
        <v>225</v>
      </c>
      <c r="B227" t="s">
        <v>566</v>
      </c>
      <c r="F227">
        <v>2.162756231619211E-2</v>
      </c>
      <c r="G227">
        <v>0.45491806109877542</v>
      </c>
      <c r="H227">
        <v>-0.63947944870773898</v>
      </c>
      <c r="I227">
        <v>-31.266455508715961</v>
      </c>
      <c r="K227" t="s">
        <v>567</v>
      </c>
      <c r="L227" t="s">
        <v>568</v>
      </c>
      <c r="N227" t="s">
        <v>533</v>
      </c>
      <c r="P227" t="s">
        <v>72</v>
      </c>
      <c r="R227" t="s">
        <v>98</v>
      </c>
      <c r="S227" t="s">
        <v>569</v>
      </c>
      <c r="T227">
        <v>3603</v>
      </c>
    </row>
    <row r="228" spans="1:20" x14ac:dyDescent="0.25">
      <c r="A228" s="1">
        <v>226</v>
      </c>
      <c r="B228" t="s">
        <v>570</v>
      </c>
      <c r="K228" t="s">
        <v>571</v>
      </c>
      <c r="L228" t="s">
        <v>572</v>
      </c>
      <c r="N228" t="s">
        <v>559</v>
      </c>
      <c r="P228" t="s">
        <v>573</v>
      </c>
      <c r="R228" t="s">
        <v>574</v>
      </c>
      <c r="S228" t="s">
        <v>575</v>
      </c>
      <c r="T228">
        <v>3708</v>
      </c>
    </row>
    <row r="229" spans="1:20" x14ac:dyDescent="0.25">
      <c r="A229" s="1">
        <v>227</v>
      </c>
      <c r="B229" t="s">
        <v>576</v>
      </c>
      <c r="F229">
        <v>1.231653306885523E-2</v>
      </c>
      <c r="G229">
        <v>0.44643406890112342</v>
      </c>
      <c r="H229">
        <v>-0.3490924634925302</v>
      </c>
      <c r="I229">
        <v>-30.581093767802209</v>
      </c>
      <c r="K229" t="s">
        <v>577</v>
      </c>
      <c r="L229" t="s">
        <v>578</v>
      </c>
      <c r="N229" t="s">
        <v>542</v>
      </c>
      <c r="P229" t="s">
        <v>132</v>
      </c>
      <c r="R229" t="s">
        <v>579</v>
      </c>
      <c r="S229" t="s">
        <v>580</v>
      </c>
      <c r="T229">
        <v>3690</v>
      </c>
    </row>
    <row r="230" spans="1:20" x14ac:dyDescent="0.25">
      <c r="A230" s="1">
        <v>228</v>
      </c>
      <c r="B230" t="s">
        <v>581</v>
      </c>
      <c r="F230">
        <v>2.041129239871441E-2</v>
      </c>
      <c r="G230">
        <v>0.47913795538434589</v>
      </c>
      <c r="H230">
        <v>-1.5415490989188241</v>
      </c>
      <c r="I230">
        <v>-32.925229577304322</v>
      </c>
      <c r="K230" t="s">
        <v>582</v>
      </c>
      <c r="L230" t="s">
        <v>583</v>
      </c>
      <c r="N230" t="s">
        <v>559</v>
      </c>
      <c r="P230" t="s">
        <v>63</v>
      </c>
      <c r="R230" t="s">
        <v>64</v>
      </c>
      <c r="S230" t="s">
        <v>584</v>
      </c>
      <c r="T230">
        <v>3701</v>
      </c>
    </row>
    <row r="231" spans="1:20" x14ac:dyDescent="0.25">
      <c r="A231" s="1">
        <v>229</v>
      </c>
      <c r="B231" t="s">
        <v>585</v>
      </c>
      <c r="F231">
        <v>2.44000140550821E-2</v>
      </c>
      <c r="G231">
        <v>0.47965515671928249</v>
      </c>
      <c r="H231">
        <v>-1.6041958472514191</v>
      </c>
      <c r="I231">
        <v>-30.889009912270708</v>
      </c>
      <c r="K231" t="s">
        <v>586</v>
      </c>
      <c r="L231" t="s">
        <v>587</v>
      </c>
      <c r="N231" t="s">
        <v>538</v>
      </c>
      <c r="P231" t="s">
        <v>72</v>
      </c>
      <c r="R231" t="s">
        <v>259</v>
      </c>
      <c r="S231" t="s">
        <v>588</v>
      </c>
      <c r="T231">
        <v>2295</v>
      </c>
    </row>
    <row r="232" spans="1:20" x14ac:dyDescent="0.25">
      <c r="A232" s="1">
        <v>230</v>
      </c>
      <c r="B232" t="s">
        <v>585</v>
      </c>
      <c r="F232">
        <v>2.2726199156203018E-2</v>
      </c>
      <c r="G232">
        <v>0.48217776064133649</v>
      </c>
      <c r="H232">
        <v>-1.139059263066595</v>
      </c>
      <c r="I232">
        <v>-31.098490836851639</v>
      </c>
      <c r="K232" t="s">
        <v>586</v>
      </c>
      <c r="L232" t="s">
        <v>587</v>
      </c>
      <c r="N232" t="s">
        <v>538</v>
      </c>
      <c r="P232" t="s">
        <v>72</v>
      </c>
      <c r="R232" t="s">
        <v>259</v>
      </c>
      <c r="S232" t="s">
        <v>588</v>
      </c>
      <c r="T232">
        <v>2295</v>
      </c>
    </row>
    <row r="233" spans="1:20" x14ac:dyDescent="0.25">
      <c r="A233" s="1">
        <v>231</v>
      </c>
      <c r="B233" t="s">
        <v>589</v>
      </c>
      <c r="F233">
        <v>1.8649561241960141E-2</v>
      </c>
      <c r="G233">
        <v>0.45973878598303691</v>
      </c>
      <c r="H233">
        <v>-1.200101519253433</v>
      </c>
      <c r="I233">
        <v>-27.432402871140479</v>
      </c>
      <c r="K233" t="s">
        <v>590</v>
      </c>
      <c r="L233" t="s">
        <v>591</v>
      </c>
      <c r="N233" t="s">
        <v>559</v>
      </c>
      <c r="P233" t="s">
        <v>105</v>
      </c>
      <c r="R233" t="s">
        <v>592</v>
      </c>
      <c r="S233" t="s">
        <v>593</v>
      </c>
      <c r="T233">
        <v>3704</v>
      </c>
    </row>
    <row r="234" spans="1:20" x14ac:dyDescent="0.25">
      <c r="A234" s="1">
        <v>232</v>
      </c>
      <c r="B234" t="s">
        <v>594</v>
      </c>
      <c r="F234">
        <v>1.261356126533366E-2</v>
      </c>
      <c r="G234">
        <v>0.41489728685016652</v>
      </c>
      <c r="H234">
        <v>0.73339537895518103</v>
      </c>
      <c r="I234">
        <v>-32.100808932437047</v>
      </c>
      <c r="K234" t="s">
        <v>595</v>
      </c>
      <c r="L234" t="s">
        <v>295</v>
      </c>
      <c r="N234" t="s">
        <v>596</v>
      </c>
      <c r="P234" t="s">
        <v>144</v>
      </c>
      <c r="R234" t="s">
        <v>297</v>
      </c>
      <c r="S234" t="s">
        <v>597</v>
      </c>
      <c r="T234">
        <v>3627</v>
      </c>
    </row>
    <row r="235" spans="1:20" x14ac:dyDescent="0.25">
      <c r="A235" s="1">
        <v>233</v>
      </c>
      <c r="B235" t="s">
        <v>598</v>
      </c>
      <c r="F235">
        <v>2.1860757188518171E-2</v>
      </c>
      <c r="G235">
        <v>0.45220639040131549</v>
      </c>
      <c r="H235">
        <v>0.71139493734889336</v>
      </c>
      <c r="I235">
        <v>-32.398792298051717</v>
      </c>
      <c r="K235" t="s">
        <v>599</v>
      </c>
      <c r="L235" t="s">
        <v>600</v>
      </c>
      <c r="N235" t="s">
        <v>601</v>
      </c>
      <c r="P235" t="s">
        <v>72</v>
      </c>
      <c r="R235" t="s">
        <v>375</v>
      </c>
      <c r="S235" t="s">
        <v>157</v>
      </c>
      <c r="T235">
        <v>3738</v>
      </c>
    </row>
    <row r="236" spans="1:20" x14ac:dyDescent="0.25">
      <c r="A236" s="1">
        <v>234</v>
      </c>
      <c r="B236" t="s">
        <v>602</v>
      </c>
      <c r="F236">
        <v>1.532828304787117E-2</v>
      </c>
      <c r="G236">
        <v>0.44809893331820488</v>
      </c>
      <c r="H236">
        <v>-2.3002566553846928</v>
      </c>
      <c r="I236">
        <v>-32.751643737044049</v>
      </c>
      <c r="K236" t="s">
        <v>603</v>
      </c>
      <c r="L236" t="s">
        <v>604</v>
      </c>
      <c r="N236" t="s">
        <v>542</v>
      </c>
      <c r="P236" t="s">
        <v>41</v>
      </c>
      <c r="R236" t="s">
        <v>43</v>
      </c>
      <c r="S236" t="s">
        <v>44</v>
      </c>
      <c r="T236">
        <v>3687</v>
      </c>
    </row>
    <row r="237" spans="1:20" x14ac:dyDescent="0.25">
      <c r="A237" s="1">
        <v>235</v>
      </c>
      <c r="B237" t="s">
        <v>605</v>
      </c>
      <c r="F237">
        <v>2.2658709547451882E-2</v>
      </c>
      <c r="G237">
        <v>0.46711035327469669</v>
      </c>
      <c r="H237">
        <v>-0.63043225883488285</v>
      </c>
      <c r="I237">
        <v>-34.826312108409972</v>
      </c>
      <c r="K237" t="s">
        <v>606</v>
      </c>
      <c r="L237" t="s">
        <v>607</v>
      </c>
      <c r="N237" t="s">
        <v>542</v>
      </c>
      <c r="P237" t="s">
        <v>191</v>
      </c>
      <c r="R237" t="s">
        <v>58</v>
      </c>
      <c r="S237" t="s">
        <v>61</v>
      </c>
      <c r="T237">
        <v>3691</v>
      </c>
    </row>
    <row r="238" spans="1:20" x14ac:dyDescent="0.25">
      <c r="A238" s="1">
        <v>236</v>
      </c>
      <c r="B238" t="s">
        <v>608</v>
      </c>
      <c r="F238">
        <v>2.6835535374104449E-2</v>
      </c>
      <c r="G238">
        <v>0.44999115342230039</v>
      </c>
      <c r="H238">
        <v>-2.0464730349028368</v>
      </c>
      <c r="I238">
        <v>-32.375239994860159</v>
      </c>
      <c r="K238" t="s">
        <v>609</v>
      </c>
      <c r="L238" t="s">
        <v>610</v>
      </c>
      <c r="N238" t="s">
        <v>542</v>
      </c>
      <c r="P238" t="s">
        <v>191</v>
      </c>
      <c r="R238" t="s">
        <v>58</v>
      </c>
      <c r="S238" t="s">
        <v>59</v>
      </c>
      <c r="T238">
        <v>3689</v>
      </c>
    </row>
    <row r="239" spans="1:20" x14ac:dyDescent="0.25">
      <c r="A239" s="1">
        <v>237</v>
      </c>
      <c r="B239" t="s">
        <v>611</v>
      </c>
      <c r="F239">
        <v>1.854877391089179E-2</v>
      </c>
      <c r="G239">
        <v>0.43638927587416487</v>
      </c>
      <c r="H239">
        <v>-0.57391223642415712</v>
      </c>
      <c r="I239">
        <v>-32.176730828065487</v>
      </c>
      <c r="K239" t="s">
        <v>612</v>
      </c>
      <c r="L239" t="s">
        <v>613</v>
      </c>
      <c r="N239" t="s">
        <v>542</v>
      </c>
      <c r="P239" t="s">
        <v>55</v>
      </c>
      <c r="R239" t="s">
        <v>95</v>
      </c>
      <c r="S239" t="s">
        <v>109</v>
      </c>
      <c r="T239">
        <v>3688</v>
      </c>
    </row>
    <row r="240" spans="1:20" x14ac:dyDescent="0.25">
      <c r="A240" s="1">
        <v>238</v>
      </c>
      <c r="B240" t="s">
        <v>614</v>
      </c>
      <c r="F240">
        <v>1.3695920056683559E-2</v>
      </c>
      <c r="G240">
        <v>0.51163445657921236</v>
      </c>
      <c r="H240">
        <v>4.060510418208442E-2</v>
      </c>
      <c r="I240">
        <v>-32.779266832809711</v>
      </c>
      <c r="K240" t="s">
        <v>615</v>
      </c>
      <c r="L240" t="s">
        <v>616</v>
      </c>
      <c r="N240" t="s">
        <v>617</v>
      </c>
      <c r="P240" t="s">
        <v>494</v>
      </c>
      <c r="R240" t="s">
        <v>495</v>
      </c>
      <c r="S240" t="s">
        <v>496</v>
      </c>
      <c r="T240">
        <v>2073</v>
      </c>
    </row>
    <row r="241" spans="1:20" x14ac:dyDescent="0.25">
      <c r="A241" s="1">
        <v>239</v>
      </c>
      <c r="B241" t="s">
        <v>618</v>
      </c>
      <c r="F241">
        <v>2.413604836321211E-2</v>
      </c>
      <c r="G241">
        <v>0.50291789181834667</v>
      </c>
      <c r="H241">
        <v>-3.6228859301409582</v>
      </c>
      <c r="I241">
        <v>-31.16916847347996</v>
      </c>
      <c r="K241" t="s">
        <v>619</v>
      </c>
      <c r="L241" t="s">
        <v>620</v>
      </c>
      <c r="N241" t="s">
        <v>542</v>
      </c>
      <c r="P241" t="s">
        <v>63</v>
      </c>
      <c r="R241" t="s">
        <v>64</v>
      </c>
      <c r="S241" t="s">
        <v>584</v>
      </c>
      <c r="T241">
        <v>3693</v>
      </c>
    </row>
    <row r="242" spans="1:20" x14ac:dyDescent="0.25">
      <c r="A242" s="1">
        <v>240</v>
      </c>
      <c r="B242" t="s">
        <v>621</v>
      </c>
      <c r="F242">
        <v>2.1127426949038741E-2</v>
      </c>
      <c r="G242">
        <v>0.4506077559617635</v>
      </c>
      <c r="H242">
        <v>-2.175934344097592</v>
      </c>
      <c r="I242">
        <v>-30.046517798083439</v>
      </c>
      <c r="K242" t="s">
        <v>622</v>
      </c>
      <c r="L242" t="s">
        <v>623</v>
      </c>
      <c r="N242" t="s">
        <v>617</v>
      </c>
      <c r="P242" t="s">
        <v>116</v>
      </c>
      <c r="R242" t="s">
        <v>117</v>
      </c>
      <c r="S242" t="s">
        <v>118</v>
      </c>
      <c r="T242">
        <v>2069</v>
      </c>
    </row>
    <row r="243" spans="1:20" x14ac:dyDescent="0.25">
      <c r="A243" s="1">
        <v>241</v>
      </c>
      <c r="B243" t="s">
        <v>624</v>
      </c>
      <c r="F243">
        <v>2.434058984016663E-2</v>
      </c>
      <c r="G243">
        <v>0.50508104450939051</v>
      </c>
      <c r="H243">
        <v>-0.15468065910197021</v>
      </c>
      <c r="I243">
        <v>-31.850196667338501</v>
      </c>
      <c r="K243" t="s">
        <v>625</v>
      </c>
      <c r="L243" t="s">
        <v>626</v>
      </c>
      <c r="N243" t="s">
        <v>627</v>
      </c>
      <c r="P243" t="s">
        <v>63</v>
      </c>
      <c r="R243" t="s">
        <v>64</v>
      </c>
      <c r="S243" t="s">
        <v>59</v>
      </c>
      <c r="T243">
        <v>2047</v>
      </c>
    </row>
    <row r="244" spans="1:20" x14ac:dyDescent="0.25">
      <c r="A244" s="1">
        <v>242</v>
      </c>
      <c r="B244" t="s">
        <v>628</v>
      </c>
      <c r="F244">
        <v>2.1805727058334671E-2</v>
      </c>
      <c r="G244">
        <v>0.43193444606673048</v>
      </c>
      <c r="H244">
        <v>-0.60655936484364925</v>
      </c>
      <c r="I244">
        <v>-31.911706085421581</v>
      </c>
      <c r="K244" t="s">
        <v>612</v>
      </c>
      <c r="L244" t="s">
        <v>629</v>
      </c>
      <c r="N244" t="s">
        <v>617</v>
      </c>
      <c r="T244">
        <v>2071</v>
      </c>
    </row>
    <row r="245" spans="1:20" x14ac:dyDescent="0.25">
      <c r="A245" s="1">
        <v>243</v>
      </c>
      <c r="B245" t="s">
        <v>630</v>
      </c>
      <c r="F245">
        <v>3.5832691882211637E-2</v>
      </c>
      <c r="G245">
        <v>0.46132207986404111</v>
      </c>
      <c r="H245">
        <v>0.15987553234050611</v>
      </c>
      <c r="I245">
        <v>-31.88747413112166</v>
      </c>
      <c r="K245" t="s">
        <v>631</v>
      </c>
      <c r="L245" t="s">
        <v>632</v>
      </c>
      <c r="N245" t="s">
        <v>627</v>
      </c>
      <c r="P245" t="s">
        <v>72</v>
      </c>
      <c r="R245" t="s">
        <v>633</v>
      </c>
      <c r="S245" t="s">
        <v>634</v>
      </c>
      <c r="T245">
        <v>2037</v>
      </c>
    </row>
    <row r="246" spans="1:20" x14ac:dyDescent="0.25">
      <c r="A246" s="1">
        <v>244</v>
      </c>
      <c r="B246" t="s">
        <v>635</v>
      </c>
      <c r="F246">
        <v>2.1892796563578579E-2</v>
      </c>
      <c r="G246">
        <v>0.45240637016562041</v>
      </c>
      <c r="H246">
        <v>-1.3028668236824279</v>
      </c>
      <c r="I246">
        <v>-29.537121786336691</v>
      </c>
      <c r="K246" t="s">
        <v>636</v>
      </c>
      <c r="L246" t="s">
        <v>637</v>
      </c>
      <c r="N246" t="s">
        <v>638</v>
      </c>
      <c r="P246" t="s">
        <v>191</v>
      </c>
      <c r="R246" t="s">
        <v>58</v>
      </c>
      <c r="S246" t="s">
        <v>59</v>
      </c>
      <c r="T246">
        <v>3780</v>
      </c>
    </row>
    <row r="247" spans="1:20" x14ac:dyDescent="0.25">
      <c r="A247" s="1">
        <v>245</v>
      </c>
      <c r="B247" t="s">
        <v>639</v>
      </c>
      <c r="F247">
        <v>2.0430999244373291E-2</v>
      </c>
      <c r="G247">
        <v>0.39985673116764969</v>
      </c>
      <c r="H247">
        <v>1.5760620337315221</v>
      </c>
      <c r="I247">
        <v>-33.253599177407899</v>
      </c>
      <c r="K247" t="s">
        <v>640</v>
      </c>
      <c r="L247" t="s">
        <v>641</v>
      </c>
      <c r="N247" t="s">
        <v>642</v>
      </c>
      <c r="P247" t="s">
        <v>28</v>
      </c>
      <c r="R247" t="s">
        <v>30</v>
      </c>
      <c r="S247" t="s">
        <v>643</v>
      </c>
      <c r="T247">
        <v>2022</v>
      </c>
    </row>
    <row r="248" spans="1:20" x14ac:dyDescent="0.25">
      <c r="A248" s="1">
        <v>246</v>
      </c>
      <c r="B248" t="s">
        <v>644</v>
      </c>
      <c r="F248">
        <v>1.9582536993473211E-2</v>
      </c>
      <c r="G248">
        <v>0.39471506650749022</v>
      </c>
      <c r="H248">
        <v>0.62585569778577244</v>
      </c>
      <c r="I248">
        <v>-32.679242116248993</v>
      </c>
      <c r="K248" t="s">
        <v>645</v>
      </c>
      <c r="L248" t="s">
        <v>174</v>
      </c>
      <c r="N248" t="s">
        <v>559</v>
      </c>
      <c r="P248" t="s">
        <v>105</v>
      </c>
      <c r="R248" t="s">
        <v>176</v>
      </c>
      <c r="S248" t="s">
        <v>177</v>
      </c>
      <c r="T248">
        <v>3710</v>
      </c>
    </row>
    <row r="249" spans="1:20" x14ac:dyDescent="0.25">
      <c r="A249" s="1">
        <v>247</v>
      </c>
      <c r="B249" t="s">
        <v>646</v>
      </c>
      <c r="F249">
        <v>2.314851056463518E-2</v>
      </c>
      <c r="G249">
        <v>0.48926542200621898</v>
      </c>
      <c r="H249">
        <v>-1.6269988557025861</v>
      </c>
      <c r="I249">
        <v>-30.516291445516782</v>
      </c>
      <c r="K249" t="s">
        <v>647</v>
      </c>
      <c r="L249" t="s">
        <v>648</v>
      </c>
      <c r="N249" t="s">
        <v>559</v>
      </c>
      <c r="P249" t="s">
        <v>63</v>
      </c>
      <c r="R249" t="s">
        <v>86</v>
      </c>
      <c r="S249" t="s">
        <v>157</v>
      </c>
      <c r="T249">
        <v>3711</v>
      </c>
    </row>
    <row r="250" spans="1:20" x14ac:dyDescent="0.25">
      <c r="A250" s="1">
        <v>248</v>
      </c>
      <c r="B250" t="s">
        <v>649</v>
      </c>
      <c r="F250">
        <v>1.3410480894806081E-2</v>
      </c>
      <c r="G250">
        <v>0.47795387810136292</v>
      </c>
      <c r="H250">
        <v>-5.9127516633008277</v>
      </c>
      <c r="I250">
        <v>-33.246911393895459</v>
      </c>
      <c r="K250" t="s">
        <v>650</v>
      </c>
      <c r="L250" t="s">
        <v>651</v>
      </c>
      <c r="N250" t="s">
        <v>538</v>
      </c>
      <c r="P250" t="s">
        <v>564</v>
      </c>
      <c r="R250" t="s">
        <v>157</v>
      </c>
      <c r="S250" t="s">
        <v>157</v>
      </c>
      <c r="T250">
        <v>2294</v>
      </c>
    </row>
    <row r="251" spans="1:20" x14ac:dyDescent="0.25">
      <c r="A251" s="1">
        <v>249</v>
      </c>
      <c r="B251" t="s">
        <v>652</v>
      </c>
      <c r="F251">
        <v>1.785225102488076E-2</v>
      </c>
      <c r="G251">
        <v>0.47684136080833589</v>
      </c>
      <c r="H251">
        <v>-3.0969288636474901</v>
      </c>
      <c r="I251">
        <v>-28.881939080644202</v>
      </c>
      <c r="K251" t="s">
        <v>653</v>
      </c>
      <c r="L251" t="s">
        <v>654</v>
      </c>
      <c r="N251" t="s">
        <v>596</v>
      </c>
      <c r="P251" t="s">
        <v>404</v>
      </c>
      <c r="R251" t="s">
        <v>406</v>
      </c>
      <c r="S251" t="s">
        <v>157</v>
      </c>
      <c r="T251">
        <v>3629</v>
      </c>
    </row>
    <row r="252" spans="1:20" x14ac:dyDescent="0.25">
      <c r="A252" s="1">
        <v>250</v>
      </c>
      <c r="B252" t="s">
        <v>655</v>
      </c>
      <c r="F252">
        <v>1.4582497457774769E-2</v>
      </c>
      <c r="G252">
        <v>0.441977080558763</v>
      </c>
      <c r="H252">
        <v>1.292004114811119</v>
      </c>
      <c r="I252">
        <v>-31.19652908282902</v>
      </c>
      <c r="K252" t="s">
        <v>656</v>
      </c>
      <c r="L252" t="s">
        <v>657</v>
      </c>
      <c r="N252" t="s">
        <v>601</v>
      </c>
      <c r="P252" t="s">
        <v>80</v>
      </c>
      <c r="R252" t="s">
        <v>82</v>
      </c>
      <c r="S252" t="s">
        <v>83</v>
      </c>
      <c r="T252">
        <v>3739</v>
      </c>
    </row>
    <row r="253" spans="1:20" x14ac:dyDescent="0.25">
      <c r="A253" s="1">
        <v>251</v>
      </c>
      <c r="B253" t="s">
        <v>658</v>
      </c>
      <c r="F253">
        <v>2.0253644469922751E-2</v>
      </c>
      <c r="G253">
        <v>0.47534147739465821</v>
      </c>
      <c r="H253">
        <v>1.979126867089841</v>
      </c>
      <c r="I253">
        <v>-32.43621591258804</v>
      </c>
      <c r="K253" t="s">
        <v>659</v>
      </c>
      <c r="L253" t="s">
        <v>660</v>
      </c>
      <c r="N253" t="s">
        <v>601</v>
      </c>
      <c r="P253" t="s">
        <v>21</v>
      </c>
      <c r="R253" t="s">
        <v>661</v>
      </c>
      <c r="S253" t="s">
        <v>157</v>
      </c>
      <c r="T253">
        <v>3737</v>
      </c>
    </row>
    <row r="254" spans="1:20" x14ac:dyDescent="0.25">
      <c r="A254" s="1">
        <v>252</v>
      </c>
      <c r="B254" t="s">
        <v>662</v>
      </c>
      <c r="F254">
        <v>2.259059031794353E-2</v>
      </c>
      <c r="G254">
        <v>0.34272633863485602</v>
      </c>
      <c r="H254">
        <v>1.6610483650404519</v>
      </c>
      <c r="I254">
        <v>-32.985332065682442</v>
      </c>
      <c r="K254" t="s">
        <v>663</v>
      </c>
      <c r="L254" t="s">
        <v>664</v>
      </c>
      <c r="N254" t="s">
        <v>601</v>
      </c>
      <c r="P254" t="s">
        <v>28</v>
      </c>
      <c r="R254" t="s">
        <v>665</v>
      </c>
      <c r="S254" t="s">
        <v>666</v>
      </c>
      <c r="T254">
        <v>3743</v>
      </c>
    </row>
    <row r="255" spans="1:20" x14ac:dyDescent="0.25">
      <c r="A255" s="1">
        <v>253</v>
      </c>
      <c r="B255" t="s">
        <v>667</v>
      </c>
      <c r="F255">
        <v>1.9262205601564351E-2</v>
      </c>
      <c r="G255">
        <v>0.44919863074557509</v>
      </c>
      <c r="H255">
        <v>0.6397779045110622</v>
      </c>
      <c r="I255">
        <v>-32.187951328875741</v>
      </c>
      <c r="K255" t="s">
        <v>668</v>
      </c>
      <c r="L255" t="s">
        <v>669</v>
      </c>
      <c r="N255" t="s">
        <v>601</v>
      </c>
      <c r="P255" t="s">
        <v>51</v>
      </c>
      <c r="R255" t="s">
        <v>342</v>
      </c>
      <c r="S255" t="s">
        <v>157</v>
      </c>
      <c r="T255">
        <v>3741</v>
      </c>
    </row>
    <row r="256" spans="1:20" x14ac:dyDescent="0.25">
      <c r="A256" s="1">
        <v>254</v>
      </c>
      <c r="B256" t="s">
        <v>670</v>
      </c>
      <c r="F256">
        <v>2.3149746352557201E-2</v>
      </c>
      <c r="G256">
        <v>0.47194105145221699</v>
      </c>
      <c r="H256">
        <v>1.604553935361021</v>
      </c>
      <c r="I256">
        <v>-31.770216068538339</v>
      </c>
      <c r="K256" t="s">
        <v>671</v>
      </c>
      <c r="L256" t="s">
        <v>672</v>
      </c>
      <c r="N256" t="s">
        <v>601</v>
      </c>
      <c r="P256" t="s">
        <v>51</v>
      </c>
      <c r="R256" t="s">
        <v>342</v>
      </c>
      <c r="S256" t="s">
        <v>31</v>
      </c>
      <c r="T256">
        <v>3740</v>
      </c>
    </row>
    <row r="257" spans="1:20" x14ac:dyDescent="0.25">
      <c r="A257" s="1">
        <v>255</v>
      </c>
      <c r="B257" t="s">
        <v>673</v>
      </c>
      <c r="F257">
        <v>2.307042583286743E-2</v>
      </c>
      <c r="G257">
        <v>0.44294972547219857</v>
      </c>
      <c r="H257">
        <v>1.3378281040386311</v>
      </c>
      <c r="I257">
        <v>-31.651446878234069</v>
      </c>
      <c r="K257" t="s">
        <v>674</v>
      </c>
      <c r="L257" t="s">
        <v>675</v>
      </c>
      <c r="N257" t="s">
        <v>638</v>
      </c>
      <c r="P257" t="s">
        <v>101</v>
      </c>
      <c r="R257" t="s">
        <v>676</v>
      </c>
      <c r="S257" t="s">
        <v>677</v>
      </c>
      <c r="T257">
        <v>3781</v>
      </c>
    </row>
    <row r="258" spans="1:20" x14ac:dyDescent="0.25">
      <c r="A258" s="1">
        <v>256</v>
      </c>
      <c r="B258" t="s">
        <v>678</v>
      </c>
      <c r="F258">
        <v>1.8569913246305629E-2</v>
      </c>
      <c r="G258">
        <v>0.44323935946144732</v>
      </c>
      <c r="H258">
        <v>2.7856407010268911</v>
      </c>
      <c r="I258">
        <v>-33.422096834498788</v>
      </c>
      <c r="K258" t="s">
        <v>679</v>
      </c>
      <c r="L258" t="s">
        <v>680</v>
      </c>
      <c r="N258" t="s">
        <v>638</v>
      </c>
      <c r="P258" t="s">
        <v>681</v>
      </c>
      <c r="R258" t="s">
        <v>682</v>
      </c>
      <c r="S258" t="s">
        <v>683</v>
      </c>
      <c r="T258">
        <v>3779</v>
      </c>
    </row>
    <row r="259" spans="1:20" x14ac:dyDescent="0.25">
      <c r="A259" s="1">
        <v>257</v>
      </c>
      <c r="B259" t="s">
        <v>684</v>
      </c>
      <c r="F259">
        <v>1.832231558427061E-2</v>
      </c>
      <c r="G259">
        <v>0.50376166221911134</v>
      </c>
      <c r="H259">
        <v>-0.74945043003983525</v>
      </c>
      <c r="I259">
        <v>-35.438029188589553</v>
      </c>
      <c r="K259" t="s">
        <v>685</v>
      </c>
      <c r="L259" t="s">
        <v>686</v>
      </c>
      <c r="N259" t="s">
        <v>596</v>
      </c>
      <c r="P259" t="s">
        <v>63</v>
      </c>
      <c r="R259" t="s">
        <v>64</v>
      </c>
      <c r="S259" t="s">
        <v>157</v>
      </c>
      <c r="T259">
        <v>3631</v>
      </c>
    </row>
    <row r="260" spans="1:20" x14ac:dyDescent="0.25">
      <c r="A260" s="1">
        <v>258</v>
      </c>
      <c r="B260" t="s">
        <v>687</v>
      </c>
      <c r="F260">
        <v>2.719822449697577E-2</v>
      </c>
      <c r="G260">
        <v>0.51532704291153197</v>
      </c>
      <c r="H260">
        <v>-2.033214492819281</v>
      </c>
      <c r="I260">
        <v>-34.477943811062033</v>
      </c>
      <c r="K260" t="s">
        <v>688</v>
      </c>
      <c r="L260" t="s">
        <v>689</v>
      </c>
      <c r="N260" t="s">
        <v>596</v>
      </c>
      <c r="P260" t="s">
        <v>63</v>
      </c>
      <c r="R260" t="s">
        <v>64</v>
      </c>
      <c r="S260" t="s">
        <v>157</v>
      </c>
      <c r="T260">
        <v>3630</v>
      </c>
    </row>
    <row r="261" spans="1:20" x14ac:dyDescent="0.25">
      <c r="A261" s="1">
        <v>259</v>
      </c>
      <c r="B261" t="s">
        <v>690</v>
      </c>
      <c r="F261">
        <v>2.0093117416447731E-2</v>
      </c>
      <c r="G261">
        <v>0.49652810171115219</v>
      </c>
      <c r="H261">
        <v>-3.5356105845166002</v>
      </c>
      <c r="I261">
        <v>-34.719439889873662</v>
      </c>
      <c r="K261" t="s">
        <v>691</v>
      </c>
      <c r="L261" t="s">
        <v>692</v>
      </c>
      <c r="N261" t="s">
        <v>693</v>
      </c>
      <c r="P261" t="s">
        <v>63</v>
      </c>
      <c r="R261" t="s">
        <v>64</v>
      </c>
      <c r="S261" t="s">
        <v>694</v>
      </c>
      <c r="T261">
        <v>3576</v>
      </c>
    </row>
    <row r="262" spans="1:20" x14ac:dyDescent="0.25">
      <c r="A262" s="1">
        <v>260</v>
      </c>
      <c r="B262" t="s">
        <v>695</v>
      </c>
      <c r="F262">
        <v>1.7634559397045339E-2</v>
      </c>
      <c r="G262">
        <v>0.48186185972772783</v>
      </c>
      <c r="H262">
        <v>-1.6390142634793079</v>
      </c>
      <c r="I262">
        <v>-32.440014672936037</v>
      </c>
      <c r="K262" t="s">
        <v>696</v>
      </c>
      <c r="L262" t="s">
        <v>697</v>
      </c>
      <c r="N262" t="s">
        <v>693</v>
      </c>
      <c r="P262" t="s">
        <v>63</v>
      </c>
      <c r="R262" t="s">
        <v>64</v>
      </c>
      <c r="S262" t="s">
        <v>157</v>
      </c>
      <c r="T262">
        <v>3577</v>
      </c>
    </row>
    <row r="263" spans="1:20" x14ac:dyDescent="0.25">
      <c r="A263" s="1">
        <v>261</v>
      </c>
      <c r="B263" t="s">
        <v>698</v>
      </c>
      <c r="F263">
        <v>1.500499392745421E-2</v>
      </c>
      <c r="G263">
        <v>0.45398467548205768</v>
      </c>
      <c r="H263">
        <v>-0.30110554315070698</v>
      </c>
      <c r="I263">
        <v>-28.041071711291242</v>
      </c>
      <c r="K263" t="s">
        <v>699</v>
      </c>
      <c r="L263" t="s">
        <v>700</v>
      </c>
      <c r="N263" t="s">
        <v>693</v>
      </c>
      <c r="P263" t="s">
        <v>701</v>
      </c>
      <c r="R263" t="s">
        <v>702</v>
      </c>
      <c r="S263" t="s">
        <v>255</v>
      </c>
      <c r="T263">
        <v>3590</v>
      </c>
    </row>
    <row r="264" spans="1:20" x14ac:dyDescent="0.25">
      <c r="A264" s="1">
        <v>262</v>
      </c>
      <c r="B264" t="s">
        <v>703</v>
      </c>
      <c r="F264">
        <v>1.473900370616889E-2</v>
      </c>
      <c r="G264">
        <v>0.48304239098961488</v>
      </c>
      <c r="H264">
        <v>-1.7129278651695301</v>
      </c>
      <c r="I264">
        <v>-33.54389309408861</v>
      </c>
      <c r="K264" t="s">
        <v>704</v>
      </c>
      <c r="L264" t="s">
        <v>705</v>
      </c>
      <c r="N264" t="s">
        <v>693</v>
      </c>
      <c r="P264" t="s">
        <v>28</v>
      </c>
      <c r="R264" t="s">
        <v>280</v>
      </c>
      <c r="S264" t="s">
        <v>281</v>
      </c>
      <c r="T264">
        <v>3583</v>
      </c>
    </row>
    <row r="265" spans="1:20" x14ac:dyDescent="0.25">
      <c r="A265" s="1">
        <v>263</v>
      </c>
      <c r="B265" t="s">
        <v>706</v>
      </c>
      <c r="F265">
        <v>1.5158463337032701E-2</v>
      </c>
      <c r="G265">
        <v>0.49555165247523902</v>
      </c>
      <c r="H265">
        <v>-4.0550709466851087</v>
      </c>
      <c r="I265">
        <v>-30.58235391690269</v>
      </c>
      <c r="K265" t="s">
        <v>707</v>
      </c>
      <c r="L265" t="s">
        <v>708</v>
      </c>
      <c r="N265" t="s">
        <v>693</v>
      </c>
      <c r="P265" t="s">
        <v>72</v>
      </c>
      <c r="R265" t="s">
        <v>157</v>
      </c>
      <c r="S265" t="s">
        <v>157</v>
      </c>
      <c r="T265">
        <v>3586</v>
      </c>
    </row>
    <row r="266" spans="1:20" x14ac:dyDescent="0.25">
      <c r="A266" s="1">
        <v>264</v>
      </c>
      <c r="B266" t="s">
        <v>709</v>
      </c>
      <c r="F266">
        <v>2.6457712597293272E-2</v>
      </c>
      <c r="G266">
        <v>0.48891207694711358</v>
      </c>
      <c r="H266">
        <v>0.1069556132540749</v>
      </c>
      <c r="I266">
        <v>-30.917008189532119</v>
      </c>
      <c r="K266" t="s">
        <v>710</v>
      </c>
      <c r="L266" t="s">
        <v>711</v>
      </c>
      <c r="N266" t="s">
        <v>693</v>
      </c>
      <c r="P266" t="s">
        <v>72</v>
      </c>
      <c r="R266" t="s">
        <v>98</v>
      </c>
      <c r="S266" t="s">
        <v>157</v>
      </c>
      <c r="T266">
        <v>3575</v>
      </c>
    </row>
    <row r="267" spans="1:20" x14ac:dyDescent="0.25">
      <c r="A267" s="1">
        <v>265</v>
      </c>
      <c r="B267" t="s">
        <v>712</v>
      </c>
      <c r="F267">
        <v>1.754321032662394E-2</v>
      </c>
      <c r="G267">
        <v>0.42461584863915652</v>
      </c>
      <c r="H267">
        <v>-4.231388823155589</v>
      </c>
      <c r="I267">
        <v>-32.181315931925447</v>
      </c>
      <c r="K267" t="s">
        <v>713</v>
      </c>
      <c r="L267" t="s">
        <v>714</v>
      </c>
      <c r="N267" t="s">
        <v>596</v>
      </c>
      <c r="P267" t="s">
        <v>41</v>
      </c>
      <c r="R267" t="s">
        <v>43</v>
      </c>
      <c r="S267" t="s">
        <v>44</v>
      </c>
      <c r="T267">
        <v>3626</v>
      </c>
    </row>
    <row r="268" spans="1:20" x14ac:dyDescent="0.25">
      <c r="A268" s="1">
        <v>266</v>
      </c>
      <c r="B268" t="s">
        <v>715</v>
      </c>
      <c r="F268">
        <v>2.1197077515391839E-2</v>
      </c>
      <c r="G268">
        <v>0.42995402007922229</v>
      </c>
      <c r="H268">
        <v>1.020282579090092</v>
      </c>
      <c r="I268">
        <v>-33.450442729469202</v>
      </c>
      <c r="K268" t="s">
        <v>716</v>
      </c>
      <c r="L268" t="s">
        <v>300</v>
      </c>
      <c r="N268" t="s">
        <v>601</v>
      </c>
      <c r="P268" t="s">
        <v>28</v>
      </c>
      <c r="R268" t="s">
        <v>302</v>
      </c>
      <c r="S268" t="s">
        <v>303</v>
      </c>
      <c r="T268">
        <v>3742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selene.baez</cp:lastModifiedBy>
  <dcterms:created xsi:type="dcterms:W3CDTF">2026-09-30T20:15:21Z</dcterms:created>
  <dcterms:modified xsi:type="dcterms:W3CDTF">2026-09-30T20:17:05Z</dcterms:modified>
</cp:coreProperties>
</file>
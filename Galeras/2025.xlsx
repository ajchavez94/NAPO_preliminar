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83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Ci</t>
        </is>
      </c>
      <c r="C1" s="1" t="inlineStr">
        <is>
          <t>Ci/Ca</t>
        </is>
      </c>
      <c r="D1" s="1" t="inlineStr">
        <is>
          <t>Plot_x</t>
        </is>
      </c>
      <c r="E1" s="1" t="inlineStr">
        <is>
          <t>Plot_</t>
        </is>
      </c>
      <c r="F1" s="1" t="inlineStr">
        <is>
          <t>Sample ID</t>
        </is>
      </c>
      <c r="G1" s="1" t="inlineStr">
        <is>
          <t>TreeID</t>
        </is>
      </c>
      <c r="H1" s="1" t="inlineStr">
        <is>
          <t>Type</t>
        </is>
      </c>
      <c r="I1" s="1" t="inlineStr">
        <is>
          <t>Type 2</t>
        </is>
      </c>
      <c r="J1" s="1" t="inlineStr">
        <is>
          <t>Year</t>
        </is>
      </c>
      <c r="K1" s="1" t="inlineStr">
        <is>
          <t>[C]%</t>
        </is>
      </c>
      <c r="L1" s="1" t="inlineStr">
        <is>
          <t>[C_b]%</t>
        </is>
      </c>
      <c r="M1" s="1" t="inlineStr">
        <is>
          <t>[N]</t>
        </is>
      </c>
      <c r="N1" s="1" t="inlineStr">
        <is>
          <t>bulk_δ13C (‰ v.s.V-PDB)</t>
        </is>
      </c>
      <c r="O1" s="1" t="inlineStr">
        <is>
          <t>description</t>
        </is>
      </c>
      <c r="P1" s="1" t="inlineStr">
        <is>
          <t>iWUE (μmol/mol)</t>
        </is>
      </c>
      <c r="Q1" s="1" t="inlineStr">
        <is>
          <t>new_TreeID</t>
        </is>
      </c>
      <c r="R1" s="1" t="inlineStr">
        <is>
          <t>numeroCampo</t>
        </is>
      </c>
      <c r="S1" s="1" t="inlineStr">
        <is>
          <t>old_treeID</t>
        </is>
      </c>
      <c r="T1" s="1" t="inlineStr">
        <is>
          <t>sample-ID</t>
        </is>
      </c>
      <c r="U1" s="1" t="inlineStr">
        <is>
          <t>δ13C (‰ v.s.V-PDB)</t>
        </is>
      </c>
      <c r="V1" s="1" t="inlineStr">
        <is>
          <t>δ15N (‰ v.s. V-PDB)</t>
        </is>
      </c>
      <c r="W1" s="1" t="inlineStr">
        <is>
          <t>△13C_cell</t>
        </is>
      </c>
      <c r="X1" s="1" t="inlineStr">
        <is>
          <t>Site</t>
        </is>
      </c>
      <c r="Y1" s="1" t="inlineStr">
        <is>
          <t>Elevation</t>
        </is>
      </c>
      <c r="Z1" s="1" t="inlineStr">
        <is>
          <t>Plot_y</t>
        </is>
      </c>
      <c r="AA1" s="1" t="inlineStr">
        <is>
          <t>site</t>
        </is>
      </c>
      <c r="AB1" s="1" t="inlineStr">
        <is>
          <t>PlotID</t>
        </is>
      </c>
      <c r="AC1" s="1" t="inlineStr">
        <is>
          <t>treeID</t>
        </is>
      </c>
      <c r="AD1" s="1" t="inlineStr">
        <is>
          <t>Individual tree census 1</t>
        </is>
      </c>
      <c r="AE1" s="1" t="inlineStr">
        <is>
          <t>Individual tree census 2</t>
        </is>
      </c>
      <c r="AF1" s="1" t="inlineStr">
        <is>
          <t>new census 2</t>
        </is>
      </c>
      <c r="AG1" s="1" t="inlineStr">
        <is>
          <t>dead census 2</t>
        </is>
      </c>
      <c r="AH1" s="1" t="inlineStr">
        <is>
          <t>family</t>
        </is>
      </c>
      <c r="AI1" s="1" t="inlineStr">
        <is>
          <t>genus</t>
        </is>
      </c>
      <c r="AJ1" s="1" t="inlineStr">
        <is>
          <t>species</t>
        </is>
      </c>
      <c r="AK1" s="1" t="inlineStr">
        <is>
          <t>date census 1</t>
        </is>
      </c>
      <c r="AL1" s="1" t="inlineStr">
        <is>
          <t>dbh 1</t>
        </is>
      </c>
      <c r="AM1" s="1" t="inlineStr">
        <is>
          <t>date census 2</t>
        </is>
      </c>
      <c r="AN1" s="1" t="inlineStr">
        <is>
          <t>dbh 2</t>
        </is>
      </c>
      <c r="AO1" s="1" t="inlineStr">
        <is>
          <t>tree height 2011 (m)</t>
        </is>
      </c>
      <c r="AP1" s="1" t="inlineStr">
        <is>
          <t>comment</t>
        </is>
      </c>
      <c r="AQ1" s="1" t="inlineStr">
        <is>
          <t>JH herbarium collections</t>
        </is>
      </c>
      <c r="AR1" s="1" t="inlineStr">
        <is>
          <t>leaf sample tree</t>
        </is>
      </c>
      <c r="AS1" s="1" t="inlineStr">
        <is>
          <t>Select_2024</t>
        </is>
      </c>
      <c r="AT1" s="1" t="inlineStr">
        <is>
          <t>Collected_2024</t>
        </is>
      </c>
      <c r="AU1" s="1" t="inlineStr">
        <is>
          <t>new ID 2024</t>
        </is>
      </c>
      <c r="AV1" s="1" t="inlineStr">
        <is>
          <t>ind (1) branch (0)</t>
        </is>
      </c>
      <c r="AW1" s="1" t="inlineStr">
        <is>
          <t>dead 2011</t>
        </is>
      </c>
      <c r="AX1" s="1" t="inlineStr">
        <is>
          <t>dead 2024</t>
        </is>
      </c>
      <c r="AY1" s="1" t="inlineStr">
        <is>
          <t>date census 3</t>
        </is>
      </c>
      <c r="AZ1" s="1" t="inlineStr">
        <is>
          <t>dbh 2024</t>
        </is>
      </c>
      <c r="BA1" s="1" t="inlineStr">
        <is>
          <t>height (m) 2024</t>
        </is>
      </c>
      <c r="BB1" s="1" t="inlineStr">
        <is>
          <t>leaf sample tree 3</t>
        </is>
      </c>
      <c r="BC1" s="1" t="inlineStr">
        <is>
          <t>new entry 2024</t>
        </is>
      </c>
      <c r="BD1" s="1" t="inlineStr">
        <is>
          <t>X/Y</t>
        </is>
      </c>
      <c r="BE1" s="1" t="inlineStr">
        <is>
          <t>Cambio sp</t>
        </is>
      </c>
      <c r="BF1" s="1" t="inlineStr">
        <is>
          <t>JH herbarium collections 2024</t>
        </is>
      </c>
      <c r="BG1" s="1" t="inlineStr">
        <is>
          <t>Nº duplicados/ muestras 2025</t>
        </is>
      </c>
      <c r="BH1" s="1" t="inlineStr">
        <is>
          <t>comment 2024</t>
        </is>
      </c>
      <c r="BI1" s="1" t="inlineStr">
        <is>
          <t>comment taxo 2024</t>
        </is>
      </c>
      <c r="BJ1" s="1" t="inlineStr">
        <is>
          <t>crust thickness</t>
        </is>
      </c>
      <c r="BK1" s="1" t="inlineStr">
        <is>
          <t>wet lenght cm</t>
        </is>
      </c>
      <c r="BL1" s="1" t="inlineStr">
        <is>
          <t>wet wood weight</t>
        </is>
      </c>
      <c r="BM1" s="1" t="inlineStr">
        <is>
          <t>dry wood weight</t>
        </is>
      </c>
    </row>
    <row r="2">
      <c r="A2" s="1" t="n">
        <v>0</v>
      </c>
      <c r="B2" t="n">
        <v>357.6071789837029</v>
      </c>
      <c r="C2" t="n">
        <v>0.8451788044760886</v>
      </c>
      <c r="D2" t="n">
        <v>28</v>
      </c>
      <c r="E2" t="inlineStr"/>
      <c r="F2" t="inlineStr">
        <is>
          <t>p28-8715</t>
        </is>
      </c>
      <c r="G2" t="inlineStr">
        <is>
          <t>8715</t>
        </is>
      </c>
      <c r="H2" t="inlineStr">
        <is>
          <t>leaf pulverized</t>
        </is>
      </c>
      <c r="I2" t="inlineStr"/>
      <c r="J2" t="n">
        <v>2025</v>
      </c>
      <c r="K2" t="n">
        <v>41.1444369347698</v>
      </c>
      <c r="L2" t="n">
        <v>0.478611059</v>
      </c>
      <c r="M2" t="n">
        <v>0.015008298</v>
      </c>
      <c r="N2" t="n">
        <v>-32.71591049840934</v>
      </c>
      <c r="O2" t="inlineStr"/>
      <c r="P2" t="n">
        <v>40.94190682268568</v>
      </c>
      <c r="Q2" t="n">
        <v>8715</v>
      </c>
      <c r="R2" t="inlineStr"/>
      <c r="S2" t="inlineStr"/>
      <c r="T2" t="inlineStr">
        <is>
          <t>p28-8715</t>
        </is>
      </c>
      <c r="U2" t="n">
        <v>-30.2891308227147</v>
      </c>
      <c r="V2" t="n">
        <v>-1.398878787878791</v>
      </c>
      <c r="W2" t="n">
        <v>22.36659556174309</v>
      </c>
      <c r="X2" t="inlineStr">
        <is>
          <t>Galeras</t>
        </is>
      </c>
      <c r="Y2" t="n">
        <v>2000</v>
      </c>
      <c r="Z2" t="n">
        <v>28</v>
      </c>
      <c r="AA2" t="inlineStr">
        <is>
          <t>Galeras</t>
        </is>
      </c>
      <c r="AB2" t="inlineStr">
        <is>
          <t>GAL_28</t>
        </is>
      </c>
      <c r="AC2" t="inlineStr"/>
      <c r="AD2" t="inlineStr"/>
      <c r="AE2" t="inlineStr"/>
      <c r="AF2" t="inlineStr"/>
      <c r="AG2" t="inlineStr"/>
      <c r="AH2" t="inlineStr">
        <is>
          <t>Rubiaceae</t>
        </is>
      </c>
      <c r="AI2" t="inlineStr">
        <is>
          <t>Rubi28</t>
        </is>
      </c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n">
        <v>8715</v>
      </c>
      <c r="AV2" t="n">
        <v>1</v>
      </c>
      <c r="AW2" t="inlineStr"/>
      <c r="AX2" t="inlineStr"/>
      <c r="AY2" s="2" t="n">
        <v>45538</v>
      </c>
      <c r="AZ2" t="n">
        <v>16.65</v>
      </c>
      <c r="BA2" t="n">
        <v>13</v>
      </c>
      <c r="BB2" t="inlineStr"/>
      <c r="BC2" t="n">
        <v>1</v>
      </c>
      <c r="BD2" t="inlineStr">
        <is>
          <t>B</t>
        </is>
      </c>
      <c r="BE2" t="inlineStr"/>
      <c r="BF2" t="inlineStr">
        <is>
          <t>JH6776</t>
        </is>
      </c>
      <c r="BG2" t="inlineStr"/>
      <c r="BH2" t="inlineStr"/>
      <c r="BI2" t="inlineStr"/>
      <c r="BJ2" t="inlineStr"/>
      <c r="BK2" t="inlineStr"/>
      <c r="BL2" t="inlineStr"/>
      <c r="BM2" t="inlineStr"/>
    </row>
    <row r="3">
      <c r="A3" s="1" t="n">
        <v>1</v>
      </c>
      <c r="B3" t="n">
        <v>335.0416515095793</v>
      </c>
      <c r="C3" t="n">
        <v>0.7918468059766365</v>
      </c>
      <c r="D3" t="n">
        <v>28</v>
      </c>
      <c r="E3" t="inlineStr"/>
      <c r="F3" t="inlineStr">
        <is>
          <t>p28-8726</t>
        </is>
      </c>
      <c r="G3" t="inlineStr">
        <is>
          <t>8726</t>
        </is>
      </c>
      <c r="H3" t="inlineStr">
        <is>
          <t>leaf pulverized</t>
        </is>
      </c>
      <c r="I3" t="inlineStr"/>
      <c r="J3" t="n">
        <v>2025</v>
      </c>
      <c r="K3" t="n">
        <v>43.9438583086035</v>
      </c>
      <c r="L3" t="n">
        <v>0.45821732</v>
      </c>
      <c r="M3" t="n">
        <v>0.012930682</v>
      </c>
      <c r="N3" t="n">
        <v>-31.40620784729586</v>
      </c>
      <c r="O3" t="inlineStr"/>
      <c r="P3" t="n">
        <v>55.04536149401297</v>
      </c>
      <c r="Q3" t="n">
        <v>8726</v>
      </c>
      <c r="R3" t="inlineStr"/>
      <c r="S3" t="inlineStr"/>
      <c r="T3" t="inlineStr">
        <is>
          <t>p28-8726</t>
        </is>
      </c>
      <c r="U3" t="n">
        <v>-29.1445559259646</v>
      </c>
      <c r="V3" t="n">
        <v>-0.8156515151515178</v>
      </c>
      <c r="W3" t="n">
        <v>21.16129239565547</v>
      </c>
      <c r="X3" t="inlineStr">
        <is>
          <t>Galeras</t>
        </is>
      </c>
      <c r="Y3" t="n">
        <v>2000</v>
      </c>
      <c r="Z3" t="n">
        <v>28</v>
      </c>
      <c r="AA3" t="inlineStr">
        <is>
          <t>Galeras</t>
        </is>
      </c>
      <c r="AB3" t="inlineStr">
        <is>
          <t>GAL_28</t>
        </is>
      </c>
      <c r="AC3" t="n">
        <v>739</v>
      </c>
      <c r="AD3" t="n">
        <v>1</v>
      </c>
      <c r="AE3" t="inlineStr"/>
      <c r="AF3" t="inlineStr"/>
      <c r="AG3" t="inlineStr"/>
      <c r="AH3" t="inlineStr">
        <is>
          <t>Rubiaceae</t>
        </is>
      </c>
      <c r="AI3" t="inlineStr">
        <is>
          <t>Elaeagia</t>
        </is>
      </c>
      <c r="AJ3" t="inlineStr">
        <is>
          <t>mariae</t>
        </is>
      </c>
      <c r="AK3" s="2" t="n">
        <v>38821</v>
      </c>
      <c r="AL3" t="n">
        <v>20.05352282957881</v>
      </c>
      <c r="AM3" t="inlineStr"/>
      <c r="AN3" t="inlineStr"/>
      <c r="AO3" t="inlineStr"/>
      <c r="AP3" t="inlineStr"/>
      <c r="AQ3" t="inlineStr">
        <is>
          <t>3581</t>
        </is>
      </c>
      <c r="AR3" t="inlineStr"/>
      <c r="AS3" t="inlineStr">
        <is>
          <t>Ο</t>
        </is>
      </c>
      <c r="AT3" t="inlineStr">
        <is>
          <t>Ø</t>
        </is>
      </c>
      <c r="AU3" t="n">
        <v>8726</v>
      </c>
      <c r="AV3" t="n">
        <v>1</v>
      </c>
      <c r="AW3" t="inlineStr"/>
      <c r="AX3" t="inlineStr"/>
      <c r="AY3" s="2" t="n">
        <v>45538</v>
      </c>
      <c r="AZ3" t="n">
        <v>23.3</v>
      </c>
      <c r="BA3" t="n">
        <v>16</v>
      </c>
      <c r="BB3" t="inlineStr"/>
      <c r="BC3" t="inlineStr"/>
      <c r="BD3" t="inlineStr">
        <is>
          <t>D</t>
        </is>
      </c>
      <c r="BE3" t="inlineStr"/>
      <c r="BF3" t="inlineStr"/>
      <c r="BG3" t="inlineStr"/>
      <c r="BH3" t="inlineStr"/>
      <c r="BI3" t="inlineStr"/>
      <c r="BJ3" t="n">
        <v>0.9</v>
      </c>
      <c r="BK3" t="inlineStr">
        <is>
          <t>1.9-2.7</t>
        </is>
      </c>
      <c r="BL3" t="n">
        <v>1.13</v>
      </c>
      <c r="BM3" t="n">
        <v>0.53</v>
      </c>
    </row>
    <row r="4">
      <c r="A4" s="1" t="n">
        <v>2</v>
      </c>
      <c r="B4" t="n">
        <v>360.6844808990751</v>
      </c>
      <c r="C4" t="n">
        <v>0.8524517858553712</v>
      </c>
      <c r="D4" t="n">
        <v>28</v>
      </c>
      <c r="E4" t="inlineStr"/>
      <c r="F4" t="inlineStr">
        <is>
          <t>p28-8735</t>
        </is>
      </c>
      <c r="G4" t="inlineStr">
        <is>
          <t>8735</t>
        </is>
      </c>
      <c r="H4" t="inlineStr">
        <is>
          <t>leaf pulverized</t>
        </is>
      </c>
      <c r="I4" t="inlineStr"/>
      <c r="J4" t="n">
        <v>2025</v>
      </c>
      <c r="K4" t="n">
        <v>43.0530253219559</v>
      </c>
      <c r="L4" t="n">
        <v>0.444235226</v>
      </c>
      <c r="M4" t="n">
        <v>0.022495804</v>
      </c>
      <c r="N4" t="n">
        <v>-32.54059597030753</v>
      </c>
      <c r="O4" t="inlineStr"/>
      <c r="P4" t="n">
        <v>39.01859312557807</v>
      </c>
      <c r="Q4" t="n">
        <v>8735</v>
      </c>
      <c r="R4" t="inlineStr"/>
      <c r="S4" t="inlineStr"/>
      <c r="T4" t="inlineStr">
        <is>
          <t>p28-8735</t>
        </is>
      </c>
      <c r="U4" t="n">
        <v>-30.4450094992612</v>
      </c>
      <c r="V4" t="n">
        <v>-0.6968459595959623</v>
      </c>
      <c r="W4" t="n">
        <v>22.53096494091488</v>
      </c>
      <c r="X4" t="inlineStr">
        <is>
          <t>Galeras</t>
        </is>
      </c>
      <c r="Y4" t="n">
        <v>2000</v>
      </c>
      <c r="Z4" t="n">
        <v>28</v>
      </c>
      <c r="AA4" t="inlineStr">
        <is>
          <t>Galeras</t>
        </is>
      </c>
      <c r="AB4" t="inlineStr">
        <is>
          <t>GAL_28</t>
        </is>
      </c>
      <c r="AC4" t="n">
        <v>719</v>
      </c>
      <c r="AD4" t="n">
        <v>1</v>
      </c>
      <c r="AE4" t="inlineStr"/>
      <c r="AF4" t="inlineStr"/>
      <c r="AG4" t="inlineStr"/>
      <c r="AH4" t="inlineStr">
        <is>
          <t>Fabaceae</t>
        </is>
      </c>
      <c r="AI4" t="inlineStr">
        <is>
          <t>Diplotropis</t>
        </is>
      </c>
      <c r="AJ4" t="inlineStr">
        <is>
          <t>aff purpurea</t>
        </is>
      </c>
      <c r="AK4" s="2" t="n">
        <v>38821</v>
      </c>
      <c r="AL4" t="n">
        <v>12.09577567498405</v>
      </c>
      <c r="AM4" t="inlineStr"/>
      <c r="AN4" t="inlineStr"/>
      <c r="AO4" t="inlineStr"/>
      <c r="AP4" t="inlineStr"/>
      <c r="AQ4" t="inlineStr">
        <is>
          <t>3579,2295</t>
        </is>
      </c>
      <c r="AR4" t="inlineStr"/>
      <c r="AS4" t="inlineStr">
        <is>
          <t>Ο</t>
        </is>
      </c>
      <c r="AT4" t="inlineStr">
        <is>
          <t>Ø</t>
        </is>
      </c>
      <c r="AU4" t="n">
        <v>8735</v>
      </c>
      <c r="AV4" t="n">
        <v>1</v>
      </c>
      <c r="AW4" t="inlineStr"/>
      <c r="AX4" t="inlineStr"/>
      <c r="AY4" s="2" t="n">
        <v>45538</v>
      </c>
      <c r="AZ4" t="n">
        <v>13</v>
      </c>
      <c r="BA4" t="n">
        <v>8</v>
      </c>
      <c r="BB4" t="inlineStr"/>
      <c r="BC4" t="inlineStr"/>
      <c r="BD4" t="inlineStr">
        <is>
          <t>D</t>
        </is>
      </c>
      <c r="BE4" t="inlineStr"/>
      <c r="BF4" t="inlineStr"/>
      <c r="BG4" t="inlineStr"/>
      <c r="BH4" t="inlineStr"/>
      <c r="BI4" t="inlineStr"/>
      <c r="BJ4" t="n">
        <v>1.1</v>
      </c>
      <c r="BK4" t="n">
        <v>4.6</v>
      </c>
      <c r="BL4" t="n">
        <v>1.25</v>
      </c>
      <c r="BM4" t="n">
        <v>0.73</v>
      </c>
    </row>
    <row r="5">
      <c r="A5" s="1" t="n">
        <v>3</v>
      </c>
      <c r="B5" t="n">
        <v>358.6862519104998</v>
      </c>
      <c r="C5" t="n">
        <v>0.8477291155990492</v>
      </c>
      <c r="D5" t="n">
        <v>28</v>
      </c>
      <c r="E5" t="inlineStr"/>
      <c r="F5" t="inlineStr">
        <is>
          <t>p28-8718</t>
        </is>
      </c>
      <c r="G5" t="inlineStr">
        <is>
          <t>8718</t>
        </is>
      </c>
      <c r="H5" t="inlineStr">
        <is>
          <t>leaf pulverized</t>
        </is>
      </c>
      <c r="I5" t="inlineStr"/>
      <c r="J5" t="n">
        <v>2025</v>
      </c>
      <c r="K5" t="n">
        <v>48.1950414439901</v>
      </c>
      <c r="L5" t="n">
        <v>0.498854583</v>
      </c>
      <c r="M5" t="n">
        <v>0.02316809</v>
      </c>
      <c r="N5" t="n">
        <v>-31.94246405090138</v>
      </c>
      <c r="O5" t="inlineStr"/>
      <c r="P5" t="n">
        <v>40.26748624343765</v>
      </c>
      <c r="Q5" t="n">
        <v>8718</v>
      </c>
      <c r="R5" t="inlineStr"/>
      <c r="S5" t="inlineStr"/>
      <c r="T5" t="inlineStr">
        <is>
          <t>p28-8718</t>
        </is>
      </c>
      <c r="U5" t="n">
        <v>-30.343796248292</v>
      </c>
      <c r="V5" t="n">
        <v>-0.437633838383841</v>
      </c>
      <c r="W5" t="n">
        <v>22.424232593122</v>
      </c>
      <c r="X5" t="inlineStr">
        <is>
          <t>Galeras</t>
        </is>
      </c>
      <c r="Y5" t="n">
        <v>2000</v>
      </c>
      <c r="Z5" t="n">
        <v>28</v>
      </c>
      <c r="AA5" t="inlineStr">
        <is>
          <t>Galeras</t>
        </is>
      </c>
      <c r="AB5" t="inlineStr">
        <is>
          <t>GAL_28</t>
        </is>
      </c>
      <c r="AC5" t="n">
        <v>746</v>
      </c>
      <c r="AD5" t="n">
        <v>1</v>
      </c>
      <c r="AE5" t="inlineStr"/>
      <c r="AF5" t="inlineStr"/>
      <c r="AG5" t="inlineStr"/>
      <c r="AH5" t="inlineStr">
        <is>
          <t>Myristicaceae</t>
        </is>
      </c>
      <c r="AI5" t="inlineStr">
        <is>
          <t>Virola</t>
        </is>
      </c>
      <c r="AJ5" t="inlineStr">
        <is>
          <t>obovata</t>
        </is>
      </c>
      <c r="AK5" s="2" t="n">
        <v>38821</v>
      </c>
      <c r="AL5" t="n">
        <v>15.27887453682195</v>
      </c>
      <c r="AM5" t="inlineStr"/>
      <c r="AN5" t="inlineStr"/>
      <c r="AO5" t="inlineStr"/>
      <c r="AP5" t="inlineStr"/>
      <c r="AQ5">
        <f>3578</f>
        <v/>
      </c>
      <c r="AR5" t="inlineStr"/>
      <c r="AS5" t="inlineStr"/>
      <c r="AT5" t="inlineStr"/>
      <c r="AU5" t="n">
        <v>8718</v>
      </c>
      <c r="AV5" t="n">
        <v>1</v>
      </c>
      <c r="AW5" t="inlineStr"/>
      <c r="AX5" t="inlineStr"/>
      <c r="AY5" s="2" t="n">
        <v>45538</v>
      </c>
      <c r="AZ5" t="n">
        <v>18.6</v>
      </c>
      <c r="BA5" t="n">
        <v>15.3</v>
      </c>
      <c r="BB5" t="inlineStr"/>
      <c r="BC5" t="inlineStr"/>
      <c r="BD5" t="inlineStr">
        <is>
          <t>B</t>
        </is>
      </c>
      <c r="BE5" t="inlineStr"/>
      <c r="BF5" t="inlineStr">
        <is>
          <t>JH6778</t>
        </is>
      </c>
      <c r="BG5" t="inlineStr"/>
      <c r="BH5" t="inlineStr"/>
      <c r="BI5" t="inlineStr"/>
      <c r="BJ5" t="inlineStr"/>
      <c r="BK5" t="inlineStr"/>
      <c r="BL5" t="inlineStr"/>
      <c r="BM5" t="inlineStr"/>
    </row>
    <row r="6">
      <c r="A6" s="1" t="n">
        <v>4</v>
      </c>
      <c r="B6" t="n">
        <v>334.233150648067</v>
      </c>
      <c r="C6" t="n">
        <v>0.7899359724371846</v>
      </c>
      <c r="D6" t="n">
        <v>28</v>
      </c>
      <c r="E6" t="inlineStr"/>
      <c r="F6" t="inlineStr">
        <is>
          <t>p28-8733</t>
        </is>
      </c>
      <c r="G6" t="inlineStr">
        <is>
          <t>8733</t>
        </is>
      </c>
      <c r="H6" t="inlineStr">
        <is>
          <t>leaf pulverized</t>
        </is>
      </c>
      <c r="I6" t="inlineStr"/>
      <c r="J6" t="n">
        <v>2025</v>
      </c>
      <c r="K6" t="n">
        <v>46.3938398732814</v>
      </c>
      <c r="L6" t="n">
        <v>0.503014387</v>
      </c>
      <c r="M6" t="n">
        <v>0.016560271</v>
      </c>
      <c r="N6" t="n">
        <v>-31.08651664899258</v>
      </c>
      <c r="O6" t="inlineStr"/>
      <c r="P6" t="n">
        <v>55.55067453245813</v>
      </c>
      <c r="Q6" t="n">
        <v>8733</v>
      </c>
      <c r="R6" t="inlineStr"/>
      <c r="S6" t="inlineStr"/>
      <c r="T6" t="inlineStr">
        <is>
          <t>p28-8733</t>
        </is>
      </c>
      <c r="U6" t="n">
        <v>-29.1034967823109</v>
      </c>
      <c r="V6" t="n">
        <v>-0.6212424242424268</v>
      </c>
      <c r="W6" t="n">
        <v>21.11810755766387</v>
      </c>
      <c r="X6" t="inlineStr">
        <is>
          <t>Galeras</t>
        </is>
      </c>
      <c r="Y6" t="n">
        <v>2000</v>
      </c>
      <c r="Z6" t="n">
        <v>28</v>
      </c>
      <c r="AA6" t="inlineStr">
        <is>
          <t>Galeras</t>
        </is>
      </c>
      <c r="AB6" t="inlineStr">
        <is>
          <t>GAL_28</t>
        </is>
      </c>
      <c r="AC6" t="n">
        <v>726</v>
      </c>
      <c r="AD6" t="n">
        <v>1</v>
      </c>
      <c r="AE6" t="inlineStr"/>
      <c r="AF6" t="inlineStr"/>
      <c r="AG6" t="inlineStr"/>
      <c r="AH6" t="inlineStr">
        <is>
          <t>Sapotaceae</t>
        </is>
      </c>
      <c r="AI6" t="inlineStr">
        <is>
          <t>Sapo28</t>
        </is>
      </c>
      <c r="AJ6" t="inlineStr"/>
      <c r="AK6" s="2" t="n">
        <v>38821</v>
      </c>
      <c r="AL6" t="n">
        <v>26.10141066707084</v>
      </c>
      <c r="AM6" t="inlineStr"/>
      <c r="AN6" t="inlineStr"/>
      <c r="AO6" t="inlineStr"/>
      <c r="AP6" t="inlineStr"/>
      <c r="AQ6" t="inlineStr">
        <is>
          <t>3601</t>
        </is>
      </c>
      <c r="AR6" t="inlineStr"/>
      <c r="AS6" t="inlineStr">
        <is>
          <t>Ο</t>
        </is>
      </c>
      <c r="AT6" t="inlineStr">
        <is>
          <t>Ø</t>
        </is>
      </c>
      <c r="AU6" t="n">
        <v>8733</v>
      </c>
      <c r="AV6" t="n">
        <v>1</v>
      </c>
      <c r="AW6" t="inlineStr"/>
      <c r="AX6" t="inlineStr"/>
      <c r="AY6" s="2" t="n">
        <v>45538</v>
      </c>
      <c r="AZ6" t="n">
        <v>27.5</v>
      </c>
      <c r="BA6" t="n">
        <v>15.2</v>
      </c>
      <c r="BB6" t="inlineStr"/>
      <c r="BC6" t="inlineStr"/>
      <c r="BD6" t="inlineStr">
        <is>
          <t>D</t>
        </is>
      </c>
      <c r="BE6" t="inlineStr">
        <is>
          <t>Antes Protium , Ahora Sapotaceae</t>
        </is>
      </c>
      <c r="BF6" t="inlineStr">
        <is>
          <t>JH6773</t>
        </is>
      </c>
      <c r="BG6" t="inlineStr"/>
      <c r="BH6" t="inlineStr"/>
      <c r="BI6" t="inlineStr"/>
      <c r="BJ6" t="n">
        <v>1</v>
      </c>
      <c r="BK6" t="n">
        <v>4.4</v>
      </c>
      <c r="BL6" t="n">
        <v>1.21</v>
      </c>
      <c r="BM6" t="n">
        <v>0.82</v>
      </c>
    </row>
    <row r="7">
      <c r="A7" s="1" t="n">
        <v>5</v>
      </c>
      <c r="B7" t="n">
        <v>357.6055924635225</v>
      </c>
      <c r="C7" t="n">
        <v>0.8451750548499397</v>
      </c>
      <c r="D7" t="n">
        <v>28</v>
      </c>
      <c r="E7" t="inlineStr"/>
      <c r="F7" t="inlineStr">
        <is>
          <t>p28-8708</t>
        </is>
      </c>
      <c r="G7" t="inlineStr">
        <is>
          <t>8708</t>
        </is>
      </c>
      <c r="H7" t="inlineStr">
        <is>
          <t>leaf pulverized</t>
        </is>
      </c>
      <c r="I7" t="inlineStr"/>
      <c r="J7" t="n">
        <v>2025</v>
      </c>
      <c r="K7" t="n">
        <v>44.7140793737736</v>
      </c>
      <c r="L7" t="n">
        <v>0.487449718</v>
      </c>
      <c r="M7" t="n">
        <v>0.013334221</v>
      </c>
      <c r="N7" t="n">
        <v>-31.73621166489926</v>
      </c>
      <c r="O7" t="inlineStr"/>
      <c r="P7" t="n">
        <v>40.94289839779844</v>
      </c>
      <c r="Q7" t="n">
        <v>8708</v>
      </c>
      <c r="R7" t="inlineStr"/>
      <c r="S7" t="inlineStr"/>
      <c r="T7" t="inlineStr">
        <is>
          <t>p28-8708</t>
        </is>
      </c>
      <c r="U7" t="n">
        <v>-30.2890504456658</v>
      </c>
      <c r="V7" t="n">
        <v>0.04838888888888647</v>
      </c>
      <c r="W7" t="n">
        <v>22.36651082019213</v>
      </c>
      <c r="X7" t="inlineStr">
        <is>
          <t>Galeras</t>
        </is>
      </c>
      <c r="Y7" t="n">
        <v>2000</v>
      </c>
      <c r="Z7" t="n">
        <v>28</v>
      </c>
      <c r="AA7" t="inlineStr">
        <is>
          <t>Galeras</t>
        </is>
      </c>
      <c r="AB7" t="inlineStr">
        <is>
          <t>GAL_28</t>
        </is>
      </c>
      <c r="AC7" t="n">
        <v>755</v>
      </c>
      <c r="AD7" t="n">
        <v>1</v>
      </c>
      <c r="AE7" t="inlineStr"/>
      <c r="AF7" t="inlineStr"/>
      <c r="AG7" t="inlineStr"/>
      <c r="AH7" t="inlineStr">
        <is>
          <t>Lauraceae</t>
        </is>
      </c>
      <c r="AI7" t="inlineStr">
        <is>
          <t>Ocotea</t>
        </is>
      </c>
      <c r="AJ7" t="inlineStr">
        <is>
          <t>subrutilans</t>
        </is>
      </c>
      <c r="AK7" s="2" t="n">
        <v>38821</v>
      </c>
      <c r="AL7" t="n">
        <v>17.82535362629228</v>
      </c>
      <c r="AM7" t="inlineStr"/>
      <c r="AN7" t="inlineStr"/>
      <c r="AO7" t="inlineStr"/>
      <c r="AP7" t="inlineStr"/>
      <c r="AQ7" t="inlineStr">
        <is>
          <t>3582</t>
        </is>
      </c>
      <c r="AR7" t="inlineStr"/>
      <c r="AS7" t="inlineStr">
        <is>
          <t>Ο</t>
        </is>
      </c>
      <c r="AT7" t="inlineStr">
        <is>
          <t>Ø</t>
        </is>
      </c>
      <c r="AU7" t="n">
        <v>8708</v>
      </c>
      <c r="AV7" t="n">
        <v>1</v>
      </c>
      <c r="AW7" t="inlineStr"/>
      <c r="AX7" t="inlineStr"/>
      <c r="AY7" s="2" t="n">
        <v>45538</v>
      </c>
      <c r="AZ7" t="n">
        <v>18.2</v>
      </c>
      <c r="BA7" t="inlineStr"/>
      <c r="BB7" t="inlineStr"/>
      <c r="BC7" t="inlineStr"/>
      <c r="BD7" t="inlineStr">
        <is>
          <t>A</t>
        </is>
      </c>
      <c r="BE7" t="inlineStr"/>
      <c r="BF7" t="inlineStr"/>
      <c r="BG7" t="inlineStr"/>
      <c r="BH7" t="inlineStr">
        <is>
          <t>POM 1.30 m. FALTA ALTURA</t>
        </is>
      </c>
      <c r="BI7" t="inlineStr"/>
      <c r="BJ7" t="n">
        <v>0.7</v>
      </c>
      <c r="BK7" t="inlineStr">
        <is>
          <t>2.1-2.6</t>
        </is>
      </c>
      <c r="BL7" t="n">
        <v>1.08</v>
      </c>
      <c r="BM7" t="n">
        <v>0.42</v>
      </c>
    </row>
    <row r="8">
      <c r="A8" s="1" t="n">
        <v>6</v>
      </c>
      <c r="B8" t="n">
        <v>373.0227204673346</v>
      </c>
      <c r="C8" t="n">
        <v>0.881612326192612</v>
      </c>
      <c r="D8" t="n">
        <v>23</v>
      </c>
      <c r="E8" t="inlineStr"/>
      <c r="F8" t="inlineStr">
        <is>
          <t>p23-8976</t>
        </is>
      </c>
      <c r="G8" t="inlineStr">
        <is>
          <t>8976</t>
        </is>
      </c>
      <c r="H8" t="inlineStr">
        <is>
          <t>leaf pulverized</t>
        </is>
      </c>
      <c r="I8" t="inlineStr"/>
      <c r="J8" t="n">
        <v>2025</v>
      </c>
      <c r="K8" t="n">
        <v>43.330252490663</v>
      </c>
      <c r="L8" t="n">
        <v>0.392860231</v>
      </c>
      <c r="M8" t="n">
        <v>0.016808389</v>
      </c>
      <c r="N8" t="n">
        <v>-32.53028335100743</v>
      </c>
      <c r="O8" t="inlineStr"/>
      <c r="P8" t="n">
        <v>31.30719339541587</v>
      </c>
      <c r="Q8" t="n">
        <v>8976</v>
      </c>
      <c r="R8" t="inlineStr"/>
      <c r="S8" t="inlineStr"/>
      <c r="T8" t="inlineStr">
        <is>
          <t>p23-8976</t>
        </is>
      </c>
      <c r="U8" t="n">
        <v>-31.0694918492985</v>
      </c>
      <c r="V8" t="n">
        <v>2.316494949494948</v>
      </c>
      <c r="W8" t="n">
        <v>23.18999315253652</v>
      </c>
      <c r="X8" t="inlineStr">
        <is>
          <t>Galeras</t>
        </is>
      </c>
      <c r="Y8" t="n">
        <v>1000</v>
      </c>
      <c r="Z8" t="n">
        <v>23</v>
      </c>
      <c r="AA8" t="inlineStr">
        <is>
          <t>Galeras</t>
        </is>
      </c>
      <c r="AB8" t="inlineStr">
        <is>
          <t>GAL_23</t>
        </is>
      </c>
      <c r="AC8" t="n">
        <v>561</v>
      </c>
      <c r="AD8" t="n">
        <v>1</v>
      </c>
      <c r="AE8" t="inlineStr"/>
      <c r="AF8" t="inlineStr"/>
      <c r="AG8" t="inlineStr"/>
      <c r="AH8" t="inlineStr">
        <is>
          <t>Rubiaceae</t>
        </is>
      </c>
      <c r="AI8" t="inlineStr">
        <is>
          <t>Faramea</t>
        </is>
      </c>
      <c r="AJ8" t="inlineStr">
        <is>
          <t>multiflora</t>
        </is>
      </c>
      <c r="AK8" s="2" t="n">
        <v>38653</v>
      </c>
      <c r="AL8" t="n">
        <v>10.1859163578813</v>
      </c>
      <c r="AM8" t="inlineStr"/>
      <c r="AN8" t="inlineStr"/>
      <c r="AO8" t="inlineStr"/>
      <c r="AP8" t="inlineStr"/>
      <c r="AQ8" t="inlineStr">
        <is>
          <t>2022</t>
        </is>
      </c>
      <c r="AR8" t="n">
        <v>1</v>
      </c>
      <c r="AS8" t="inlineStr">
        <is>
          <t>Ο</t>
        </is>
      </c>
      <c r="AT8" t="inlineStr">
        <is>
          <t>Ø</t>
        </is>
      </c>
      <c r="AU8" t="n">
        <v>8976</v>
      </c>
      <c r="AV8" t="n">
        <v>1</v>
      </c>
      <c r="AW8" t="inlineStr"/>
      <c r="AX8" t="inlineStr"/>
      <c r="AY8" s="2" t="n">
        <v>45541</v>
      </c>
      <c r="AZ8" t="n">
        <v>10.8</v>
      </c>
      <c r="BA8" t="n">
        <v>8.4</v>
      </c>
      <c r="BB8" t="inlineStr"/>
      <c r="BC8" t="inlineStr"/>
      <c r="BD8" t="inlineStr">
        <is>
          <t>A</t>
        </is>
      </c>
      <c r="BE8" t="inlineStr"/>
      <c r="BF8" t="inlineStr"/>
      <c r="BG8" t="inlineStr"/>
      <c r="BH8" t="inlineStr"/>
      <c r="BI8" t="inlineStr">
        <is>
          <t>Antes F. phyllonomoides Ahora F. multiflora</t>
        </is>
      </c>
      <c r="BJ8" t="n">
        <v>0.7</v>
      </c>
      <c r="BK8" t="inlineStr">
        <is>
          <t>1.2-2.0</t>
        </is>
      </c>
      <c r="BL8" t="n">
        <v>1.03</v>
      </c>
      <c r="BM8" t="n">
        <v>0.48</v>
      </c>
    </row>
    <row r="9">
      <c r="A9" s="1" t="n">
        <v>7</v>
      </c>
      <c r="B9" t="n">
        <v>369.9711493424068</v>
      </c>
      <c r="C9" t="n">
        <v>0.8744001576828244</v>
      </c>
      <c r="D9" t="n">
        <v>28</v>
      </c>
      <c r="E9" t="inlineStr"/>
      <c r="F9" t="inlineStr">
        <is>
          <t>p28-8721</t>
        </is>
      </c>
      <c r="G9" t="inlineStr">
        <is>
          <t>8721</t>
        </is>
      </c>
      <c r="H9" t="inlineStr">
        <is>
          <t>leaf pulverized</t>
        </is>
      </c>
      <c r="I9" t="inlineStr"/>
      <c r="J9" t="n">
        <v>2025</v>
      </c>
      <c r="K9" t="n">
        <v>43.5912375771325</v>
      </c>
      <c r="L9" t="n">
        <v>0.414849194</v>
      </c>
      <c r="M9" t="n">
        <v>0.027895579</v>
      </c>
      <c r="N9" t="n">
        <v>-32.16934167550372</v>
      </c>
      <c r="O9" t="inlineStr"/>
      <c r="P9" t="n">
        <v>33.21442534849574</v>
      </c>
      <c r="Q9" t="n">
        <v>8721</v>
      </c>
      <c r="R9" t="inlineStr"/>
      <c r="S9" t="inlineStr"/>
      <c r="T9" t="inlineStr">
        <is>
          <t>p28-8721</t>
        </is>
      </c>
      <c r="U9" t="n">
        <v>-30.9151158293839</v>
      </c>
      <c r="V9" t="n">
        <v>1.225643939393937</v>
      </c>
      <c r="W9" t="n">
        <v>23.02699814421532</v>
      </c>
      <c r="X9" t="inlineStr">
        <is>
          <t>Galeras</t>
        </is>
      </c>
      <c r="Y9" t="n">
        <v>2000</v>
      </c>
      <c r="Z9" t="n">
        <v>28</v>
      </c>
      <c r="AA9" t="inlineStr">
        <is>
          <t>Galeras</t>
        </is>
      </c>
      <c r="AB9" t="inlineStr">
        <is>
          <t>GAL_28</t>
        </is>
      </c>
      <c r="AC9" t="n">
        <v>737</v>
      </c>
      <c r="AD9" t="n">
        <v>1</v>
      </c>
      <c r="AE9" t="inlineStr"/>
      <c r="AF9" t="inlineStr"/>
      <c r="AG9" t="inlineStr"/>
      <c r="AH9" t="inlineStr">
        <is>
          <t>Moraceae</t>
        </is>
      </c>
      <c r="AI9" t="inlineStr">
        <is>
          <t>Helicostylis</t>
        </is>
      </c>
      <c r="AJ9" t="inlineStr">
        <is>
          <t>tovariensis</t>
        </is>
      </c>
      <c r="AK9" s="2" t="n">
        <v>38821</v>
      </c>
      <c r="AL9" t="n">
        <v>21.32676237431398</v>
      </c>
      <c r="AM9" t="inlineStr"/>
      <c r="AN9" t="inlineStr"/>
      <c r="AO9" t="inlineStr"/>
      <c r="AP9" t="inlineStr"/>
      <c r="AQ9" t="inlineStr">
        <is>
          <t>2311</t>
        </is>
      </c>
      <c r="AR9" t="inlineStr"/>
      <c r="AS9" t="inlineStr">
        <is>
          <t>Ο</t>
        </is>
      </c>
      <c r="AT9" t="inlineStr">
        <is>
          <t>Ø</t>
        </is>
      </c>
      <c r="AU9" t="n">
        <v>8721</v>
      </c>
      <c r="AV9" t="n">
        <v>1</v>
      </c>
      <c r="AW9" t="inlineStr"/>
      <c r="AX9" t="inlineStr"/>
      <c r="AY9" s="2" t="n">
        <v>45538</v>
      </c>
      <c r="AZ9" t="n">
        <v>22.05</v>
      </c>
      <c r="BA9" t="n">
        <v>9.1</v>
      </c>
      <c r="BB9" t="inlineStr"/>
      <c r="BC9" t="inlineStr"/>
      <c r="BD9" t="inlineStr">
        <is>
          <t>C</t>
        </is>
      </c>
      <c r="BE9" t="inlineStr"/>
      <c r="BF9" t="inlineStr"/>
      <c r="BG9" t="inlineStr"/>
      <c r="BH9" t="inlineStr"/>
      <c r="BI9" t="inlineStr"/>
      <c r="BJ9" t="n">
        <v>1.2</v>
      </c>
      <c r="BK9" t="n">
        <v>4.3</v>
      </c>
      <c r="BL9" t="n">
        <v>1.06</v>
      </c>
      <c r="BM9" t="n">
        <v>0.52</v>
      </c>
    </row>
    <row r="10">
      <c r="A10" s="1" t="n">
        <v>8</v>
      </c>
      <c r="B10" t="n">
        <v>369.9711493424068</v>
      </c>
      <c r="C10" t="n">
        <v>0.8744001576828244</v>
      </c>
      <c r="D10" t="n">
        <v>28</v>
      </c>
      <c r="E10" t="inlineStr"/>
      <c r="F10" t="inlineStr">
        <is>
          <t>p28-8721</t>
        </is>
      </c>
      <c r="G10" t="inlineStr">
        <is>
          <t>8721</t>
        </is>
      </c>
      <c r="H10" t="inlineStr">
        <is>
          <t>leaf pulverized</t>
        </is>
      </c>
      <c r="I10" t="inlineStr"/>
      <c r="J10" t="n">
        <v>2025</v>
      </c>
      <c r="K10" t="n">
        <v>43.5912375771325</v>
      </c>
      <c r="L10" t="n">
        <v>0.414849194</v>
      </c>
      <c r="M10" t="n">
        <v>0.027895579</v>
      </c>
      <c r="N10" t="n">
        <v>-32.16934167550372</v>
      </c>
      <c r="O10" t="inlineStr"/>
      <c r="P10" t="n">
        <v>33.21442534849574</v>
      </c>
      <c r="Q10" t="n">
        <v>8721</v>
      </c>
      <c r="R10" t="inlineStr"/>
      <c r="S10" t="inlineStr"/>
      <c r="T10" t="inlineStr">
        <is>
          <t>p28-8721</t>
        </is>
      </c>
      <c r="U10" t="n">
        <v>-30.9151158293839</v>
      </c>
      <c r="V10" t="n">
        <v>1.225643939393937</v>
      </c>
      <c r="W10" t="n">
        <v>23.02699814421532</v>
      </c>
      <c r="X10" t="inlineStr">
        <is>
          <t>Galeras</t>
        </is>
      </c>
      <c r="Y10" t="n">
        <v>2000</v>
      </c>
      <c r="Z10" t="n">
        <v>28</v>
      </c>
      <c r="AA10" t="inlineStr">
        <is>
          <t>Galeras</t>
        </is>
      </c>
      <c r="AB10" t="inlineStr">
        <is>
          <t>GAL_28</t>
        </is>
      </c>
      <c r="AC10" t="inlineStr"/>
      <c r="AD10" t="inlineStr"/>
      <c r="AE10" t="inlineStr"/>
      <c r="AF10" t="inlineStr"/>
      <c r="AG10" t="inlineStr"/>
      <c r="AH10" t="inlineStr">
        <is>
          <t>Chrysobalanaceae</t>
        </is>
      </c>
      <c r="AI10" t="inlineStr"/>
      <c r="AJ10" t="inlineStr"/>
      <c r="AK10" t="inlineStr"/>
      <c r="AL10" t="inlineStr"/>
      <c r="AM10" t="inlineStr"/>
      <c r="AN10" t="inlineStr"/>
      <c r="AO10" t="inlineStr"/>
      <c r="AP10" t="inlineStr"/>
      <c r="AQ10" t="inlineStr"/>
      <c r="AR10" t="inlineStr"/>
      <c r="AS10" t="inlineStr"/>
      <c r="AT10" t="inlineStr"/>
      <c r="AU10" t="n">
        <v>8721</v>
      </c>
      <c r="AV10" t="n">
        <v>1</v>
      </c>
      <c r="AW10" t="inlineStr"/>
      <c r="AX10" t="inlineStr"/>
      <c r="AY10" s="2" t="n">
        <v>45538</v>
      </c>
      <c r="AZ10" t="n">
        <v>22.7</v>
      </c>
      <c r="BA10" t="n">
        <v>9.5</v>
      </c>
      <c r="BB10" t="inlineStr"/>
      <c r="BC10" t="n">
        <v>1</v>
      </c>
      <c r="BD10" t="inlineStr">
        <is>
          <t>C</t>
        </is>
      </c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</row>
    <row r="11">
      <c r="A11" s="1" t="n">
        <v>9</v>
      </c>
      <c r="B11" t="n">
        <v>324.7816311788585</v>
      </c>
      <c r="C11" t="n">
        <v>0.7675979870864147</v>
      </c>
      <c r="D11" t="n">
        <v>28</v>
      </c>
      <c r="E11" t="inlineStr"/>
      <c r="F11" t="inlineStr">
        <is>
          <t>p28-8716</t>
        </is>
      </c>
      <c r="G11" t="inlineStr">
        <is>
          <t>8716</t>
        </is>
      </c>
      <c r="H11" t="inlineStr">
        <is>
          <t>leaf pulverized</t>
        </is>
      </c>
      <c r="I11" t="inlineStr"/>
      <c r="J11" t="n">
        <v>2025</v>
      </c>
      <c r="K11" t="n">
        <v>44.4568875907566</v>
      </c>
      <c r="L11" t="n">
        <v>0.454169737</v>
      </c>
      <c r="M11" t="n">
        <v>0.011539571</v>
      </c>
      <c r="N11" t="n">
        <v>-30.37494591728526</v>
      </c>
      <c r="O11" t="inlineStr"/>
      <c r="P11" t="n">
        <v>61.45787420071344</v>
      </c>
      <c r="Q11" t="n">
        <v>8716</v>
      </c>
      <c r="R11" t="inlineStr"/>
      <c r="S11" t="inlineStr"/>
      <c r="T11" t="inlineStr">
        <is>
          <t>p28-8716</t>
        </is>
      </c>
      <c r="U11" t="n">
        <v>-28.6232503275406</v>
      </c>
      <c r="V11" t="n">
        <v>-4.04500252525253</v>
      </c>
      <c r="W11" t="n">
        <v>20.61326908873646</v>
      </c>
      <c r="X11" t="inlineStr">
        <is>
          <t>Galeras</t>
        </is>
      </c>
      <c r="Y11" t="n">
        <v>2000</v>
      </c>
      <c r="Z11" t="n">
        <v>28</v>
      </c>
      <c r="AA11" t="inlineStr">
        <is>
          <t>Galeras</t>
        </is>
      </c>
      <c r="AB11" t="inlineStr">
        <is>
          <t>GAL_28</t>
        </is>
      </c>
      <c r="AC11" t="n">
        <v>740</v>
      </c>
      <c r="AD11" t="n">
        <v>1</v>
      </c>
      <c r="AE11" t="inlineStr"/>
      <c r="AF11" t="inlineStr"/>
      <c r="AG11" t="inlineStr"/>
      <c r="AH11" t="inlineStr">
        <is>
          <t>Theaceae</t>
        </is>
      </c>
      <c r="AI11" t="inlineStr">
        <is>
          <t>Gordonia</t>
        </is>
      </c>
      <c r="AJ11" t="inlineStr">
        <is>
          <t>fruticosa</t>
        </is>
      </c>
      <c r="AK11" s="2" t="n">
        <v>38821</v>
      </c>
      <c r="AL11" t="n">
        <v>14.96056465063816</v>
      </c>
      <c r="AM11" t="inlineStr"/>
      <c r="AN11" t="inlineStr"/>
      <c r="AO11" t="inlineStr"/>
      <c r="AP11" t="inlineStr"/>
      <c r="AQ11" t="inlineStr">
        <is>
          <t>2296</t>
        </is>
      </c>
      <c r="AR11" t="inlineStr"/>
      <c r="AS11" t="inlineStr">
        <is>
          <t>Ο</t>
        </is>
      </c>
      <c r="AT11" t="inlineStr">
        <is>
          <t>Ø</t>
        </is>
      </c>
      <c r="AU11" t="n">
        <v>8716</v>
      </c>
      <c r="AV11" t="n">
        <v>1</v>
      </c>
      <c r="AW11" t="inlineStr"/>
      <c r="AX11" t="inlineStr"/>
      <c r="AY11" s="2" t="n">
        <v>45538</v>
      </c>
      <c r="AZ11" t="n">
        <v>23</v>
      </c>
      <c r="BA11" t="n">
        <v>15.7</v>
      </c>
      <c r="BB11" t="inlineStr"/>
      <c r="BC11" t="inlineStr"/>
      <c r="BD11" t="inlineStr">
        <is>
          <t>B</t>
        </is>
      </c>
      <c r="BE11" t="inlineStr"/>
      <c r="BF11" t="inlineStr"/>
      <c r="BG11" t="inlineStr"/>
      <c r="BH11" t="inlineStr">
        <is>
          <t>POM 1.30 m</t>
        </is>
      </c>
      <c r="BI11" t="inlineStr"/>
      <c r="BJ11" t="n">
        <v>1.2</v>
      </c>
      <c r="BK11" t="n">
        <v>4.6</v>
      </c>
      <c r="BL11" t="n">
        <v>1.11</v>
      </c>
      <c r="BM11" t="n">
        <v>0.45</v>
      </c>
    </row>
    <row r="12">
      <c r="A12" s="1" t="n">
        <v>10</v>
      </c>
      <c r="B12" t="n">
        <v>336.037057622307</v>
      </c>
      <c r="C12" t="n">
        <v>0.794199376612143</v>
      </c>
      <c r="D12" t="n">
        <v>23</v>
      </c>
      <c r="E12" t="inlineStr"/>
      <c r="F12" t="inlineStr">
        <is>
          <t>p23-8974</t>
        </is>
      </c>
      <c r="G12" t="inlineStr">
        <is>
          <t>8974</t>
        </is>
      </c>
      <c r="H12" t="inlineStr">
        <is>
          <t>leaf pulverized</t>
        </is>
      </c>
      <c r="I12" t="inlineStr"/>
      <c r="J12" t="n">
        <v>2025</v>
      </c>
      <c r="K12" t="n">
        <v>37.2296106855743</v>
      </c>
      <c r="L12" t="n">
        <v>0.446083019</v>
      </c>
      <c r="M12" t="n">
        <v>0.032737523</v>
      </c>
      <c r="N12" t="n">
        <v>-30.52963520678685</v>
      </c>
      <c r="O12" t="inlineStr"/>
      <c r="P12" t="n">
        <v>54.42323267355815</v>
      </c>
      <c r="Q12" t="n">
        <v>8974</v>
      </c>
      <c r="R12" t="inlineStr"/>
      <c r="S12" t="inlineStr"/>
      <c r="T12" t="inlineStr">
        <is>
          <t>p23-8974</t>
        </is>
      </c>
      <c r="U12" t="n">
        <v>-29.1951021508777</v>
      </c>
      <c r="V12" t="n">
        <v>1.344449494949493</v>
      </c>
      <c r="W12" t="n">
        <v>21.21446049201792</v>
      </c>
      <c r="X12" t="inlineStr">
        <is>
          <t>Galeras</t>
        </is>
      </c>
      <c r="Y12" t="n">
        <v>1000</v>
      </c>
      <c r="Z12" t="n">
        <v>23</v>
      </c>
      <c r="AA12" t="inlineStr">
        <is>
          <t>Galeras</t>
        </is>
      </c>
      <c r="AB12" t="inlineStr">
        <is>
          <t>GAL_23</t>
        </is>
      </c>
      <c r="AC12" t="n">
        <v>564</v>
      </c>
      <c r="AD12" t="n">
        <v>1</v>
      </c>
      <c r="AE12" t="inlineStr"/>
      <c r="AF12" t="inlineStr"/>
      <c r="AG12" t="inlineStr"/>
      <c r="AH12" t="inlineStr">
        <is>
          <t>Sapotaceae</t>
        </is>
      </c>
      <c r="AI12" t="inlineStr">
        <is>
          <t>Cornuella</t>
        </is>
      </c>
      <c r="AJ12" t="inlineStr">
        <is>
          <t>venezuelanense</t>
        </is>
      </c>
      <c r="AK12" s="2" t="n">
        <v>38653</v>
      </c>
      <c r="AL12" t="n">
        <v>28.32957987035737</v>
      </c>
      <c r="AM12" t="inlineStr"/>
      <c r="AN12" t="inlineStr"/>
      <c r="AO12" t="inlineStr"/>
      <c r="AP12" t="inlineStr"/>
      <c r="AQ12" t="inlineStr">
        <is>
          <t>3745</t>
        </is>
      </c>
      <c r="AR12" t="inlineStr"/>
      <c r="AS12" t="inlineStr">
        <is>
          <t>Ο</t>
        </is>
      </c>
      <c r="AT12" t="inlineStr">
        <is>
          <t>Ø</t>
        </is>
      </c>
      <c r="AU12" t="n">
        <v>8974</v>
      </c>
      <c r="AV12" t="n">
        <v>1</v>
      </c>
      <c r="AW12" t="inlineStr"/>
      <c r="AX12" t="inlineStr"/>
      <c r="AY12" s="2" t="n">
        <v>45541</v>
      </c>
      <c r="AZ12" t="n">
        <v>33.6</v>
      </c>
      <c r="BA12" t="n">
        <v>26.6</v>
      </c>
      <c r="BB12" t="inlineStr"/>
      <c r="BC12" t="inlineStr"/>
      <c r="BD12" t="inlineStr">
        <is>
          <t>A</t>
        </is>
      </c>
      <c r="BE12" t="inlineStr"/>
      <c r="BF12" t="inlineStr"/>
      <c r="BG12" t="inlineStr"/>
      <c r="BH12" t="inlineStr">
        <is>
          <t>Sin placa</t>
        </is>
      </c>
      <c r="BI12" t="inlineStr">
        <is>
          <t>Antes Chrysophyllum v. Ahora Cornuella v.</t>
        </is>
      </c>
      <c r="BJ12" t="n">
        <v>1.3</v>
      </c>
      <c r="BK12" t="n">
        <v>6</v>
      </c>
      <c r="BL12" t="n">
        <v>1.33</v>
      </c>
      <c r="BM12" t="n">
        <v>0.68</v>
      </c>
    </row>
    <row r="13">
      <c r="A13" s="1" t="n">
        <v>11</v>
      </c>
      <c r="B13" t="n">
        <v>298.6955707675614</v>
      </c>
      <c r="C13" t="n">
        <v>0.7059454626192931</v>
      </c>
      <c r="D13" t="n">
        <v>23</v>
      </c>
      <c r="E13" t="inlineStr"/>
      <c r="F13" t="inlineStr">
        <is>
          <t>p23-8980</t>
        </is>
      </c>
      <c r="G13" t="inlineStr">
        <is>
          <t>8980</t>
        </is>
      </c>
      <c r="H13" t="inlineStr">
        <is>
          <t>leaf pulverized</t>
        </is>
      </c>
      <c r="I13" t="inlineStr"/>
      <c r="J13" t="n">
        <v>2025</v>
      </c>
      <c r="K13" t="n">
        <v>29.235018235055</v>
      </c>
      <c r="L13" t="n">
        <v>0.389815017</v>
      </c>
      <c r="M13" t="n">
        <v>0.018465962</v>
      </c>
      <c r="N13" t="n">
        <v>-30.23056924708378</v>
      </c>
      <c r="O13" t="inlineStr"/>
      <c r="P13" t="n">
        <v>77.76166195777409</v>
      </c>
      <c r="Q13" t="n">
        <v>8980</v>
      </c>
      <c r="R13" t="inlineStr"/>
      <c r="S13" t="inlineStr"/>
      <c r="T13" t="inlineStr">
        <is>
          <t>p23-8980</t>
        </is>
      </c>
      <c r="U13" t="n">
        <v>-27.2953083375885</v>
      </c>
      <c r="V13" t="n">
        <v>1.852073232323231</v>
      </c>
      <c r="W13" t="n">
        <v>19.21992203577951</v>
      </c>
      <c r="X13" t="inlineStr">
        <is>
          <t>Galeras</t>
        </is>
      </c>
      <c r="Y13" t="n">
        <v>1000</v>
      </c>
      <c r="Z13" t="n">
        <v>23</v>
      </c>
      <c r="AA13" t="inlineStr">
        <is>
          <t>Galeras</t>
        </is>
      </c>
      <c r="AB13" t="inlineStr">
        <is>
          <t>GAL_23</t>
        </is>
      </c>
      <c r="AC13" t="n">
        <v>570</v>
      </c>
      <c r="AD13" t="n">
        <v>1</v>
      </c>
      <c r="AE13" t="inlineStr"/>
      <c r="AF13" t="inlineStr"/>
      <c r="AG13" t="inlineStr"/>
      <c r="AH13" t="inlineStr">
        <is>
          <t>Moraceae</t>
        </is>
      </c>
      <c r="AI13" t="inlineStr">
        <is>
          <t>Sorocea</t>
        </is>
      </c>
      <c r="AJ13" t="inlineStr">
        <is>
          <t>trophoides</t>
        </is>
      </c>
      <c r="AK13" s="2" t="n">
        <v>38653</v>
      </c>
      <c r="AL13" t="n">
        <v>10.1859163578813</v>
      </c>
      <c r="AM13" t="inlineStr"/>
      <c r="AN13" t="inlineStr"/>
      <c r="AO13" t="inlineStr"/>
      <c r="AP13" t="inlineStr"/>
      <c r="AQ13" t="inlineStr">
        <is>
          <t>2034</t>
        </is>
      </c>
      <c r="AR13" t="inlineStr"/>
      <c r="AS13" t="inlineStr">
        <is>
          <t>Ο</t>
        </is>
      </c>
      <c r="AT13" t="inlineStr">
        <is>
          <t>Ø</t>
        </is>
      </c>
      <c r="AU13" t="n">
        <v>8980</v>
      </c>
      <c r="AV13" t="n">
        <v>1</v>
      </c>
      <c r="AW13" t="inlineStr"/>
      <c r="AX13" t="inlineStr"/>
      <c r="AY13" s="2" t="n">
        <v>45541</v>
      </c>
      <c r="AZ13" t="n">
        <v>13.5</v>
      </c>
      <c r="BA13" t="n">
        <v>10.9</v>
      </c>
      <c r="BB13" t="inlineStr"/>
      <c r="BC13" t="inlineStr"/>
      <c r="BD13" t="inlineStr">
        <is>
          <t>A</t>
        </is>
      </c>
      <c r="BE13" t="inlineStr"/>
      <c r="BF13" t="inlineStr"/>
      <c r="BG13" t="inlineStr"/>
      <c r="BH13" t="inlineStr"/>
      <c r="BI13" t="inlineStr"/>
      <c r="BJ13" t="n">
        <v>0.5</v>
      </c>
      <c r="BK13" t="n">
        <v>6.4</v>
      </c>
      <c r="BL13" t="n">
        <v>1.66</v>
      </c>
      <c r="BM13" t="n">
        <v>0.9399999999999999</v>
      </c>
    </row>
    <row r="14">
      <c r="A14" s="1" t="n">
        <v>12</v>
      </c>
      <c r="B14" t="n">
        <v>341.1085353259143</v>
      </c>
      <c r="C14" t="n">
        <v>0.8061854488007477</v>
      </c>
      <c r="D14" t="n">
        <v>23</v>
      </c>
      <c r="E14" t="inlineStr"/>
      <c r="F14" t="inlineStr">
        <is>
          <t>p23-8986</t>
        </is>
      </c>
      <c r="G14" t="inlineStr">
        <is>
          <t>8986</t>
        </is>
      </c>
      <c r="H14" t="inlineStr">
        <is>
          <t>leaf pulverized</t>
        </is>
      </c>
      <c r="I14" t="inlineStr"/>
      <c r="J14" t="n">
        <v>2025</v>
      </c>
      <c r="K14" t="n">
        <v>41.159136443641</v>
      </c>
      <c r="L14" t="n">
        <v>0.4512003</v>
      </c>
      <c r="M14" t="n">
        <v>0.040569896</v>
      </c>
      <c r="N14" t="n">
        <v>-30.33369544008483</v>
      </c>
      <c r="O14" t="inlineStr"/>
      <c r="P14" t="n">
        <v>51.25355910880359</v>
      </c>
      <c r="Q14" t="n">
        <v>8986</v>
      </c>
      <c r="R14" t="inlineStr"/>
      <c r="S14" t="inlineStr"/>
      <c r="T14" t="inlineStr">
        <is>
          <t>p23-8986</t>
        </is>
      </c>
      <c r="U14" t="n">
        <v>-29.4525475567856</v>
      </c>
      <c r="V14" t="n">
        <v>0.1347929292929269</v>
      </c>
      <c r="W14" t="n">
        <v>21.48534572348039</v>
      </c>
      <c r="X14" t="inlineStr">
        <is>
          <t>Galeras</t>
        </is>
      </c>
      <c r="Y14" t="n">
        <v>1000</v>
      </c>
      <c r="Z14" t="n">
        <v>23</v>
      </c>
      <c r="AA14" t="inlineStr">
        <is>
          <t>Galeras</t>
        </is>
      </c>
      <c r="AB14" t="inlineStr">
        <is>
          <t>GAL_23</t>
        </is>
      </c>
      <c r="AC14" t="n">
        <v>553</v>
      </c>
      <c r="AD14" t="n">
        <v>1</v>
      </c>
      <c r="AE14" t="inlineStr"/>
      <c r="AF14" t="inlineStr"/>
      <c r="AG14" t="inlineStr"/>
      <c r="AH14" t="inlineStr">
        <is>
          <t>Fabaceae</t>
        </is>
      </c>
      <c r="AI14" t="inlineStr">
        <is>
          <t>Inga</t>
        </is>
      </c>
      <c r="AJ14" t="inlineStr">
        <is>
          <t>marginata</t>
        </is>
      </c>
      <c r="AK14" s="2" t="n">
        <v>38653</v>
      </c>
      <c r="AL14" t="n">
        <v>10.50422624406509</v>
      </c>
      <c r="AM14" t="inlineStr"/>
      <c r="AN14" t="inlineStr"/>
      <c r="AO14" t="inlineStr"/>
      <c r="AP14" t="inlineStr"/>
      <c r="AQ14" t="inlineStr">
        <is>
          <t>3736</t>
        </is>
      </c>
      <c r="AR14" t="inlineStr"/>
      <c r="AS14" t="inlineStr">
        <is>
          <t>Ο</t>
        </is>
      </c>
      <c r="AT14" t="inlineStr">
        <is>
          <t>Ø</t>
        </is>
      </c>
      <c r="AU14" t="n">
        <v>8986</v>
      </c>
      <c r="AV14" t="n">
        <v>1</v>
      </c>
      <c r="AW14" t="inlineStr"/>
      <c r="AX14" t="inlineStr"/>
      <c r="AY14" s="2" t="n">
        <v>45541</v>
      </c>
      <c r="AZ14" t="n">
        <v>11.25</v>
      </c>
      <c r="BA14" t="n">
        <v>7.6</v>
      </c>
      <c r="BB14" t="inlineStr"/>
      <c r="BC14" t="inlineStr"/>
      <c r="BD14" t="inlineStr">
        <is>
          <t>B</t>
        </is>
      </c>
      <c r="BE14" t="inlineStr"/>
      <c r="BF14" t="inlineStr"/>
      <c r="BG14" t="inlineStr"/>
      <c r="BH14" t="inlineStr">
        <is>
          <t>Con placa vieja</t>
        </is>
      </c>
      <c r="BI14" t="inlineStr"/>
      <c r="BJ14" t="n">
        <v>0.4</v>
      </c>
      <c r="BK14" t="n">
        <v>5.6</v>
      </c>
      <c r="BL14" t="n">
        <v>1.33</v>
      </c>
      <c r="BM14" t="n">
        <v>0.76</v>
      </c>
    </row>
    <row r="15">
      <c r="A15" s="1" t="n">
        <v>13</v>
      </c>
      <c r="B15" t="n">
        <v>332.2129844014005</v>
      </c>
      <c r="C15" t="n">
        <v>0.7851614550517876</v>
      </c>
      <c r="D15" t="n">
        <v>23</v>
      </c>
      <c r="E15" t="inlineStr"/>
      <c r="F15" t="inlineStr">
        <is>
          <t>p23-8983</t>
        </is>
      </c>
      <c r="G15" t="inlineStr">
        <is>
          <t>8983</t>
        </is>
      </c>
      <c r="H15" t="inlineStr">
        <is>
          <t>leaf pulverized</t>
        </is>
      </c>
      <c r="I15" t="inlineStr"/>
      <c r="J15" t="n">
        <v>2025</v>
      </c>
      <c r="K15" t="n">
        <v>42.337351793583</v>
      </c>
      <c r="L15" t="n">
        <v>0.422318473</v>
      </c>
      <c r="M15" t="n">
        <v>0.011074035</v>
      </c>
      <c r="N15" t="n">
        <v>-30.57088568398727</v>
      </c>
      <c r="O15" t="inlineStr"/>
      <c r="P15" t="n">
        <v>56.81327843662465</v>
      </c>
      <c r="Q15" t="n">
        <v>8983</v>
      </c>
      <c r="R15" t="inlineStr"/>
      <c r="S15" t="inlineStr"/>
      <c r="T15" t="inlineStr">
        <is>
          <t>p23-8983</t>
        </is>
      </c>
      <c r="U15" t="n">
        <v>-29.0008888885468</v>
      </c>
      <c r="V15" t="n">
        <v>0.7396212121212099</v>
      </c>
      <c r="W15" t="n">
        <v>21.01020346475389</v>
      </c>
      <c r="X15" t="inlineStr">
        <is>
          <t>Galeras</t>
        </is>
      </c>
      <c r="Y15" t="n">
        <v>1000</v>
      </c>
      <c r="Z15" t="n">
        <v>23</v>
      </c>
      <c r="AA15" t="inlineStr">
        <is>
          <t>Galeras</t>
        </is>
      </c>
      <c r="AB15" t="inlineStr">
        <is>
          <t>GAL_23</t>
        </is>
      </c>
      <c r="AC15" t="n">
        <v>559</v>
      </c>
      <c r="AD15" t="n">
        <v>1</v>
      </c>
      <c r="AE15" t="inlineStr"/>
      <c r="AF15" t="inlineStr"/>
      <c r="AG15" t="inlineStr"/>
      <c r="AH15" t="inlineStr">
        <is>
          <t>Lecythidaceae</t>
        </is>
      </c>
      <c r="AI15" t="inlineStr">
        <is>
          <t>Grias</t>
        </is>
      </c>
      <c r="AJ15" t="inlineStr">
        <is>
          <t>peruviana</t>
        </is>
      </c>
      <c r="AK15" s="2" t="n">
        <v>38653</v>
      </c>
      <c r="AL15" t="n">
        <v>17.50704374010849</v>
      </c>
      <c r="AM15" t="inlineStr"/>
      <c r="AN15" t="inlineStr"/>
      <c r="AO15" t="inlineStr"/>
      <c r="AP15" t="inlineStr"/>
      <c r="AQ15" t="inlineStr">
        <is>
          <t>3739</t>
        </is>
      </c>
      <c r="AR15" t="n">
        <v>1</v>
      </c>
      <c r="AS15" t="inlineStr">
        <is>
          <t>Ο</t>
        </is>
      </c>
      <c r="AT15" t="inlineStr">
        <is>
          <t>Ø</t>
        </is>
      </c>
      <c r="AU15" t="n">
        <v>8983</v>
      </c>
      <c r="AV15" t="n">
        <v>1</v>
      </c>
      <c r="AW15" t="inlineStr"/>
      <c r="AX15" t="inlineStr"/>
      <c r="AY15" s="2" t="n">
        <v>45541</v>
      </c>
      <c r="AZ15" t="n">
        <v>17.8</v>
      </c>
      <c r="BA15" t="n">
        <v>6.2</v>
      </c>
      <c r="BB15" t="inlineStr"/>
      <c r="BC15" t="inlineStr"/>
      <c r="BD15" t="inlineStr">
        <is>
          <t>B</t>
        </is>
      </c>
      <c r="BE15" t="inlineStr"/>
      <c r="BF15" t="inlineStr"/>
      <c r="BG15" t="inlineStr"/>
      <c r="BH15" t="inlineStr">
        <is>
          <t>Con placa vieja</t>
        </is>
      </c>
      <c r="BI15" t="inlineStr"/>
      <c r="BJ15" t="n">
        <v>1</v>
      </c>
      <c r="BK15" t="n">
        <v>5.2</v>
      </c>
      <c r="BL15" t="n">
        <v>1.3</v>
      </c>
      <c r="BM15" t="n">
        <v>0.72</v>
      </c>
    </row>
    <row r="16">
      <c r="A16" s="1" t="n">
        <v>14</v>
      </c>
      <c r="B16" t="n">
        <v>346.1980663115405</v>
      </c>
      <c r="C16" t="n">
        <v>0.8182141886207938</v>
      </c>
      <c r="D16" t="n">
        <v>23</v>
      </c>
      <c r="E16" t="inlineStr"/>
      <c r="F16" t="inlineStr">
        <is>
          <t>p23-8975</t>
        </is>
      </c>
      <c r="G16" t="inlineStr">
        <is>
          <t>8975</t>
        </is>
      </c>
      <c r="H16" t="inlineStr">
        <is>
          <t>leaf pulverized</t>
        </is>
      </c>
      <c r="I16" t="inlineStr"/>
      <c r="J16" t="n">
        <v>2025</v>
      </c>
      <c r="K16" t="n">
        <v>41.5303356058943</v>
      </c>
      <c r="L16" t="n">
        <v>0.444560767</v>
      </c>
      <c r="M16" t="n">
        <v>0.029246209</v>
      </c>
      <c r="N16" t="n">
        <v>-31.6330854718982</v>
      </c>
      <c r="O16" t="inlineStr"/>
      <c r="P16" t="n">
        <v>48.07260224278719</v>
      </c>
      <c r="Q16" t="n">
        <v>8975</v>
      </c>
      <c r="R16" t="inlineStr"/>
      <c r="S16" t="inlineStr"/>
      <c r="T16" t="inlineStr">
        <is>
          <t>p23-8975</t>
        </is>
      </c>
      <c r="U16" t="n">
        <v>-29.7107721724254</v>
      </c>
      <c r="V16" t="n">
        <v>-1.064063131313134</v>
      </c>
      <c r="W16" t="n">
        <v>21.75719524341343</v>
      </c>
      <c r="X16" t="inlineStr">
        <is>
          <t>Galeras</t>
        </is>
      </c>
      <c r="Y16" t="n">
        <v>1000</v>
      </c>
      <c r="Z16" t="n">
        <v>23</v>
      </c>
      <c r="AA16" t="inlineStr">
        <is>
          <t>Galeras</t>
        </is>
      </c>
      <c r="AB16" t="inlineStr">
        <is>
          <t>GAL_23</t>
        </is>
      </c>
      <c r="AC16" t="n">
        <v>563</v>
      </c>
      <c r="AD16" t="n">
        <v>1</v>
      </c>
      <c r="AE16" t="inlineStr"/>
      <c r="AF16" t="inlineStr"/>
      <c r="AG16" t="inlineStr"/>
      <c r="AH16" t="inlineStr">
        <is>
          <t>Fabaceae</t>
        </is>
      </c>
      <c r="AI16" t="inlineStr">
        <is>
          <t>Inga</t>
        </is>
      </c>
      <c r="AJ16" t="inlineStr">
        <is>
          <t>capitata</t>
        </is>
      </c>
      <c r="AK16" s="2" t="n">
        <v>38653</v>
      </c>
      <c r="AL16" t="n">
        <v>12.09577567498405</v>
      </c>
      <c r="AM16" t="inlineStr"/>
      <c r="AN16" t="inlineStr"/>
      <c r="AO16" t="inlineStr"/>
      <c r="AP16" t="inlineStr"/>
      <c r="AQ16" t="inlineStr">
        <is>
          <t>3744</t>
        </is>
      </c>
      <c r="AR16" t="inlineStr"/>
      <c r="AS16" t="inlineStr">
        <is>
          <t>Ο</t>
        </is>
      </c>
      <c r="AT16" t="inlineStr">
        <is>
          <t>Ø</t>
        </is>
      </c>
      <c r="AU16" t="n">
        <v>8975</v>
      </c>
      <c r="AV16" t="n">
        <v>1</v>
      </c>
      <c r="AW16" t="inlineStr"/>
      <c r="AX16" t="inlineStr"/>
      <c r="AY16" s="2" t="n">
        <v>45541</v>
      </c>
      <c r="AZ16" t="n">
        <v>12.3</v>
      </c>
      <c r="BA16" t="n">
        <v>14.6</v>
      </c>
      <c r="BB16" t="inlineStr"/>
      <c r="BC16" t="inlineStr"/>
      <c r="BD16" t="inlineStr">
        <is>
          <t>A</t>
        </is>
      </c>
      <c r="BE16" t="inlineStr"/>
      <c r="BF16" t="inlineStr"/>
      <c r="BG16" t="inlineStr"/>
      <c r="BH16" t="inlineStr"/>
      <c r="BI16" t="inlineStr"/>
      <c r="BJ16" t="n">
        <v>0.4</v>
      </c>
      <c r="BK16" t="n">
        <v>3.8</v>
      </c>
      <c r="BL16" t="n">
        <v>0.87</v>
      </c>
      <c r="BM16" t="n">
        <v>0.43</v>
      </c>
    </row>
    <row r="17">
      <c r="A17" s="1" t="n">
        <v>15</v>
      </c>
      <c r="B17" t="n">
        <v>342.4240256843915</v>
      </c>
      <c r="C17" t="n">
        <v>0.8092945154912917</v>
      </c>
      <c r="D17" t="n">
        <v>23</v>
      </c>
      <c r="E17" t="inlineStr"/>
      <c r="F17" t="inlineStr">
        <is>
          <t>p23-8985</t>
        </is>
      </c>
      <c r="G17" t="inlineStr">
        <is>
          <t>8985</t>
        </is>
      </c>
      <c r="H17" t="inlineStr">
        <is>
          <t>leaf pulverized</t>
        </is>
      </c>
      <c r="I17" t="inlineStr"/>
      <c r="J17" t="n">
        <v>2025</v>
      </c>
      <c r="K17" t="n">
        <v>41.6439967715565</v>
      </c>
      <c r="L17" t="n">
        <v>0.495707737</v>
      </c>
      <c r="M17" t="n">
        <v>0.02287387</v>
      </c>
      <c r="N17" t="n">
        <v>-31.89090095440085</v>
      </c>
      <c r="O17" t="inlineStr"/>
      <c r="P17" t="n">
        <v>50.4313776347553</v>
      </c>
      <c r="Q17" t="n">
        <v>8985</v>
      </c>
      <c r="R17" t="inlineStr"/>
      <c r="S17" t="inlineStr"/>
      <c r="T17" t="inlineStr">
        <is>
          <t>p23-8985</t>
        </is>
      </c>
      <c r="U17" t="n">
        <v>-29.519304007414</v>
      </c>
      <c r="V17" t="n">
        <v>2.629709595959595</v>
      </c>
      <c r="W17" t="n">
        <v>21.55561063068668</v>
      </c>
      <c r="X17" t="inlineStr">
        <is>
          <t>Galeras</t>
        </is>
      </c>
      <c r="Y17" t="n">
        <v>1000</v>
      </c>
      <c r="Z17" t="n">
        <v>23</v>
      </c>
      <c r="AA17" t="inlineStr">
        <is>
          <t>Galeras</t>
        </is>
      </c>
      <c r="AB17" t="inlineStr">
        <is>
          <t>GAL_23</t>
        </is>
      </c>
      <c r="AC17" t="inlineStr"/>
      <c r="AD17" t="inlineStr"/>
      <c r="AE17" t="inlineStr"/>
      <c r="AF17" t="inlineStr"/>
      <c r="AG17" t="inlineStr"/>
      <c r="AH17" t="inlineStr">
        <is>
          <t>Rubiaceae</t>
        </is>
      </c>
      <c r="AI17" t="inlineStr"/>
      <c r="AJ17" t="inlineStr"/>
      <c r="AK17" t="inlineStr"/>
      <c r="AL17" t="inlineStr"/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n">
        <v>8985</v>
      </c>
      <c r="AV17" t="n">
        <v>1</v>
      </c>
      <c r="AW17" t="inlineStr"/>
      <c r="AX17" t="inlineStr"/>
      <c r="AY17" s="2" t="n">
        <v>45541</v>
      </c>
      <c r="AZ17" t="n">
        <v>29.1</v>
      </c>
      <c r="BA17" t="n">
        <v>10.7</v>
      </c>
      <c r="BB17" t="inlineStr"/>
      <c r="BC17" t="n">
        <v>1</v>
      </c>
      <c r="BD17" t="inlineStr">
        <is>
          <t>C/B</t>
        </is>
      </c>
      <c r="BE17" t="inlineStr"/>
      <c r="BF17" t="inlineStr"/>
      <c r="BG17" t="inlineStr"/>
      <c r="BH17" t="inlineStr">
        <is>
          <t>revisar en campo en que subplot esta C o B</t>
        </is>
      </c>
      <c r="BI17" t="inlineStr">
        <is>
          <t>Posible 577</t>
        </is>
      </c>
      <c r="BJ17" t="inlineStr"/>
      <c r="BK17" t="inlineStr"/>
      <c r="BL17" t="inlineStr"/>
      <c r="BM17" t="inlineStr"/>
    </row>
    <row r="18">
      <c r="A18" s="1" t="n">
        <v>16</v>
      </c>
      <c r="B18" t="n">
        <v>338.8832799126184</v>
      </c>
      <c r="C18" t="n">
        <v>0.8009262179452368</v>
      </c>
      <c r="D18" t="n">
        <v>23</v>
      </c>
      <c r="E18" t="inlineStr"/>
      <c r="F18" t="inlineStr">
        <is>
          <t>p23-8989</t>
        </is>
      </c>
      <c r="G18" t="inlineStr">
        <is>
          <t>8989</t>
        </is>
      </c>
      <c r="H18" t="inlineStr">
        <is>
          <t>leaf pulverized</t>
        </is>
      </c>
      <c r="I18" t="inlineStr"/>
      <c r="J18" t="n">
        <v>2025</v>
      </c>
      <c r="K18" t="n">
        <v>45.4857606024444</v>
      </c>
      <c r="L18" t="n">
        <v>0.460285072</v>
      </c>
      <c r="M18" t="n">
        <v>0.018643937</v>
      </c>
      <c r="N18" t="n">
        <v>-30.85963902439025</v>
      </c>
      <c r="O18" t="inlineStr"/>
      <c r="P18" t="n">
        <v>52.64434374211349</v>
      </c>
      <c r="Q18" t="n">
        <v>8989</v>
      </c>
      <c r="R18" t="inlineStr"/>
      <c r="S18" t="inlineStr"/>
      <c r="T18" t="inlineStr">
        <is>
          <t>p23-8989</t>
        </is>
      </c>
      <c r="U18" t="n">
        <v>-29.3396028599395</v>
      </c>
      <c r="V18" t="n">
        <v>2.132886363636362</v>
      </c>
      <c r="W18" t="n">
        <v>21.36648710614584</v>
      </c>
      <c r="X18" t="inlineStr">
        <is>
          <t>Galeras</t>
        </is>
      </c>
      <c r="Y18" t="n">
        <v>1000</v>
      </c>
      <c r="Z18" t="n">
        <v>23</v>
      </c>
      <c r="AA18" t="inlineStr">
        <is>
          <t>Galeras</t>
        </is>
      </c>
      <c r="AB18" t="inlineStr">
        <is>
          <t>GAL_23</t>
        </is>
      </c>
      <c r="AC18" t="n">
        <v>558</v>
      </c>
      <c r="AD18" t="n">
        <v>1</v>
      </c>
      <c r="AE18" t="inlineStr"/>
      <c r="AF18" t="inlineStr"/>
      <c r="AG18" t="inlineStr"/>
      <c r="AH18" t="inlineStr">
        <is>
          <t>Fabaceae</t>
        </is>
      </c>
      <c r="AI18" t="inlineStr">
        <is>
          <t>Tachigali</t>
        </is>
      </c>
      <c r="AJ18" t="inlineStr"/>
      <c r="AK18" s="2" t="n">
        <v>38653</v>
      </c>
      <c r="AL18" t="n">
        <v>25.14648100851947</v>
      </c>
      <c r="AM18" t="inlineStr"/>
      <c r="AN18" t="inlineStr"/>
      <c r="AO18" t="inlineStr"/>
      <c r="AP18" t="inlineStr"/>
      <c r="AQ18" t="inlineStr">
        <is>
          <t>3738</t>
        </is>
      </c>
      <c r="AR18" t="inlineStr"/>
      <c r="AS18" t="inlineStr">
        <is>
          <t>Ο</t>
        </is>
      </c>
      <c r="AT18" t="inlineStr">
        <is>
          <t>Ø</t>
        </is>
      </c>
      <c r="AU18" t="n">
        <v>8989</v>
      </c>
      <c r="AV18" t="n">
        <v>1</v>
      </c>
      <c r="AW18" t="inlineStr"/>
      <c r="AX18" t="inlineStr"/>
      <c r="AY18" s="2" t="n">
        <v>45541</v>
      </c>
      <c r="AZ18" t="n">
        <v>36.7</v>
      </c>
      <c r="BA18" t="n">
        <v>23.2</v>
      </c>
      <c r="BB18" t="inlineStr"/>
      <c r="BC18" t="inlineStr"/>
      <c r="BD18" t="inlineStr">
        <is>
          <t>B</t>
        </is>
      </c>
      <c r="BE18" t="inlineStr"/>
      <c r="BF18" t="inlineStr"/>
      <c r="BG18" t="inlineStr"/>
      <c r="BH18" t="inlineStr"/>
      <c r="BI18" t="inlineStr"/>
      <c r="BJ18" t="n">
        <v>1.1</v>
      </c>
      <c r="BK18" t="n">
        <v>6.2</v>
      </c>
      <c r="BL18" t="n">
        <v>1.57</v>
      </c>
      <c r="BM18" t="n">
        <v>0.83</v>
      </c>
    </row>
    <row r="19">
      <c r="A19" s="1" t="n">
        <v>17</v>
      </c>
      <c r="B19" t="n">
        <v>375.4311319103849</v>
      </c>
      <c r="C19" t="n">
        <v>0.8873044331293592</v>
      </c>
      <c r="D19" t="n">
        <v>28</v>
      </c>
      <c r="E19" t="inlineStr"/>
      <c r="F19" t="inlineStr">
        <is>
          <t>p28-8702</t>
        </is>
      </c>
      <c r="G19" t="inlineStr">
        <is>
          <t>8702</t>
        </is>
      </c>
      <c r="H19" t="inlineStr">
        <is>
          <t>leaf pulverized</t>
        </is>
      </c>
      <c r="I19" t="inlineStr"/>
      <c r="J19" t="n">
        <v>2025</v>
      </c>
      <c r="K19" t="n">
        <v>42.5086207928534</v>
      </c>
      <c r="L19" t="n">
        <v>0.348523842</v>
      </c>
      <c r="M19" t="n">
        <v>0.010451804</v>
      </c>
      <c r="N19" t="n">
        <v>-32.58184644750796</v>
      </c>
      <c r="O19" t="inlineStr"/>
      <c r="P19" t="n">
        <v>29.80193624350945</v>
      </c>
      <c r="Q19" t="n">
        <v>8702</v>
      </c>
      <c r="R19" t="inlineStr"/>
      <c r="S19" t="inlineStr"/>
      <c r="T19" t="inlineStr">
        <is>
          <t>p28-8702</t>
        </is>
      </c>
      <c r="U19" t="n">
        <v>-31.1912963223841</v>
      </c>
      <c r="V19" t="n">
        <v>1.528058080808079</v>
      </c>
      <c r="W19" t="n">
        <v>23.31863476930701</v>
      </c>
      <c r="X19" t="inlineStr">
        <is>
          <t>Galeras</t>
        </is>
      </c>
      <c r="Y19" t="n">
        <v>2000</v>
      </c>
      <c r="Z19" t="n">
        <v>28</v>
      </c>
      <c r="AA19" t="inlineStr">
        <is>
          <t>Galeras</t>
        </is>
      </c>
      <c r="AB19" t="inlineStr">
        <is>
          <t>GAL_28</t>
        </is>
      </c>
      <c r="AC19" t="n">
        <v>757</v>
      </c>
      <c r="AD19" t="n">
        <v>1</v>
      </c>
      <c r="AE19" t="inlineStr"/>
      <c r="AF19" t="inlineStr"/>
      <c r="AG19" t="inlineStr"/>
      <c r="AH19" t="inlineStr">
        <is>
          <t>Peraceae</t>
        </is>
      </c>
      <c r="AI19" t="inlineStr">
        <is>
          <t>Chaetocarpus</t>
        </is>
      </c>
      <c r="AJ19" t="inlineStr"/>
      <c r="AK19" s="2" t="n">
        <v>38821</v>
      </c>
      <c r="AL19" t="n">
        <v>14.00563499208679</v>
      </c>
      <c r="AM19" t="inlineStr"/>
      <c r="AN19" t="inlineStr"/>
      <c r="AO19" t="inlineStr"/>
      <c r="AP19" t="inlineStr"/>
      <c r="AQ19" t="inlineStr">
        <is>
          <t>3580</t>
        </is>
      </c>
      <c r="AR19" t="inlineStr"/>
      <c r="AS19" t="inlineStr">
        <is>
          <t>Ο</t>
        </is>
      </c>
      <c r="AT19" t="inlineStr">
        <is>
          <t>Ø</t>
        </is>
      </c>
      <c r="AU19" t="n">
        <v>8702</v>
      </c>
      <c r="AV19" t="n">
        <v>1</v>
      </c>
      <c r="AW19" t="inlineStr"/>
      <c r="AX19" t="inlineStr"/>
      <c r="AY19" s="2" t="n">
        <v>45538</v>
      </c>
      <c r="AZ19" t="n">
        <v>13.85</v>
      </c>
      <c r="BA19" t="n">
        <v>10.4</v>
      </c>
      <c r="BB19" t="inlineStr"/>
      <c r="BC19" t="inlineStr"/>
      <c r="BD19" t="inlineStr">
        <is>
          <t>A</t>
        </is>
      </c>
      <c r="BE19" t="inlineStr"/>
      <c r="BF19" t="inlineStr"/>
      <c r="BG19" t="inlineStr"/>
      <c r="BH19" t="inlineStr"/>
      <c r="BI19" t="inlineStr">
        <is>
          <t>Antes Euphorbiaceae Ahora Peraceae</t>
        </is>
      </c>
      <c r="BJ19" t="n">
        <v>0.8</v>
      </c>
      <c r="BK19" t="n">
        <v>6</v>
      </c>
      <c r="BL19" t="n">
        <v>1.5</v>
      </c>
      <c r="BM19" t="n">
        <v>0.86</v>
      </c>
    </row>
    <row r="20">
      <c r="A20" s="1" t="n">
        <v>18</v>
      </c>
      <c r="B20" t="n">
        <v>359.765951723741</v>
      </c>
      <c r="C20" t="n">
        <v>0.8502809083229583</v>
      </c>
      <c r="D20" t="n">
        <v>28</v>
      </c>
      <c r="E20" t="inlineStr"/>
      <c r="F20" t="inlineStr">
        <is>
          <t>p28-8713</t>
        </is>
      </c>
      <c r="G20" t="inlineStr">
        <is>
          <t>8713</t>
        </is>
      </c>
      <c r="H20" t="inlineStr">
        <is>
          <t>leaf pulverized</t>
        </is>
      </c>
      <c r="I20" t="inlineStr"/>
      <c r="J20" t="n">
        <v>2025</v>
      </c>
      <c r="K20" t="n">
        <v>41.4838720382917</v>
      </c>
      <c r="L20" t="n">
        <v>0.446465811</v>
      </c>
      <c r="M20" t="n">
        <v>0.018573859</v>
      </c>
      <c r="N20" t="n">
        <v>-32.6437221633086</v>
      </c>
      <c r="O20" t="inlineStr"/>
      <c r="P20" t="n">
        <v>39.59267386016187</v>
      </c>
      <c r="Q20" t="n">
        <v>8713</v>
      </c>
      <c r="R20" t="inlineStr"/>
      <c r="S20" t="inlineStr"/>
      <c r="T20" t="inlineStr">
        <is>
          <t>p28-8713</t>
        </is>
      </c>
      <c r="U20" t="n">
        <v>-30.3984872633766</v>
      </c>
      <c r="V20" t="n">
        <v>0.4480075757575734</v>
      </c>
      <c r="W20" t="n">
        <v>22.48190310868235</v>
      </c>
      <c r="X20" t="inlineStr">
        <is>
          <t>Galeras</t>
        </is>
      </c>
      <c r="Y20" t="n">
        <v>2000</v>
      </c>
      <c r="Z20" t="n">
        <v>28</v>
      </c>
      <c r="AA20" t="inlineStr">
        <is>
          <t>Galeras</t>
        </is>
      </c>
      <c r="AB20" t="inlineStr">
        <is>
          <t>GAL_28</t>
        </is>
      </c>
      <c r="AC20" t="inlineStr"/>
      <c r="AD20" t="inlineStr"/>
      <c r="AE20" t="inlineStr"/>
      <c r="AF20" t="inlineStr"/>
      <c r="AG20" t="inlineStr"/>
      <c r="AH20" t="inlineStr">
        <is>
          <t>Urticaceae</t>
        </is>
      </c>
      <c r="AI20" t="inlineStr">
        <is>
          <t>Pourouma</t>
        </is>
      </c>
      <c r="AJ20" t="inlineStr">
        <is>
          <t>minor</t>
        </is>
      </c>
      <c r="AK20" t="inlineStr"/>
      <c r="AL20" t="inlineStr"/>
      <c r="AM20" t="inlineStr"/>
      <c r="AN20" t="inlineStr"/>
      <c r="AO20" t="inlineStr"/>
      <c r="AP20" t="inlineStr"/>
      <c r="AQ20" t="inlineStr"/>
      <c r="AR20" t="inlineStr"/>
      <c r="AS20" t="inlineStr">
        <is>
          <t>Ο</t>
        </is>
      </c>
      <c r="AT20" t="inlineStr">
        <is>
          <t>Ø</t>
        </is>
      </c>
      <c r="AU20" t="n">
        <v>8713</v>
      </c>
      <c r="AV20" t="n">
        <v>1</v>
      </c>
      <c r="AW20" t="inlineStr"/>
      <c r="AX20" t="inlineStr"/>
      <c r="AY20" s="2" t="n">
        <v>45538</v>
      </c>
      <c r="AZ20" t="n">
        <v>23</v>
      </c>
      <c r="BA20" t="n">
        <v>15.5</v>
      </c>
      <c r="BB20" t="inlineStr"/>
      <c r="BC20" t="n">
        <v>1</v>
      </c>
      <c r="BD20" t="inlineStr">
        <is>
          <t>B</t>
        </is>
      </c>
      <c r="BE20" t="inlineStr"/>
      <c r="BF20" t="inlineStr"/>
      <c r="BG20" t="inlineStr"/>
      <c r="BH20" t="inlineStr">
        <is>
          <t>POM 1.30 m</t>
        </is>
      </c>
      <c r="BI20" t="inlineStr"/>
      <c r="BJ20" t="n">
        <v>1.4</v>
      </c>
      <c r="BK20" t="n">
        <v>2.85</v>
      </c>
      <c r="BL20" t="n">
        <v>0.6</v>
      </c>
      <c r="BM20" t="n">
        <v>0.2</v>
      </c>
    </row>
    <row r="21">
      <c r="A21" s="1" t="n">
        <v>19</v>
      </c>
      <c r="B21" t="n">
        <v>348.252647954403</v>
      </c>
      <c r="C21" t="n">
        <v>0.8230700443157158</v>
      </c>
      <c r="D21" t="n">
        <v>28</v>
      </c>
      <c r="E21" t="inlineStr"/>
      <c r="F21" t="inlineStr">
        <is>
          <t>p28-8711</t>
        </is>
      </c>
      <c r="G21" t="inlineStr">
        <is>
          <t>8711</t>
        </is>
      </c>
      <c r="H21" t="inlineStr">
        <is>
          <t>leaf pulverized</t>
        </is>
      </c>
      <c r="I21" t="inlineStr"/>
      <c r="J21" t="n">
        <v>2025</v>
      </c>
      <c r="K21" t="n">
        <v>43.6843747584017</v>
      </c>
      <c r="L21" t="n">
        <v>0.469511845</v>
      </c>
      <c r="M21" t="n">
        <v>0.025007091</v>
      </c>
      <c r="N21" t="n">
        <v>-31.36495737009544</v>
      </c>
      <c r="O21" t="inlineStr"/>
      <c r="P21" t="n">
        <v>46.78848871599813</v>
      </c>
      <c r="Q21" t="n">
        <v>8711</v>
      </c>
      <c r="R21" t="inlineStr"/>
      <c r="S21" t="inlineStr"/>
      <c r="T21" t="inlineStr">
        <is>
          <t>p28-8711</t>
        </is>
      </c>
      <c r="U21" t="n">
        <v>-29.8149753765473</v>
      </c>
      <c r="V21" t="n">
        <v>-0.7292474747474775</v>
      </c>
      <c r="W21" t="n">
        <v>21.86693758211867</v>
      </c>
      <c r="X21" t="inlineStr">
        <is>
          <t>Galeras</t>
        </is>
      </c>
      <c r="Y21" t="n">
        <v>2000</v>
      </c>
      <c r="Z21" t="n">
        <v>28</v>
      </c>
      <c r="AA21" t="inlineStr">
        <is>
          <t>Galeras</t>
        </is>
      </c>
      <c r="AB21" t="inlineStr">
        <is>
          <t>GAL_28</t>
        </is>
      </c>
      <c r="AC21" t="n">
        <v>748</v>
      </c>
      <c r="AD21" t="n">
        <v>1</v>
      </c>
      <c r="AE21" t="inlineStr"/>
      <c r="AF21" t="inlineStr"/>
      <c r="AG21" t="inlineStr"/>
      <c r="AH21" t="inlineStr">
        <is>
          <t>Fabaceae</t>
        </is>
      </c>
      <c r="AI21" t="inlineStr">
        <is>
          <t>Diplotropis</t>
        </is>
      </c>
      <c r="AJ21" t="inlineStr">
        <is>
          <t>aff purpurea</t>
        </is>
      </c>
      <c r="AK21" s="2" t="n">
        <v>38821</v>
      </c>
      <c r="AL21" t="n">
        <v>22.28169203286535</v>
      </c>
      <c r="AM21" t="inlineStr"/>
      <c r="AN21" t="inlineStr"/>
      <c r="AO21" t="inlineStr"/>
      <c r="AP21" t="inlineStr"/>
      <c r="AQ21">
        <f>3579</f>
        <v/>
      </c>
      <c r="AR21" t="inlineStr"/>
      <c r="AS21" t="inlineStr">
        <is>
          <t>Ο</t>
        </is>
      </c>
      <c r="AT21" t="inlineStr">
        <is>
          <t>Ø</t>
        </is>
      </c>
      <c r="AU21" t="n">
        <v>8711</v>
      </c>
      <c r="AV21" t="n">
        <v>1</v>
      </c>
      <c r="AW21" t="inlineStr"/>
      <c r="AX21" t="inlineStr"/>
      <c r="AY21" s="2" t="n">
        <v>45538</v>
      </c>
      <c r="AZ21" t="n">
        <v>22.95</v>
      </c>
      <c r="BA21" t="n">
        <v>14.2</v>
      </c>
      <c r="BB21" t="inlineStr"/>
      <c r="BC21" t="inlineStr"/>
      <c r="BD21" t="inlineStr">
        <is>
          <t>B</t>
        </is>
      </c>
      <c r="BE21" t="inlineStr"/>
      <c r="BF21" t="inlineStr"/>
      <c r="BG21" t="inlineStr"/>
      <c r="BH21" t="inlineStr">
        <is>
          <t>POM 1.30 m</t>
        </is>
      </c>
      <c r="BI21" t="inlineStr"/>
      <c r="BJ21" t="n">
        <v>0.8</v>
      </c>
      <c r="BK21" t="n">
        <v>4.4</v>
      </c>
      <c r="BL21" t="n">
        <v>1.14</v>
      </c>
      <c r="BM21" t="n">
        <v>0.57</v>
      </c>
    </row>
    <row r="22">
      <c r="A22" s="1" t="n">
        <v>20</v>
      </c>
      <c r="B22" t="n">
        <v>340.8573705778823</v>
      </c>
      <c r="C22" t="n">
        <v>0.8055918390134065</v>
      </c>
      <c r="D22" t="n">
        <v>23</v>
      </c>
      <c r="E22" t="inlineStr"/>
      <c r="F22" t="inlineStr">
        <is>
          <t>p23-8982</t>
        </is>
      </c>
      <c r="G22" t="inlineStr">
        <is>
          <t>8982</t>
        </is>
      </c>
      <c r="H22" t="inlineStr">
        <is>
          <t>leaf pulverized</t>
        </is>
      </c>
      <c r="I22" t="inlineStr"/>
      <c r="J22" t="n">
        <v>2025</v>
      </c>
      <c r="K22" t="n">
        <v>42.6094512384768</v>
      </c>
      <c r="L22" t="n">
        <v>0.439969982</v>
      </c>
      <c r="M22" t="n">
        <v>0.018394413</v>
      </c>
      <c r="N22" t="n">
        <v>-31.47839618239661</v>
      </c>
      <c r="O22" t="inlineStr"/>
      <c r="P22" t="n">
        <v>51.41053707632359</v>
      </c>
      <c r="Q22" t="n">
        <v>8982</v>
      </c>
      <c r="R22" t="inlineStr"/>
      <c r="S22" t="inlineStr"/>
      <c r="T22" t="inlineStr">
        <is>
          <t>p23-8982</t>
        </is>
      </c>
      <c r="U22" t="n">
        <v>-29.4398007961879</v>
      </c>
      <c r="V22" t="n">
        <v>2.996926767676766</v>
      </c>
      <c r="W22" t="n">
        <v>21.47193014228648</v>
      </c>
      <c r="X22" t="inlineStr">
        <is>
          <t>Galeras</t>
        </is>
      </c>
      <c r="Y22" t="n">
        <v>1000</v>
      </c>
      <c r="Z22" t="n">
        <v>23</v>
      </c>
      <c r="AA22" t="inlineStr">
        <is>
          <t>Galeras</t>
        </is>
      </c>
      <c r="AB22" t="inlineStr">
        <is>
          <t>GAL_23</t>
        </is>
      </c>
      <c r="AC22" t="n">
        <v>560</v>
      </c>
      <c r="AD22" t="n">
        <v>1</v>
      </c>
      <c r="AE22" t="inlineStr"/>
      <c r="AF22" t="inlineStr"/>
      <c r="AG22" t="inlineStr"/>
      <c r="AH22" t="inlineStr">
        <is>
          <t>Sapotaceae</t>
        </is>
      </c>
      <c r="AI22" t="inlineStr">
        <is>
          <t>Lucuma</t>
        </is>
      </c>
      <c r="AJ22" t="inlineStr">
        <is>
          <t>multiflora</t>
        </is>
      </c>
      <c r="AK22" s="2" t="n">
        <v>38653</v>
      </c>
      <c r="AL22" t="n">
        <v>13.36901521971921</v>
      </c>
      <c r="AM22" t="inlineStr"/>
      <c r="AN22" t="inlineStr"/>
      <c r="AO22" t="inlineStr"/>
      <c r="AP22" t="inlineStr"/>
      <c r="AQ22" t="inlineStr">
        <is>
          <t>3740</t>
        </is>
      </c>
      <c r="AR22" t="n">
        <v>1</v>
      </c>
      <c r="AS22" t="inlineStr">
        <is>
          <t>Ο</t>
        </is>
      </c>
      <c r="AT22" t="inlineStr">
        <is>
          <t>Ø</t>
        </is>
      </c>
      <c r="AU22" t="n">
        <v>8982</v>
      </c>
      <c r="AV22" t="n">
        <v>1</v>
      </c>
      <c r="AW22" t="inlineStr"/>
      <c r="AX22" t="inlineStr"/>
      <c r="AY22" s="2" t="n">
        <v>45541</v>
      </c>
      <c r="AZ22" t="n">
        <v>14</v>
      </c>
      <c r="BA22" t="n">
        <v>7.7</v>
      </c>
      <c r="BB22" t="inlineStr"/>
      <c r="BC22" t="inlineStr"/>
      <c r="BD22" t="inlineStr">
        <is>
          <t>B</t>
        </is>
      </c>
      <c r="BE22" t="inlineStr"/>
      <c r="BF22" t="inlineStr"/>
      <c r="BG22" t="inlineStr"/>
      <c r="BH22" t="inlineStr">
        <is>
          <t>Con placa vieja</t>
        </is>
      </c>
      <c r="BI22" t="inlineStr">
        <is>
          <t>Antes Pouteria m. Ahora Lucuma m.</t>
        </is>
      </c>
      <c r="BJ22" t="n">
        <v>0.4</v>
      </c>
      <c r="BK22" t="n">
        <v>4.75</v>
      </c>
      <c r="BL22" t="n">
        <v>1.29</v>
      </c>
      <c r="BM22" t="n">
        <v>0.7</v>
      </c>
    </row>
    <row r="23">
      <c r="A23" s="1" t="n">
        <v>21</v>
      </c>
      <c r="B23" t="n">
        <v>384.3795338221055</v>
      </c>
      <c r="C23" t="n">
        <v>0.9084533363790455</v>
      </c>
      <c r="D23" t="n">
        <v>22</v>
      </c>
      <c r="E23" t="inlineStr"/>
      <c r="F23" t="inlineStr">
        <is>
          <t>p22-8962</t>
        </is>
      </c>
      <c r="G23" t="inlineStr">
        <is>
          <t>8962</t>
        </is>
      </c>
      <c r="H23" t="inlineStr">
        <is>
          <t>leaf pulverized</t>
        </is>
      </c>
      <c r="I23" t="inlineStr"/>
      <c r="J23" t="n">
        <v>2025</v>
      </c>
      <c r="K23" t="n">
        <v>41.2453944867987</v>
      </c>
      <c r="L23" t="n">
        <v>0.447937109</v>
      </c>
      <c r="M23" t="n">
        <v>0.029902414</v>
      </c>
      <c r="N23" t="n">
        <v>-33.57185790031813</v>
      </c>
      <c r="O23" t="inlineStr"/>
      <c r="P23" t="n">
        <v>24.20918504868408</v>
      </c>
      <c r="Q23" t="n">
        <v>8962</v>
      </c>
      <c r="R23" t="inlineStr"/>
      <c r="S23" t="inlineStr"/>
      <c r="T23" t="inlineStr">
        <is>
          <t>p22-8962</t>
        </is>
      </c>
      <c r="U23" t="n">
        <v>-31.6435901264917</v>
      </c>
      <c r="V23" t="n">
        <v>0.05918939393939154</v>
      </c>
      <c r="W23" t="n">
        <v>23.79659998274992</v>
      </c>
      <c r="X23" t="inlineStr">
        <is>
          <t>Galeras</t>
        </is>
      </c>
      <c r="Y23" t="n">
        <v>1000</v>
      </c>
      <c r="Z23" t="n">
        <v>22</v>
      </c>
      <c r="AA23" t="inlineStr">
        <is>
          <t>Galeras</t>
        </is>
      </c>
      <c r="AB23" t="inlineStr">
        <is>
          <t>GAL_22</t>
        </is>
      </c>
      <c r="AC23" t="n">
        <v>543</v>
      </c>
      <c r="AD23" t="n">
        <v>1</v>
      </c>
      <c r="AE23" t="n">
        <v>1</v>
      </c>
      <c r="AF23" t="n">
        <v>0</v>
      </c>
      <c r="AG23" t="n">
        <v>0</v>
      </c>
      <c r="AH23" t="inlineStr">
        <is>
          <t>Fabaceae</t>
        </is>
      </c>
      <c r="AI23" t="inlineStr">
        <is>
          <t>Jupunba</t>
        </is>
      </c>
      <c r="AJ23" t="inlineStr">
        <is>
          <t>trapezifolia var. micradenia</t>
        </is>
      </c>
      <c r="AK23" s="2" t="n">
        <v>38823</v>
      </c>
      <c r="AL23" t="n">
        <v>10.28</v>
      </c>
      <c r="AM23" s="2" t="n">
        <v>40724</v>
      </c>
      <c r="AN23" t="inlineStr">
        <is>
          <t>10,27</t>
        </is>
      </c>
      <c r="AO23" t="inlineStr">
        <is>
          <t>10,7</t>
        </is>
      </c>
      <c r="AP23" t="inlineStr"/>
      <c r="AQ23" t="n">
        <v>2037</v>
      </c>
      <c r="AR23" t="n">
        <v>1</v>
      </c>
      <c r="AS23" t="inlineStr">
        <is>
          <t>Ο</t>
        </is>
      </c>
      <c r="AT23" t="inlineStr">
        <is>
          <t>Ø</t>
        </is>
      </c>
      <c r="AU23" t="n">
        <v>8962</v>
      </c>
      <c r="AV23" t="n">
        <v>1</v>
      </c>
      <c r="AW23" t="inlineStr"/>
      <c r="AX23" t="inlineStr"/>
      <c r="AY23" s="2" t="n">
        <v>45541</v>
      </c>
      <c r="AZ23" t="n">
        <v>10.8</v>
      </c>
      <c r="BA23" t="n">
        <v>8</v>
      </c>
      <c r="BB23" t="inlineStr"/>
      <c r="BC23" t="inlineStr"/>
      <c r="BD23" t="inlineStr">
        <is>
          <t>C</t>
        </is>
      </c>
      <c r="BE23" t="inlineStr"/>
      <c r="BF23" t="inlineStr"/>
      <c r="BG23" t="inlineStr"/>
      <c r="BH23" t="inlineStr"/>
      <c r="BI23" t="inlineStr">
        <is>
          <t>Antes Abarema jupunba Ahora Jupunba trapezifolia var. micradenia</t>
        </is>
      </c>
      <c r="BJ23" t="n">
        <v>0.4</v>
      </c>
      <c r="BK23" t="n">
        <v>4.1</v>
      </c>
      <c r="BL23" t="n">
        <v>0.97</v>
      </c>
      <c r="BM23" t="n">
        <v>0.51</v>
      </c>
    </row>
    <row r="24">
      <c r="A24" s="1" t="n">
        <v>22</v>
      </c>
      <c r="B24" t="n">
        <v>420.4711326184132</v>
      </c>
      <c r="C24" t="n">
        <v>0.9937532299913159</v>
      </c>
      <c r="D24" t="n">
        <v>22</v>
      </c>
      <c r="E24" t="inlineStr"/>
      <c r="F24" t="inlineStr">
        <is>
          <t>p22-8966</t>
        </is>
      </c>
      <c r="G24" t="inlineStr">
        <is>
          <t>8966</t>
        </is>
      </c>
      <c r="H24" t="inlineStr">
        <is>
          <t>leaf pulverized</t>
        </is>
      </c>
      <c r="I24" t="inlineStr"/>
      <c r="J24" t="n">
        <v>2025</v>
      </c>
      <c r="K24" t="n">
        <v>45.2066695761991</v>
      </c>
      <c r="L24" t="n">
        <v>0.473049903</v>
      </c>
      <c r="M24" t="n">
        <v>0.023312172</v>
      </c>
      <c r="N24" t="n">
        <v>-34.51030625662779</v>
      </c>
      <c r="O24" t="inlineStr"/>
      <c r="P24" t="n">
        <v>1.651935800991749</v>
      </c>
      <c r="Q24" t="n">
        <v>8966</v>
      </c>
      <c r="R24" t="inlineStr"/>
      <c r="S24" t="inlineStr"/>
      <c r="T24" t="inlineStr">
        <is>
          <t>p22-8966</t>
        </is>
      </c>
      <c r="U24" t="n">
        <v>-33.4635486186094</v>
      </c>
      <c r="V24" t="n">
        <v>2.100484848484847</v>
      </c>
      <c r="W24" t="n">
        <v>25.72437757838723</v>
      </c>
      <c r="X24" t="inlineStr">
        <is>
          <t>Galeras</t>
        </is>
      </c>
      <c r="Y24" t="n">
        <v>1000</v>
      </c>
      <c r="Z24" t="n">
        <v>22</v>
      </c>
      <c r="AA24" t="inlineStr">
        <is>
          <t>Galeras</t>
        </is>
      </c>
      <c r="AB24" t="inlineStr">
        <is>
          <t>GAL_22</t>
        </is>
      </c>
      <c r="AC24" t="inlineStr"/>
      <c r="AD24" t="inlineStr"/>
      <c r="AE24" t="inlineStr"/>
      <c r="AF24" t="inlineStr"/>
      <c r="AG24" t="inlineStr"/>
      <c r="AH24" t="inlineStr">
        <is>
          <t>Myristicaceae</t>
        </is>
      </c>
      <c r="AI24" t="inlineStr"/>
      <c r="AJ24" t="inlineStr"/>
      <c r="AK24" t="inlineStr"/>
      <c r="AL24" t="inlineStr"/>
      <c r="AM24" t="inlineStr"/>
      <c r="AN24" t="inlineStr"/>
      <c r="AO24" t="inlineStr"/>
      <c r="AP24" t="inlineStr"/>
      <c r="AQ24" t="inlineStr"/>
      <c r="AR24" t="inlineStr"/>
      <c r="AS24" t="inlineStr">
        <is>
          <t>Ο</t>
        </is>
      </c>
      <c r="AT24" t="inlineStr">
        <is>
          <t>Ø</t>
        </is>
      </c>
      <c r="AU24" t="n">
        <v>8966</v>
      </c>
      <c r="AV24" t="n">
        <v>1</v>
      </c>
      <c r="AW24" t="inlineStr"/>
      <c r="AX24" t="inlineStr"/>
      <c r="AY24" s="2" t="n">
        <v>45541</v>
      </c>
      <c r="AZ24" t="n">
        <v>11.1</v>
      </c>
      <c r="BA24" t="n">
        <v>9.9</v>
      </c>
      <c r="BB24" t="inlineStr"/>
      <c r="BC24" t="n">
        <v>1</v>
      </c>
      <c r="BD24" t="inlineStr">
        <is>
          <t>D</t>
        </is>
      </c>
      <c r="BE24" t="inlineStr"/>
      <c r="BF24" t="inlineStr"/>
      <c r="BG24" t="inlineStr"/>
      <c r="BH24" t="inlineStr"/>
      <c r="BI24" t="inlineStr"/>
      <c r="BJ24" t="n">
        <v>0.7</v>
      </c>
      <c r="BK24" t="inlineStr">
        <is>
          <t>3.6-2.5</t>
        </is>
      </c>
      <c r="BL24" t="n">
        <v>1.15</v>
      </c>
      <c r="BM24" t="n">
        <v>0.57</v>
      </c>
    </row>
    <row r="25">
      <c r="A25" s="1" t="n">
        <v>23</v>
      </c>
      <c r="B25" t="n">
        <v>352.0118021905013</v>
      </c>
      <c r="C25" t="n">
        <v>0.8319545345324281</v>
      </c>
      <c r="D25" t="n">
        <v>22</v>
      </c>
      <c r="E25" t="inlineStr"/>
      <c r="F25" t="inlineStr">
        <is>
          <t>p22-8961</t>
        </is>
      </c>
      <c r="G25" t="inlineStr">
        <is>
          <t>8961</t>
        </is>
      </c>
      <c r="H25" t="inlineStr">
        <is>
          <t>leaf pulverized</t>
        </is>
      </c>
      <c r="I25" t="inlineStr"/>
      <c r="J25" t="n">
        <v>2025</v>
      </c>
      <c r="K25" t="n">
        <v>42.9734858344922</v>
      </c>
      <c r="L25" t="n">
        <v>0.459607526</v>
      </c>
      <c r="M25" t="n">
        <v>0.027952579</v>
      </c>
      <c r="N25" t="n">
        <v>-32.3137183457052</v>
      </c>
      <c r="O25" t="inlineStr"/>
      <c r="P25" t="n">
        <v>44.43901731843671</v>
      </c>
      <c r="Q25" t="n">
        <v>8961</v>
      </c>
      <c r="R25" t="inlineStr"/>
      <c r="S25" t="inlineStr"/>
      <c r="T25" t="inlineStr">
        <is>
          <t>p22-8961</t>
        </is>
      </c>
      <c r="U25" t="n">
        <v>-30.0055722815965</v>
      </c>
      <c r="V25" t="n">
        <v>1.484856060606059</v>
      </c>
      <c r="W25" t="n">
        <v>22.06772706101637</v>
      </c>
      <c r="X25" t="inlineStr">
        <is>
          <t>Galeras</t>
        </is>
      </c>
      <c r="Y25" t="n">
        <v>1000</v>
      </c>
      <c r="Z25" t="n">
        <v>22</v>
      </c>
      <c r="AA25" t="inlineStr">
        <is>
          <t>Galeras</t>
        </is>
      </c>
      <c r="AB25" t="inlineStr">
        <is>
          <t>GAL_22</t>
        </is>
      </c>
      <c r="AC25" t="n">
        <v>531</v>
      </c>
      <c r="AD25" t="n">
        <v>1</v>
      </c>
      <c r="AE25" t="n">
        <v>1</v>
      </c>
      <c r="AF25" t="n">
        <v>0</v>
      </c>
      <c r="AG25" t="n">
        <v>0</v>
      </c>
      <c r="AH25" t="inlineStr">
        <is>
          <t>Fabaceae</t>
        </is>
      </c>
      <c r="AI25" t="inlineStr">
        <is>
          <t>Inga</t>
        </is>
      </c>
      <c r="AJ25" t="inlineStr">
        <is>
          <t>laevigata</t>
        </is>
      </c>
      <c r="AK25" s="2" t="n">
        <v>38823</v>
      </c>
      <c r="AL25" t="n">
        <v>18.7</v>
      </c>
      <c r="AM25" s="2" t="n">
        <v>40724</v>
      </c>
      <c r="AN25" t="inlineStr">
        <is>
          <t>18,81</t>
        </is>
      </c>
      <c r="AO25" t="inlineStr">
        <is>
          <t>20,7</t>
        </is>
      </c>
      <c r="AP25" t="inlineStr"/>
      <c r="AQ25" t="n">
        <v>2062</v>
      </c>
      <c r="AR25" t="inlineStr"/>
      <c r="AS25" t="inlineStr">
        <is>
          <t>Ο</t>
        </is>
      </c>
      <c r="AT25" t="inlineStr">
        <is>
          <t>Ø</t>
        </is>
      </c>
      <c r="AU25" t="n">
        <v>8961</v>
      </c>
      <c r="AV25" t="n">
        <v>1</v>
      </c>
      <c r="AW25" t="inlineStr"/>
      <c r="AX25" t="inlineStr"/>
      <c r="AY25" s="2" t="n">
        <v>45541</v>
      </c>
      <c r="AZ25" t="n">
        <v>19.4</v>
      </c>
      <c r="BA25" t="n">
        <v>15.1</v>
      </c>
      <c r="BB25" t="inlineStr"/>
      <c r="BC25" t="inlineStr"/>
      <c r="BD25" t="inlineStr">
        <is>
          <t>C</t>
        </is>
      </c>
      <c r="BE25" t="inlineStr"/>
      <c r="BF25" t="inlineStr"/>
      <c r="BG25" t="inlineStr"/>
      <c r="BH25" t="inlineStr"/>
      <c r="BI25" t="inlineStr">
        <is>
          <t>Antes I. leiocalycina Ahora I. laevigata</t>
        </is>
      </c>
      <c r="BJ25" t="n">
        <v>0.5</v>
      </c>
      <c r="BK25" t="n">
        <v>5.7</v>
      </c>
      <c r="BL25" t="n">
        <v>1.26</v>
      </c>
      <c r="BM25" t="n">
        <v>0.47</v>
      </c>
    </row>
    <row r="26">
      <c r="A26" s="1" t="n">
        <v>24</v>
      </c>
      <c r="B26" t="n">
        <v>391.0454656149924</v>
      </c>
      <c r="C26" t="n">
        <v>0.9242077859385943</v>
      </c>
      <c r="D26" t="n">
        <v>22</v>
      </c>
      <c r="E26" t="inlineStr"/>
      <c r="F26" t="inlineStr">
        <is>
          <t>p22-8965</t>
        </is>
      </c>
      <c r="G26" t="inlineStr">
        <is>
          <t>8965</t>
        </is>
      </c>
      <c r="H26" t="inlineStr">
        <is>
          <t>leaf pulverized</t>
        </is>
      </c>
      <c r="I26" t="inlineStr"/>
      <c r="J26" t="n">
        <v>2025</v>
      </c>
      <c r="K26" t="n">
        <v>44.2499966869261</v>
      </c>
      <c r="L26" t="n">
        <v>0.357138371</v>
      </c>
      <c r="M26" t="n">
        <v>0.020303437</v>
      </c>
      <c r="N26" t="n">
        <v>-32.98403860021209</v>
      </c>
      <c r="O26" t="inlineStr"/>
      <c r="P26" t="n">
        <v>20.04297767812976</v>
      </c>
      <c r="Q26" t="n">
        <v>8965</v>
      </c>
      <c r="R26" t="inlineStr"/>
      <c r="S26" t="inlineStr"/>
      <c r="T26" t="inlineStr">
        <is>
          <t>p22-8965</t>
        </is>
      </c>
      <c r="U26" t="n">
        <v>-31.980242911481</v>
      </c>
      <c r="V26" t="n">
        <v>3.720560606060605</v>
      </c>
      <c r="W26" t="n">
        <v>24.15265054279572</v>
      </c>
      <c r="X26" t="inlineStr">
        <is>
          <t>Galeras</t>
        </is>
      </c>
      <c r="Y26" t="n">
        <v>1000</v>
      </c>
      <c r="Z26" t="n">
        <v>22</v>
      </c>
      <c r="AA26" t="inlineStr">
        <is>
          <t>Galeras</t>
        </is>
      </c>
      <c r="AB26" t="inlineStr">
        <is>
          <t>GAL_22</t>
        </is>
      </c>
      <c r="AC26" t="inlineStr"/>
      <c r="AD26" t="inlineStr"/>
      <c r="AE26" t="inlineStr"/>
      <c r="AF26" t="inlineStr"/>
      <c r="AG26" t="inlineStr"/>
      <c r="AH26" t="inlineStr">
        <is>
          <t>Melastomataceae</t>
        </is>
      </c>
      <c r="AI26" t="inlineStr"/>
      <c r="AJ26" t="inlineStr"/>
      <c r="AK26" t="inlineStr"/>
      <c r="AL26" t="inlineStr"/>
      <c r="AM26" t="inlineStr"/>
      <c r="AN26" t="inlineStr"/>
      <c r="AO26" t="inlineStr"/>
      <c r="AP26" t="inlineStr"/>
      <c r="AQ26" t="inlineStr"/>
      <c r="AR26" t="inlineStr"/>
      <c r="AS26" t="inlineStr">
        <is>
          <t>Ο</t>
        </is>
      </c>
      <c r="AT26" t="inlineStr">
        <is>
          <t>Ø</t>
        </is>
      </c>
      <c r="AU26" t="n">
        <v>8965</v>
      </c>
      <c r="AV26" t="n">
        <v>1</v>
      </c>
      <c r="AW26" t="inlineStr"/>
      <c r="AX26" t="inlineStr"/>
      <c r="AY26" s="2" t="n">
        <v>45541</v>
      </c>
      <c r="AZ26" t="n">
        <v>21.4</v>
      </c>
      <c r="BA26" t="n">
        <v>12.8</v>
      </c>
      <c r="BB26" t="inlineStr"/>
      <c r="BC26" t="n">
        <v>1</v>
      </c>
      <c r="BD26" t="inlineStr">
        <is>
          <t>D</t>
        </is>
      </c>
      <c r="BE26" t="inlineStr"/>
      <c r="BF26" t="inlineStr"/>
      <c r="BG26" t="inlineStr"/>
      <c r="BH26" t="inlineStr"/>
      <c r="BI26" t="inlineStr"/>
      <c r="BJ26" t="n">
        <v>0.8</v>
      </c>
      <c r="BK26" t="inlineStr">
        <is>
          <t>2.3-0.8</t>
        </is>
      </c>
      <c r="BL26" t="n">
        <v>0.76</v>
      </c>
      <c r="BM26" t="n">
        <v>0.38</v>
      </c>
    </row>
    <row r="27">
      <c r="A27" s="1" t="n">
        <v>25</v>
      </c>
      <c r="B27" t="n">
        <v>271.0983053434908</v>
      </c>
      <c r="C27" t="n">
        <v>0.640721313976046</v>
      </c>
      <c r="D27" t="n">
        <v>22</v>
      </c>
      <c r="E27" t="inlineStr"/>
      <c r="F27" t="inlineStr">
        <is>
          <t>p22-8968</t>
        </is>
      </c>
      <c r="G27" t="inlineStr">
        <is>
          <t>8968</t>
        </is>
      </c>
      <c r="H27" t="inlineStr">
        <is>
          <t>leaf pulverized</t>
        </is>
      </c>
      <c r="I27" t="inlineStr"/>
      <c r="J27" t="n">
        <v>2025</v>
      </c>
      <c r="K27" t="n">
        <v>43.9651545875486</v>
      </c>
      <c r="L27" t="n">
        <v>0.471324392</v>
      </c>
      <c r="M27" t="n">
        <v>0.032576278</v>
      </c>
      <c r="N27" t="n">
        <v>-27.78647847295865</v>
      </c>
      <c r="O27" t="inlineStr"/>
      <c r="P27" t="n">
        <v>95.00995284781824</v>
      </c>
      <c r="Q27" t="n">
        <v>8968</v>
      </c>
      <c r="R27" t="inlineStr"/>
      <c r="S27" t="inlineStr"/>
      <c r="T27" t="inlineStr">
        <is>
          <t>p22-8968</t>
        </is>
      </c>
      <c r="U27" t="n">
        <v>-25.8864785486152</v>
      </c>
      <c r="V27" t="n">
        <v>2.003280303030301</v>
      </c>
      <c r="W27" t="n">
        <v>17.74585627644213</v>
      </c>
      <c r="X27" t="inlineStr">
        <is>
          <t>Galeras</t>
        </is>
      </c>
      <c r="Y27" t="n">
        <v>1000</v>
      </c>
      <c r="Z27" t="n">
        <v>22</v>
      </c>
      <c r="AA27" t="inlineStr">
        <is>
          <t>Galeras</t>
        </is>
      </c>
      <c r="AB27" t="inlineStr">
        <is>
          <t>GAL_22</t>
        </is>
      </c>
      <c r="AC27" t="n">
        <v>547</v>
      </c>
      <c r="AD27" t="n">
        <v>1</v>
      </c>
      <c r="AE27" t="n">
        <v>1</v>
      </c>
      <c r="AF27" t="n">
        <v>0</v>
      </c>
      <c r="AG27" t="n">
        <v>0</v>
      </c>
      <c r="AH27" t="inlineStr">
        <is>
          <t>Myristicaceae</t>
        </is>
      </c>
      <c r="AI27" t="inlineStr">
        <is>
          <t>Virola</t>
        </is>
      </c>
      <c r="AJ27" t="inlineStr">
        <is>
          <t>pavonis</t>
        </is>
      </c>
      <c r="AK27" s="2" t="n">
        <v>38823</v>
      </c>
      <c r="AL27" t="n">
        <v>33.2</v>
      </c>
      <c r="AM27" s="2" t="n">
        <v>40724</v>
      </c>
      <c r="AN27" t="n">
        <v>37.24</v>
      </c>
      <c r="AO27" t="inlineStr">
        <is>
          <t>31,5</t>
        </is>
      </c>
      <c r="AP27" t="inlineStr"/>
      <c r="AQ27" t="n">
        <v>3782</v>
      </c>
      <c r="AR27" t="inlineStr"/>
      <c r="AS27" t="inlineStr">
        <is>
          <t>Ο</t>
        </is>
      </c>
      <c r="AT27" t="inlineStr">
        <is>
          <t>Ø</t>
        </is>
      </c>
      <c r="AU27" t="n">
        <v>8968</v>
      </c>
      <c r="AV27" t="n">
        <v>1</v>
      </c>
      <c r="AW27" t="inlineStr"/>
      <c r="AX27" t="inlineStr"/>
      <c r="AY27" s="2" t="n">
        <v>45541</v>
      </c>
      <c r="AZ27" t="n">
        <v>51.5</v>
      </c>
      <c r="BA27" t="n">
        <v>26</v>
      </c>
      <c r="BB27" t="inlineStr"/>
      <c r="BC27" t="inlineStr"/>
      <c r="BD27" t="inlineStr">
        <is>
          <t>D</t>
        </is>
      </c>
      <c r="BE27" t="inlineStr"/>
      <c r="BF27" t="inlineStr"/>
      <c r="BG27" t="inlineStr"/>
      <c r="BH27" t="inlineStr">
        <is>
          <t>Solo colectada hojas jovenes</t>
        </is>
      </c>
      <c r="BI27" t="inlineStr"/>
      <c r="BJ27" t="n">
        <v>1.5</v>
      </c>
      <c r="BK27" t="n">
        <v>6.3</v>
      </c>
      <c r="BL27" t="n">
        <v>1.42</v>
      </c>
      <c r="BM27" t="n">
        <v>0.74</v>
      </c>
    </row>
    <row r="28">
      <c r="A28" s="1" t="n">
        <v>26</v>
      </c>
      <c r="B28" t="n">
        <v>363.5549545815582</v>
      </c>
      <c r="C28" t="n">
        <v>0.8592359436067225</v>
      </c>
      <c r="D28" t="n">
        <v>22</v>
      </c>
      <c r="E28" t="inlineStr"/>
      <c r="F28" t="inlineStr">
        <is>
          <t>p22-8957</t>
        </is>
      </c>
      <c r="G28" t="inlineStr">
        <is>
          <t>8957</t>
        </is>
      </c>
      <c r="H28" t="inlineStr">
        <is>
          <t>leaf pulverized</t>
        </is>
      </c>
      <c r="I28" t="inlineStr"/>
      <c r="J28" t="n">
        <v>2025</v>
      </c>
      <c r="K28" t="n">
        <v>40.6982427243902</v>
      </c>
      <c r="L28" t="n">
        <v>0.479522005</v>
      </c>
      <c r="M28" t="n">
        <v>0.020112342</v>
      </c>
      <c r="N28" t="n">
        <v>-33.55123266171793</v>
      </c>
      <c r="O28" t="inlineStr"/>
      <c r="P28" t="n">
        <v>37.22454707402611</v>
      </c>
      <c r="Q28" t="n">
        <v>8957</v>
      </c>
      <c r="R28" t="inlineStr"/>
      <c r="S28" t="inlineStr"/>
      <c r="T28" t="inlineStr">
        <is>
          <t>p22-8957</t>
        </is>
      </c>
      <c r="U28" t="n">
        <v>-30.5903662612624</v>
      </c>
      <c r="V28" t="n">
        <v>-2.241318181818185</v>
      </c>
      <c r="W28" t="n">
        <v>22.68428690609542</v>
      </c>
      <c r="X28" t="inlineStr">
        <is>
          <t>Galeras</t>
        </is>
      </c>
      <c r="Y28" t="n">
        <v>1000</v>
      </c>
      <c r="Z28" t="n">
        <v>22</v>
      </c>
      <c r="AA28" t="inlineStr">
        <is>
          <t>Galeras</t>
        </is>
      </c>
      <c r="AB28" t="inlineStr">
        <is>
          <t>GAL_22</t>
        </is>
      </c>
      <c r="AC28" t="n">
        <v>537</v>
      </c>
      <c r="AD28" t="n">
        <v>1</v>
      </c>
      <c r="AE28" t="n">
        <v>1</v>
      </c>
      <c r="AF28" t="n">
        <v>0</v>
      </c>
      <c r="AG28" t="n">
        <v>0</v>
      </c>
      <c r="AH28" t="inlineStr">
        <is>
          <t>Lauraceae</t>
        </is>
      </c>
      <c r="AI28" t="inlineStr">
        <is>
          <t>Ocotea</t>
        </is>
      </c>
      <c r="AJ28" t="inlineStr">
        <is>
          <t>oblonga</t>
        </is>
      </c>
      <c r="AK28" s="2" t="n">
        <v>38823</v>
      </c>
      <c r="AL28" t="n">
        <v>14.38</v>
      </c>
      <c r="AM28" s="2" t="n">
        <v>40724</v>
      </c>
      <c r="AN28" t="inlineStr">
        <is>
          <t>17,11</t>
        </is>
      </c>
      <c r="AO28" t="inlineStr">
        <is>
          <t>14,8</t>
        </is>
      </c>
      <c r="AP28" t="inlineStr"/>
      <c r="AQ28" t="n">
        <v>2047</v>
      </c>
      <c r="AR28" t="n">
        <v>1</v>
      </c>
      <c r="AS28" t="inlineStr">
        <is>
          <t>Ο</t>
        </is>
      </c>
      <c r="AT28" t="inlineStr">
        <is>
          <t>Ø</t>
        </is>
      </c>
      <c r="AU28" t="n">
        <v>8957</v>
      </c>
      <c r="AV28" t="n">
        <v>1</v>
      </c>
      <c r="AW28" t="inlineStr"/>
      <c r="AX28" t="inlineStr"/>
      <c r="AY28" s="2" t="n">
        <v>45541</v>
      </c>
      <c r="AZ28" t="n">
        <v>19.35</v>
      </c>
      <c r="BA28" t="n">
        <v>12.5</v>
      </c>
      <c r="BB28" t="inlineStr"/>
      <c r="BC28" t="inlineStr"/>
      <c r="BD28" t="inlineStr">
        <is>
          <t>C</t>
        </is>
      </c>
      <c r="BE28" t="inlineStr"/>
      <c r="BF28" t="inlineStr"/>
      <c r="BG28" t="inlineStr"/>
      <c r="BH28" t="inlineStr"/>
      <c r="BI28" t="inlineStr"/>
      <c r="BJ28" t="n">
        <v>0.7</v>
      </c>
      <c r="BK28" t="inlineStr">
        <is>
          <t>1.9-3</t>
        </is>
      </c>
      <c r="BL28" t="n">
        <v>1.09</v>
      </c>
      <c r="BM28" t="n">
        <v>0.42</v>
      </c>
    </row>
    <row r="29">
      <c r="A29" s="1" t="n">
        <v>27</v>
      </c>
      <c r="B29" t="n">
        <v>412.7894864565736</v>
      </c>
      <c r="C29" t="n">
        <v>0.975598212695738</v>
      </c>
      <c r="D29" t="n">
        <v>22</v>
      </c>
      <c r="E29" t="inlineStr"/>
      <c r="F29" t="inlineStr">
        <is>
          <t>p22-8955</t>
        </is>
      </c>
      <c r="G29" t="inlineStr">
        <is>
          <t>8955</t>
        </is>
      </c>
      <c r="H29" t="inlineStr">
        <is>
          <t>leaf pulverized</t>
        </is>
      </c>
      <c r="I29" t="inlineStr"/>
      <c r="J29" t="n">
        <v>2025</v>
      </c>
      <c r="K29" t="n">
        <v>45.6439322011342</v>
      </c>
      <c r="L29" t="n">
        <v>0.464610416</v>
      </c>
      <c r="M29" t="n">
        <v>0.01759832</v>
      </c>
      <c r="N29" t="n">
        <v>-34.29374125132556</v>
      </c>
      <c r="O29" t="inlineStr"/>
      <c r="P29" t="n">
        <v>6.452964652141512</v>
      </c>
      <c r="Q29" t="n">
        <v>8955</v>
      </c>
      <c r="R29" t="inlineStr"/>
      <c r="S29" t="inlineStr"/>
      <c r="T29" t="inlineStr">
        <is>
          <t>p22-8955</t>
        </is>
      </c>
      <c r="U29" t="n">
        <v>-33.0767664672718</v>
      </c>
      <c r="V29" t="n">
        <v>2.348896464646463</v>
      </c>
      <c r="W29" t="n">
        <v>25.31407418750717</v>
      </c>
      <c r="X29" t="inlineStr">
        <is>
          <t>Galeras</t>
        </is>
      </c>
      <c r="Y29" t="n">
        <v>1000</v>
      </c>
      <c r="Z29" t="n">
        <v>22</v>
      </c>
      <c r="AA29" t="inlineStr">
        <is>
          <t>Galeras</t>
        </is>
      </c>
      <c r="AB29" t="inlineStr">
        <is>
          <t>GAL_22</t>
        </is>
      </c>
      <c r="AC29" t="n">
        <v>535</v>
      </c>
      <c r="AD29" t="n">
        <v>1</v>
      </c>
      <c r="AE29" t="n">
        <v>1</v>
      </c>
      <c r="AF29" t="n">
        <v>0</v>
      </c>
      <c r="AG29" t="n">
        <v>0</v>
      </c>
      <c r="AH29" t="inlineStr">
        <is>
          <t>Myristicaceae</t>
        </is>
      </c>
      <c r="AI29" t="inlineStr">
        <is>
          <t>Virola</t>
        </is>
      </c>
      <c r="AJ29" t="inlineStr">
        <is>
          <t>calophylla</t>
        </is>
      </c>
      <c r="AK29" s="2" t="n">
        <v>38823</v>
      </c>
      <c r="AL29" t="n">
        <v>17.26</v>
      </c>
      <c r="AM29" s="2" t="n">
        <v>40724</v>
      </c>
      <c r="AN29" t="inlineStr">
        <is>
          <t>20,7</t>
        </is>
      </c>
      <c r="AO29" t="inlineStr">
        <is>
          <t>19,7</t>
        </is>
      </c>
      <c r="AP29" t="inlineStr"/>
      <c r="AQ29" t="n">
        <v>2045</v>
      </c>
      <c r="AR29" t="n">
        <v>1</v>
      </c>
      <c r="AS29" t="inlineStr">
        <is>
          <t>Ο</t>
        </is>
      </c>
      <c r="AT29" t="inlineStr">
        <is>
          <t>Ø</t>
        </is>
      </c>
      <c r="AU29" t="n">
        <v>8955</v>
      </c>
      <c r="AV29" t="n">
        <v>1</v>
      </c>
      <c r="AW29" t="inlineStr"/>
      <c r="AX29" t="inlineStr"/>
      <c r="AY29" s="2" t="n">
        <v>45541</v>
      </c>
      <c r="AZ29" t="n">
        <v>28.35</v>
      </c>
      <c r="BA29" t="n">
        <v>18.2</v>
      </c>
      <c r="BB29" t="inlineStr"/>
      <c r="BC29" t="inlineStr"/>
      <c r="BD29" t="inlineStr">
        <is>
          <t>B</t>
        </is>
      </c>
      <c r="BE29" t="inlineStr"/>
      <c r="BF29" t="inlineStr"/>
      <c r="BG29" t="inlineStr"/>
      <c r="BH29" t="inlineStr"/>
      <c r="BI29" t="inlineStr"/>
      <c r="BJ29" t="n">
        <v>1.1</v>
      </c>
      <c r="BK29" t="n">
        <v>6.3</v>
      </c>
      <c r="BL29" t="n">
        <v>1.2</v>
      </c>
      <c r="BM29" t="n">
        <v>0.62</v>
      </c>
    </row>
    <row r="30">
      <c r="A30" s="1" t="n">
        <v>28</v>
      </c>
      <c r="B30" t="n">
        <v>302.6997909736847</v>
      </c>
      <c r="C30" t="n">
        <v>0.7154091486009007</v>
      </c>
      <c r="D30" t="n">
        <v>22</v>
      </c>
      <c r="E30" t="inlineStr"/>
      <c r="F30" t="inlineStr">
        <is>
          <t>p22-8945</t>
        </is>
      </c>
      <c r="G30" t="inlineStr">
        <is>
          <t>8945</t>
        </is>
      </c>
      <c r="H30" t="inlineStr">
        <is>
          <t>leaf pulverized</t>
        </is>
      </c>
      <c r="I30" t="inlineStr"/>
      <c r="J30" t="n">
        <v>2025</v>
      </c>
      <c r="K30" t="n">
        <v>42.3964946066613</v>
      </c>
      <c r="L30" t="n">
        <v>0.455753591</v>
      </c>
      <c r="M30" t="n">
        <v>0.013777052</v>
      </c>
      <c r="N30" t="n">
        <v>-29.99337900318134</v>
      </c>
      <c r="O30" t="inlineStr"/>
      <c r="P30" t="n">
        <v>75.25902432894704</v>
      </c>
      <c r="Q30" t="n">
        <v>8945</v>
      </c>
      <c r="R30" t="inlineStr"/>
      <c r="S30" t="inlineStr"/>
      <c r="T30" t="inlineStr">
        <is>
          <t>p22-8945</t>
        </is>
      </c>
      <c r="U30" t="n">
        <v>-27.4993837776844</v>
      </c>
      <c r="V30" t="n">
        <v>0.5344116161616138</v>
      </c>
      <c r="W30" t="n">
        <v>19.43380133896384</v>
      </c>
      <c r="X30" t="inlineStr">
        <is>
          <t>Galeras</t>
        </is>
      </c>
      <c r="Y30" t="n">
        <v>1000</v>
      </c>
      <c r="Z30" t="n">
        <v>22</v>
      </c>
      <c r="AA30" t="inlineStr">
        <is>
          <t>Galeras</t>
        </is>
      </c>
      <c r="AB30" t="inlineStr">
        <is>
          <t>GAL_22</t>
        </is>
      </c>
      <c r="AC30" t="n">
        <v>521</v>
      </c>
      <c r="AD30" t="n">
        <v>1</v>
      </c>
      <c r="AE30" t="n">
        <v>1</v>
      </c>
      <c r="AF30" t="n">
        <v>0</v>
      </c>
      <c r="AG30" t="n">
        <v>0</v>
      </c>
      <c r="AH30" t="inlineStr">
        <is>
          <t>Myristicaceae</t>
        </is>
      </c>
      <c r="AI30" t="inlineStr">
        <is>
          <t>Compsoneura</t>
        </is>
      </c>
      <c r="AJ30" t="inlineStr">
        <is>
          <t>capitellata</t>
        </is>
      </c>
      <c r="AK30" s="2" t="n">
        <v>38823</v>
      </c>
      <c r="AL30" t="n">
        <v>30.16</v>
      </c>
      <c r="AM30" s="2" t="n">
        <v>40724</v>
      </c>
      <c r="AN30" t="inlineStr">
        <is>
          <t>31,0</t>
        </is>
      </c>
      <c r="AO30" t="inlineStr">
        <is>
          <t>22,3</t>
        </is>
      </c>
      <c r="AP30" t="inlineStr"/>
      <c r="AQ30" t="n">
        <v>3715</v>
      </c>
      <c r="AR30" t="inlineStr"/>
      <c r="AS30" t="inlineStr">
        <is>
          <t>Ο</t>
        </is>
      </c>
      <c r="AT30" t="inlineStr">
        <is>
          <t>Ø</t>
        </is>
      </c>
      <c r="AU30" t="n">
        <v>8945</v>
      </c>
      <c r="AV30" t="n">
        <v>1</v>
      </c>
      <c r="AW30" t="inlineStr"/>
      <c r="AX30" t="inlineStr"/>
      <c r="AY30" s="2" t="n">
        <v>45541</v>
      </c>
      <c r="AZ30" t="n">
        <v>31.9</v>
      </c>
      <c r="BA30" t="n">
        <v>18.1</v>
      </c>
      <c r="BB30" t="inlineStr"/>
      <c r="BC30" t="inlineStr"/>
      <c r="BD30" t="inlineStr">
        <is>
          <t>A</t>
        </is>
      </c>
      <c r="BE30" t="inlineStr"/>
      <c r="BF30" t="inlineStr"/>
      <c r="BG30" t="inlineStr"/>
      <c r="BH30" t="inlineStr"/>
      <c r="BI30" t="inlineStr"/>
      <c r="BJ30" t="n">
        <v>1.2</v>
      </c>
      <c r="BK30" t="n">
        <v>3.7</v>
      </c>
      <c r="BL30" t="n">
        <v>0.84</v>
      </c>
      <c r="BM30" t="n">
        <v>0.43</v>
      </c>
    </row>
    <row r="31">
      <c r="A31" s="1" t="n">
        <v>29</v>
      </c>
      <c r="B31" t="n">
        <v>400.6640097008578</v>
      </c>
      <c r="C31" t="n">
        <v>0.9469405219378981</v>
      </c>
      <c r="D31" t="n">
        <v>60</v>
      </c>
      <c r="E31" t="inlineStr"/>
      <c r="F31" t="inlineStr">
        <is>
          <t>p60-8766</t>
        </is>
      </c>
      <c r="G31" t="inlineStr">
        <is>
          <t>8766</t>
        </is>
      </c>
      <c r="H31" t="inlineStr">
        <is>
          <t>leaf pulverized</t>
        </is>
      </c>
      <c r="I31" t="inlineStr"/>
      <c r="J31" t="n">
        <v>2025</v>
      </c>
      <c r="K31" t="n">
        <v>44.8741459752896</v>
      </c>
      <c r="L31" t="n">
        <v>0.433789416</v>
      </c>
      <c r="M31" t="n">
        <v>0.012963235</v>
      </c>
      <c r="N31" t="n">
        <v>-34.38655482502651</v>
      </c>
      <c r="O31" t="inlineStr"/>
      <c r="P31" t="n">
        <v>14.03138762446386</v>
      </c>
      <c r="Q31" t="n">
        <v>8766</v>
      </c>
      <c r="R31" t="inlineStr"/>
      <c r="S31" t="inlineStr"/>
      <c r="T31" t="inlineStr">
        <is>
          <t>p60-8766</t>
        </is>
      </c>
      <c r="U31" t="n">
        <v>-32.4656005500957</v>
      </c>
      <c r="V31" t="n">
        <v>-3.980199494949499</v>
      </c>
      <c r="W31" t="n">
        <v>24.66641037637999</v>
      </c>
      <c r="X31" t="inlineStr">
        <is>
          <t>Galeras</t>
        </is>
      </c>
      <c r="Y31" t="n">
        <v>1500</v>
      </c>
      <c r="Z31" t="n">
        <v>60</v>
      </c>
      <c r="AA31" t="inlineStr">
        <is>
          <t>Galeras</t>
        </is>
      </c>
      <c r="AB31" t="inlineStr">
        <is>
          <t>GAL_60</t>
        </is>
      </c>
      <c r="AC31" t="n">
        <v>1812</v>
      </c>
      <c r="AD31" t="n">
        <v>1</v>
      </c>
      <c r="AE31" t="n">
        <v>1</v>
      </c>
      <c r="AF31" t="n">
        <v>0</v>
      </c>
      <c r="AG31" t="n">
        <v>0</v>
      </c>
      <c r="AH31" t="inlineStr">
        <is>
          <t>Myrtaceae</t>
        </is>
      </c>
      <c r="AI31" t="inlineStr"/>
      <c r="AJ31" t="inlineStr"/>
      <c r="AK31" s="2" t="n">
        <v>39176</v>
      </c>
      <c r="AL31" t="n">
        <v>16.79</v>
      </c>
      <c r="AM31" s="2" t="n">
        <v>40724</v>
      </c>
      <c r="AN31" t="n">
        <v>16.8</v>
      </c>
      <c r="AO31" t="n">
        <v>14.6</v>
      </c>
      <c r="AP31" t="inlineStr"/>
      <c r="AQ31" t="inlineStr"/>
      <c r="AR31" t="n">
        <v>1</v>
      </c>
      <c r="AS31" t="inlineStr">
        <is>
          <t>Ο</t>
        </is>
      </c>
      <c r="AT31" t="inlineStr">
        <is>
          <t>Ø</t>
        </is>
      </c>
      <c r="AU31" t="n">
        <v>8766</v>
      </c>
      <c r="AV31" t="n">
        <v>1</v>
      </c>
      <c r="AW31" t="inlineStr"/>
      <c r="AX31" t="inlineStr"/>
      <c r="AY31" s="2" t="n">
        <v>45539</v>
      </c>
      <c r="AZ31" t="n">
        <v>16.82</v>
      </c>
      <c r="BA31" t="n">
        <v>13.7</v>
      </c>
      <c r="BB31" t="inlineStr"/>
      <c r="BC31" t="inlineStr"/>
      <c r="BD31" t="inlineStr">
        <is>
          <t>C</t>
        </is>
      </c>
      <c r="BE31" t="inlineStr"/>
      <c r="BF31" t="inlineStr"/>
      <c r="BG31" t="inlineStr"/>
      <c r="BH31" t="inlineStr"/>
      <c r="BI31" t="inlineStr"/>
      <c r="BJ31" t="n">
        <v>0.6</v>
      </c>
      <c r="BK31" t="n">
        <v>4.1</v>
      </c>
      <c r="BL31" t="n">
        <v>1.1</v>
      </c>
      <c r="BM31" t="n">
        <v>0.6899999999999999</v>
      </c>
    </row>
    <row r="32">
      <c r="A32" s="1" t="n">
        <v>30</v>
      </c>
      <c r="B32" t="n">
        <v>334.9518115753203</v>
      </c>
      <c r="C32" t="n">
        <v>0.7916344757643433</v>
      </c>
      <c r="D32" t="n">
        <v>60</v>
      </c>
      <c r="E32" t="inlineStr"/>
      <c r="F32" t="inlineStr">
        <is>
          <t>p60-8752</t>
        </is>
      </c>
      <c r="G32" t="inlineStr">
        <is>
          <t>8752</t>
        </is>
      </c>
      <c r="H32" t="inlineStr">
        <is>
          <t>leaf pulverized</t>
        </is>
      </c>
      <c r="I32" t="inlineStr"/>
      <c r="J32" t="n">
        <v>2025</v>
      </c>
      <c r="K32" t="n">
        <v>42.4102060321098</v>
      </c>
      <c r="L32" t="n">
        <v>0.501774224</v>
      </c>
      <c r="M32" t="n">
        <v>0.013743392</v>
      </c>
      <c r="N32" t="n">
        <v>-31.91152619300106</v>
      </c>
      <c r="O32" t="inlineStr"/>
      <c r="P32" t="n">
        <v>55.10151145292479</v>
      </c>
      <c r="Q32" t="n">
        <v>8752</v>
      </c>
      <c r="R32" t="inlineStr"/>
      <c r="S32" t="inlineStr"/>
      <c r="T32" t="inlineStr">
        <is>
          <t>p60-8752</t>
        </is>
      </c>
      <c r="U32" t="n">
        <v>-29.1399936400367</v>
      </c>
      <c r="V32" t="n">
        <v>-6.647924242424247</v>
      </c>
      <c r="W32" t="n">
        <v>21.15649373285765</v>
      </c>
      <c r="X32" t="inlineStr">
        <is>
          <t>Galeras</t>
        </is>
      </c>
      <c r="Y32" t="n">
        <v>1500</v>
      </c>
      <c r="Z32" t="n">
        <v>60</v>
      </c>
      <c r="AA32" t="inlineStr">
        <is>
          <t>Galeras</t>
        </is>
      </c>
      <c r="AB32" t="inlineStr">
        <is>
          <t>GAL_60</t>
        </is>
      </c>
      <c r="AC32" t="n">
        <v>1830</v>
      </c>
      <c r="AD32" t="n">
        <v>1</v>
      </c>
      <c r="AE32" t="n">
        <v>1</v>
      </c>
      <c r="AF32" t="n">
        <v>0</v>
      </c>
      <c r="AG32" t="n">
        <v>0</v>
      </c>
      <c r="AH32" t="inlineStr">
        <is>
          <t>Lauraceae</t>
        </is>
      </c>
      <c r="AI32" t="inlineStr">
        <is>
          <t>Ocotea</t>
        </is>
      </c>
      <c r="AJ32" t="inlineStr">
        <is>
          <t>subrutilans</t>
        </is>
      </c>
      <c r="AK32" s="2" t="n">
        <v>39176</v>
      </c>
      <c r="AL32" t="n">
        <v>19.9</v>
      </c>
      <c r="AM32" s="2" t="n">
        <v>40724</v>
      </c>
      <c r="AN32" t="n">
        <v>21.73</v>
      </c>
      <c r="AO32" t="n">
        <v>13.5</v>
      </c>
      <c r="AP32" t="inlineStr"/>
      <c r="AQ32" t="n">
        <v>3660</v>
      </c>
      <c r="AR32" t="inlineStr"/>
      <c r="AS32" t="inlineStr">
        <is>
          <t>Ο</t>
        </is>
      </c>
      <c r="AT32" t="inlineStr">
        <is>
          <t>Ø</t>
        </is>
      </c>
      <c r="AU32" t="n">
        <v>8752</v>
      </c>
      <c r="AV32" t="n">
        <v>1</v>
      </c>
      <c r="AW32" t="inlineStr"/>
      <c r="AX32" t="inlineStr"/>
      <c r="AY32" s="2" t="n">
        <v>45539</v>
      </c>
      <c r="AZ32" t="n">
        <v>25</v>
      </c>
      <c r="BA32" t="n">
        <v>15</v>
      </c>
      <c r="BB32" t="inlineStr"/>
      <c r="BC32" t="inlineStr"/>
      <c r="BD32" t="inlineStr">
        <is>
          <t>B</t>
        </is>
      </c>
      <c r="BE32" t="inlineStr"/>
      <c r="BF32" t="inlineStr"/>
      <c r="BG32" t="inlineStr"/>
      <c r="BH32" t="inlineStr">
        <is>
          <t>inclinado</t>
        </is>
      </c>
      <c r="BI32" t="inlineStr"/>
      <c r="BJ32" t="n">
        <v>1.2</v>
      </c>
      <c r="BK32" t="n">
        <v>5.4</v>
      </c>
      <c r="BL32" t="n">
        <v>1.28</v>
      </c>
      <c r="BM32" t="n">
        <v>0.6</v>
      </c>
    </row>
    <row r="33">
      <c r="A33" s="1" t="n">
        <v>31</v>
      </c>
      <c r="B33" t="n">
        <v>356.1649273327983</v>
      </c>
      <c r="C33" t="n">
        <v>0.8417701466031414</v>
      </c>
      <c r="D33" t="n">
        <v>60</v>
      </c>
      <c r="E33" t="inlineStr"/>
      <c r="F33" t="inlineStr">
        <is>
          <t>p60-8776</t>
        </is>
      </c>
      <c r="G33" t="inlineStr">
        <is>
          <t>8776</t>
        </is>
      </c>
      <c r="H33" t="inlineStr">
        <is>
          <t>leaf pulverized</t>
        </is>
      </c>
      <c r="I33" t="inlineStr"/>
      <c r="J33" t="n">
        <v>2025</v>
      </c>
      <c r="K33" t="n">
        <v>44.2966355141506</v>
      </c>
      <c r="L33" t="n">
        <v>0.487097855</v>
      </c>
      <c r="M33" t="n">
        <v>0.014257494</v>
      </c>
      <c r="N33" t="n">
        <v>-32.36528144220573</v>
      </c>
      <c r="O33" t="inlineStr"/>
      <c r="P33" t="n">
        <v>41.84331410450108</v>
      </c>
      <c r="Q33" t="n">
        <v>8776</v>
      </c>
      <c r="R33" t="inlineStr"/>
      <c r="S33" t="inlineStr"/>
      <c r="T33" t="inlineStr">
        <is>
          <t>p60-8776</t>
        </is>
      </c>
      <c r="U33" t="n">
        <v>-30.2160572754191</v>
      </c>
      <c r="V33" t="n">
        <v>-3.3429696969697</v>
      </c>
      <c r="W33" t="n">
        <v>22.28955989381448</v>
      </c>
      <c r="X33" t="inlineStr">
        <is>
          <t>Galeras</t>
        </is>
      </c>
      <c r="Y33" t="n">
        <v>1500</v>
      </c>
      <c r="Z33" t="n">
        <v>60</v>
      </c>
      <c r="AA33" t="inlineStr">
        <is>
          <t>Galeras</t>
        </is>
      </c>
      <c r="AB33" t="inlineStr">
        <is>
          <t>GAL_60</t>
        </is>
      </c>
      <c r="AC33" t="n">
        <v>1803</v>
      </c>
      <c r="AD33" t="n">
        <v>1</v>
      </c>
      <c r="AE33" t="n">
        <v>1</v>
      </c>
      <c r="AF33" t="n">
        <v>0</v>
      </c>
      <c r="AG33" t="n">
        <v>0</v>
      </c>
      <c r="AH33" t="inlineStr">
        <is>
          <t>Rubiaceae</t>
        </is>
      </c>
      <c r="AI33" t="inlineStr">
        <is>
          <t>Ladenbergia</t>
        </is>
      </c>
      <c r="AJ33" t="inlineStr">
        <is>
          <t>acutifolia</t>
        </is>
      </c>
      <c r="AK33" s="2" t="n">
        <v>39176</v>
      </c>
      <c r="AL33" t="n">
        <v>17.86</v>
      </c>
      <c r="AM33" s="2" t="n">
        <v>40724</v>
      </c>
      <c r="AN33" t="n">
        <v>19.23</v>
      </c>
      <c r="AO33" t="n">
        <v>15.4</v>
      </c>
      <c r="AP33" t="inlineStr"/>
      <c r="AQ33" t="n">
        <v>3611</v>
      </c>
      <c r="AR33" t="inlineStr"/>
      <c r="AS33" t="inlineStr">
        <is>
          <t>Ο</t>
        </is>
      </c>
      <c r="AT33" t="inlineStr">
        <is>
          <t>Ø</t>
        </is>
      </c>
      <c r="AU33" t="n">
        <v>8776</v>
      </c>
      <c r="AV33" t="n">
        <v>1</v>
      </c>
      <c r="AW33" t="inlineStr"/>
      <c r="AX33" t="inlineStr"/>
      <c r="AY33" s="2" t="n">
        <v>45539</v>
      </c>
      <c r="AZ33" t="n">
        <v>23</v>
      </c>
      <c r="BA33" t="n">
        <v>15.2</v>
      </c>
      <c r="BB33" t="inlineStr"/>
      <c r="BC33" t="inlineStr"/>
      <c r="BD33" t="inlineStr">
        <is>
          <t>D</t>
        </is>
      </c>
      <c r="BE33" t="inlineStr"/>
      <c r="BF33" t="inlineStr"/>
      <c r="BG33" t="inlineStr"/>
      <c r="BH33" t="inlineStr">
        <is>
          <t>Con dendrometro</t>
        </is>
      </c>
      <c r="BI33" t="inlineStr"/>
      <c r="BJ33" t="n">
        <v>0.8</v>
      </c>
      <c r="BK33" t="n">
        <v>5.9</v>
      </c>
      <c r="BL33" t="n">
        <v>1.44</v>
      </c>
      <c r="BM33" t="n">
        <v>0.73</v>
      </c>
    </row>
    <row r="34">
      <c r="A34" s="1" t="n">
        <v>32</v>
      </c>
      <c r="B34" t="n">
        <v>360.2019717609547</v>
      </c>
      <c r="C34" t="n">
        <v>0.8513114102687728</v>
      </c>
      <c r="D34" t="n">
        <v>60</v>
      </c>
      <c r="E34" t="inlineStr"/>
      <c r="F34" t="inlineStr">
        <is>
          <t>p60-8743</t>
        </is>
      </c>
      <c r="G34" t="inlineStr">
        <is>
          <t>8743</t>
        </is>
      </c>
      <c r="H34" t="inlineStr">
        <is>
          <t>leaf pulverized</t>
        </is>
      </c>
      <c r="I34" t="inlineStr"/>
      <c r="J34" t="n">
        <v>2025</v>
      </c>
      <c r="K34" t="n">
        <v>43.9215008824832</v>
      </c>
      <c r="L34" t="n">
        <v>0.48018793</v>
      </c>
      <c r="M34" t="n">
        <v>0.015013997</v>
      </c>
      <c r="N34" t="n">
        <v>-32.04559024390244</v>
      </c>
      <c r="O34" t="inlineStr"/>
      <c r="P34" t="n">
        <v>39.32016133690328</v>
      </c>
      <c r="Q34" t="n">
        <v>8743</v>
      </c>
      <c r="R34" t="inlineStr"/>
      <c r="S34" t="inlineStr"/>
      <c r="T34" t="inlineStr">
        <is>
          <t>p60-8743</t>
        </is>
      </c>
      <c r="U34" t="n">
        <v>-30.4205716335254</v>
      </c>
      <c r="V34" t="n">
        <v>-0.07041666666666911</v>
      </c>
      <c r="W34" t="n">
        <v>22.50519245265776</v>
      </c>
      <c r="X34" t="inlineStr">
        <is>
          <t>Galeras</t>
        </is>
      </c>
      <c r="Y34" t="n">
        <v>1500</v>
      </c>
      <c r="Z34" t="n">
        <v>60</v>
      </c>
      <c r="AA34" t="inlineStr">
        <is>
          <t>Galeras</t>
        </is>
      </c>
      <c r="AB34" t="inlineStr">
        <is>
          <t>GAL_60</t>
        </is>
      </c>
      <c r="AC34" t="n">
        <v>1806</v>
      </c>
      <c r="AD34" t="n">
        <v>1</v>
      </c>
      <c r="AE34" t="n">
        <v>1</v>
      </c>
      <c r="AF34" t="n">
        <v>0</v>
      </c>
      <c r="AG34" t="n">
        <v>0</v>
      </c>
      <c r="AH34" t="inlineStr">
        <is>
          <t>Calophyllaceae</t>
        </is>
      </c>
      <c r="AI34" t="inlineStr">
        <is>
          <t>Marila</t>
        </is>
      </c>
      <c r="AJ34" t="inlineStr"/>
      <c r="AK34" s="2" t="n">
        <v>39176</v>
      </c>
      <c r="AL34" t="n">
        <v>16.78</v>
      </c>
      <c r="AM34" s="2" t="n">
        <v>40724</v>
      </c>
      <c r="AN34" t="n">
        <v>16.78</v>
      </c>
      <c r="AO34" t="n">
        <v>18.6</v>
      </c>
      <c r="AP34" t="inlineStr"/>
      <c r="AQ34" t="inlineStr">
        <is>
          <t>3662, =2512</t>
        </is>
      </c>
      <c r="AR34" t="inlineStr"/>
      <c r="AS34" t="inlineStr">
        <is>
          <t>Ο</t>
        </is>
      </c>
      <c r="AT34" t="inlineStr">
        <is>
          <t>Ø</t>
        </is>
      </c>
      <c r="AU34" t="n">
        <v>8743</v>
      </c>
      <c r="AV34" t="n">
        <v>1</v>
      </c>
      <c r="AW34" t="inlineStr"/>
      <c r="AX34" t="inlineStr"/>
      <c r="AY34" s="2" t="n">
        <v>45539</v>
      </c>
      <c r="AZ34" t="n">
        <v>16.8</v>
      </c>
      <c r="BA34" t="n">
        <v>15</v>
      </c>
      <c r="BB34" t="inlineStr"/>
      <c r="BC34" t="inlineStr"/>
      <c r="BD34" t="inlineStr">
        <is>
          <t>A</t>
        </is>
      </c>
      <c r="BE34" t="inlineStr"/>
      <c r="BF34" t="inlineStr"/>
      <c r="BG34" t="inlineStr"/>
      <c r="BH34" t="inlineStr">
        <is>
          <t>Con dendrometro</t>
        </is>
      </c>
      <c r="BI34" t="inlineStr"/>
      <c r="BJ34" t="n">
        <v>0.7</v>
      </c>
      <c r="BK34" t="n">
        <v>4.6</v>
      </c>
      <c r="BL34" t="n">
        <v>1.19</v>
      </c>
      <c r="BM34" t="n">
        <v>0.63</v>
      </c>
    </row>
    <row r="35">
      <c r="A35" s="1" t="n">
        <v>33</v>
      </c>
      <c r="B35" t="n">
        <v>335.5239743379674</v>
      </c>
      <c r="C35" t="n">
        <v>0.7929867412336051</v>
      </c>
      <c r="D35" t="n">
        <v>60</v>
      </c>
      <c r="E35" t="inlineStr"/>
      <c r="F35" t="inlineStr">
        <is>
          <t>p60-8744</t>
        </is>
      </c>
      <c r="G35" t="inlineStr">
        <is>
          <t>8744</t>
        </is>
      </c>
      <c r="H35" t="inlineStr">
        <is>
          <t>leaf pulverized</t>
        </is>
      </c>
      <c r="I35" t="inlineStr"/>
      <c r="J35" t="n">
        <v>2025</v>
      </c>
      <c r="K35" t="n">
        <v>44.8352868834149</v>
      </c>
      <c r="L35" t="n">
        <v>0.481715401</v>
      </c>
      <c r="M35" t="n">
        <v>0.044596189</v>
      </c>
      <c r="N35" t="n">
        <v>-31.62277285259809</v>
      </c>
      <c r="O35" t="inlineStr"/>
      <c r="P35" t="n">
        <v>54.74390972627037</v>
      </c>
      <c r="Q35" t="n">
        <v>8744</v>
      </c>
      <c r="R35" t="inlineStr"/>
      <c r="S35" t="inlineStr"/>
      <c r="T35" t="inlineStr">
        <is>
          <t>p60-8744</t>
        </is>
      </c>
      <c r="U35" t="n">
        <v>-29.1690486954253</v>
      </c>
      <c r="V35" t="n">
        <v>0.7288207070707049</v>
      </c>
      <c r="W35" t="n">
        <v>21.18705493246296</v>
      </c>
      <c r="X35" t="inlineStr">
        <is>
          <t>Galeras</t>
        </is>
      </c>
      <c r="Y35" t="n">
        <v>1500</v>
      </c>
      <c r="Z35" t="n">
        <v>60</v>
      </c>
      <c r="AA35" t="inlineStr">
        <is>
          <t>Galeras</t>
        </is>
      </c>
      <c r="AB35" t="inlineStr">
        <is>
          <t>GAL_60</t>
        </is>
      </c>
      <c r="AC35" t="n">
        <v>1833</v>
      </c>
      <c r="AD35" t="n">
        <v>1</v>
      </c>
      <c r="AE35" t="n">
        <v>1</v>
      </c>
      <c r="AF35" t="n">
        <v>0</v>
      </c>
      <c r="AG35" t="n">
        <v>0</v>
      </c>
      <c r="AH35" t="inlineStr"/>
      <c r="AI35" t="inlineStr"/>
      <c r="AJ35" t="inlineStr"/>
      <c r="AK35" s="2" t="n">
        <v>39176</v>
      </c>
      <c r="AL35" t="n">
        <v>30.8</v>
      </c>
      <c r="AM35" s="2" t="n">
        <v>40724</v>
      </c>
      <c r="AN35" t="n">
        <v>30.8</v>
      </c>
      <c r="AO35" t="n">
        <v>22.5</v>
      </c>
      <c r="AP35" t="inlineStr"/>
      <c r="AQ35" t="n">
        <v>3658</v>
      </c>
      <c r="AR35" t="inlineStr"/>
      <c r="AS35" t="inlineStr">
        <is>
          <t>Ο</t>
        </is>
      </c>
      <c r="AT35" t="inlineStr">
        <is>
          <t>Ø</t>
        </is>
      </c>
      <c r="AU35" t="n">
        <v>8744</v>
      </c>
      <c r="AV35" t="n">
        <v>1</v>
      </c>
      <c r="AW35" t="inlineStr"/>
      <c r="AX35" t="inlineStr"/>
      <c r="AY35" s="2" t="n">
        <v>45539</v>
      </c>
      <c r="AZ35" t="n">
        <v>30.83</v>
      </c>
      <c r="BA35" t="n">
        <v>16.6</v>
      </c>
      <c r="BB35" t="inlineStr"/>
      <c r="BC35" t="inlineStr"/>
      <c r="BD35" t="inlineStr">
        <is>
          <t>A</t>
        </is>
      </c>
      <c r="BE35" t="inlineStr">
        <is>
          <t>Antes Neea divaricata, Ahora ??</t>
        </is>
      </c>
      <c r="BF35" t="inlineStr">
        <is>
          <t>JH6784</t>
        </is>
      </c>
      <c r="BG35" t="inlineStr"/>
      <c r="BH35" t="inlineStr">
        <is>
          <t>Con dendrometro</t>
        </is>
      </c>
      <c r="BI35" t="inlineStr"/>
      <c r="BJ35" t="n">
        <v>0.3</v>
      </c>
      <c r="BK35" t="n">
        <v>4.7</v>
      </c>
      <c r="BL35" t="n">
        <v>1.07</v>
      </c>
      <c r="BM35" t="n">
        <v>0.54</v>
      </c>
    </row>
    <row r="36">
      <c r="A36" s="1" t="n">
        <v>34</v>
      </c>
      <c r="B36" t="n">
        <v>306.808180577074</v>
      </c>
      <c r="C36" t="n">
        <v>0.7251190314482827</v>
      </c>
      <c r="D36" t="n">
        <v>60</v>
      </c>
      <c r="E36" t="inlineStr"/>
      <c r="F36" t="inlineStr">
        <is>
          <t>p60-8769</t>
        </is>
      </c>
      <c r="G36" t="inlineStr">
        <is>
          <t>8769</t>
        </is>
      </c>
      <c r="H36" t="inlineStr">
        <is>
          <t>leaf pulverized</t>
        </is>
      </c>
      <c r="I36" t="inlineStr"/>
      <c r="J36" t="n">
        <v>2025</v>
      </c>
      <c r="K36" t="n">
        <v>41.977821520632</v>
      </c>
      <c r="L36" t="n">
        <v>0.429043863</v>
      </c>
      <c r="M36" t="n">
        <v>0.014747839</v>
      </c>
      <c r="N36" t="n">
        <v>-29.70462566277837</v>
      </c>
      <c r="O36" t="inlineStr"/>
      <c r="P36" t="n">
        <v>72.69128082682873</v>
      </c>
      <c r="Q36" t="n">
        <v>8769</v>
      </c>
      <c r="R36" t="inlineStr"/>
      <c r="S36" t="inlineStr"/>
      <c r="T36" t="inlineStr">
        <is>
          <t>p60-8769</t>
        </is>
      </c>
      <c r="U36" t="n">
        <v>-27.7086792381737</v>
      </c>
      <c r="V36" t="n">
        <v>-1.074863636363639</v>
      </c>
      <c r="W36" t="n">
        <v>19.65324469131468</v>
      </c>
      <c r="X36" t="inlineStr">
        <is>
          <t>Galeras</t>
        </is>
      </c>
      <c r="Y36" t="n">
        <v>1500</v>
      </c>
      <c r="Z36" t="n">
        <v>60</v>
      </c>
      <c r="AA36" t="inlineStr">
        <is>
          <t>Galeras</t>
        </is>
      </c>
      <c r="AB36" t="inlineStr">
        <is>
          <t>GAL_60</t>
        </is>
      </c>
      <c r="AC36" t="n">
        <v>1807</v>
      </c>
      <c r="AD36" t="n">
        <v>1</v>
      </c>
      <c r="AE36" t="n">
        <v>1</v>
      </c>
      <c r="AF36" t="n">
        <v>0</v>
      </c>
      <c r="AG36" t="n">
        <v>0</v>
      </c>
      <c r="AH36" t="inlineStr">
        <is>
          <t>Peraceae</t>
        </is>
      </c>
      <c r="AI36" t="inlineStr">
        <is>
          <t>Chaetocarpus</t>
        </is>
      </c>
      <c r="AJ36" t="inlineStr"/>
      <c r="AK36" s="2" t="n">
        <v>39176</v>
      </c>
      <c r="AL36" t="n">
        <v>38.41</v>
      </c>
      <c r="AM36" s="2" t="n">
        <v>40724</v>
      </c>
      <c r="AN36" t="n">
        <v>38.85</v>
      </c>
      <c r="AO36" t="n">
        <v>13.9</v>
      </c>
      <c r="AP36" t="inlineStr"/>
      <c r="AQ36" t="n">
        <v>2525</v>
      </c>
      <c r="AR36" t="n">
        <v>1</v>
      </c>
      <c r="AS36" t="inlineStr">
        <is>
          <t>Ο</t>
        </is>
      </c>
      <c r="AT36" t="inlineStr">
        <is>
          <t>Ø</t>
        </is>
      </c>
      <c r="AU36" t="n">
        <v>8769</v>
      </c>
      <c r="AV36" t="n">
        <v>1</v>
      </c>
      <c r="AW36" t="inlineStr"/>
      <c r="AX36" t="inlineStr"/>
      <c r="AY36" s="2" t="n">
        <v>45539</v>
      </c>
      <c r="AZ36" t="n">
        <v>40.6</v>
      </c>
      <c r="BA36" t="n">
        <v>18.5</v>
      </c>
      <c r="BB36" t="inlineStr"/>
      <c r="BC36" t="inlineStr"/>
      <c r="BD36" t="inlineStr">
        <is>
          <t>D</t>
        </is>
      </c>
      <c r="BE36" t="inlineStr"/>
      <c r="BF36" t="inlineStr">
        <is>
          <t>JH6781</t>
        </is>
      </c>
      <c r="BG36" t="inlineStr"/>
      <c r="BH36" t="inlineStr">
        <is>
          <t>dendrometro roto</t>
        </is>
      </c>
      <c r="BI36" t="inlineStr">
        <is>
          <t>frutos</t>
        </is>
      </c>
      <c r="BJ36" t="n">
        <v>0.6</v>
      </c>
      <c r="BK36" t="n">
        <v>5.9</v>
      </c>
      <c r="BL36" t="n">
        <v>1.34</v>
      </c>
      <c r="BM36" t="n">
        <v>0.83</v>
      </c>
    </row>
    <row r="37">
      <c r="A37" s="1" t="n">
        <v>35</v>
      </c>
      <c r="B37" t="n">
        <v>397.1006640724084</v>
      </c>
      <c r="C37" t="n">
        <v>0.9385188112587475</v>
      </c>
      <c r="D37" t="n">
        <v>60</v>
      </c>
      <c r="E37" t="inlineStr"/>
      <c r="F37" t="inlineStr">
        <is>
          <t>p60-8777</t>
        </is>
      </c>
      <c r="G37" t="inlineStr">
        <is>
          <t>8777</t>
        </is>
      </c>
      <c r="H37" t="inlineStr">
        <is>
          <t>leaf pulverized</t>
        </is>
      </c>
      <c r="I37" t="inlineStr"/>
      <c r="J37" t="n">
        <v>2025</v>
      </c>
      <c r="K37" t="n">
        <v>42.9259704816289</v>
      </c>
      <c r="L37" t="n">
        <v>0.496829145</v>
      </c>
      <c r="M37" t="n">
        <v>0.019979472</v>
      </c>
      <c r="N37" t="n">
        <v>-34.80937221633086</v>
      </c>
      <c r="O37" t="inlineStr"/>
      <c r="P37" t="n">
        <v>16.25847864224476</v>
      </c>
      <c r="Q37" t="n">
        <v>8777</v>
      </c>
      <c r="R37" t="inlineStr"/>
      <c r="S37" t="inlineStr"/>
      <c r="T37" t="inlineStr">
        <is>
          <t>p60-8777</t>
        </is>
      </c>
      <c r="U37" t="n">
        <v>-32.2858487083775</v>
      </c>
      <c r="V37" t="n">
        <v>-4.379818181818186</v>
      </c>
      <c r="W37" t="n">
        <v>24.47607971503118</v>
      </c>
      <c r="X37" t="inlineStr">
        <is>
          <t>Galeras</t>
        </is>
      </c>
      <c r="Y37" t="n">
        <v>1500</v>
      </c>
      <c r="Z37" t="n">
        <v>60</v>
      </c>
      <c r="AA37" t="inlineStr">
        <is>
          <t>Galeras</t>
        </is>
      </c>
      <c r="AB37" t="inlineStr">
        <is>
          <t>GAL_60</t>
        </is>
      </c>
      <c r="AC37" t="n">
        <v>1804</v>
      </c>
      <c r="AD37" t="n">
        <v>1</v>
      </c>
      <c r="AE37" t="n">
        <v>1</v>
      </c>
      <c r="AF37" t="n">
        <v>0</v>
      </c>
      <c r="AG37" t="n">
        <v>0</v>
      </c>
      <c r="AH37" t="inlineStr">
        <is>
          <t>Lauraceae</t>
        </is>
      </c>
      <c r="AI37" t="inlineStr">
        <is>
          <t>Ocotea</t>
        </is>
      </c>
      <c r="AJ37" t="inlineStr"/>
      <c r="AK37" s="2" t="n">
        <v>39176</v>
      </c>
      <c r="AL37" t="n">
        <v>20.17</v>
      </c>
      <c r="AM37" s="2" t="n">
        <v>40724</v>
      </c>
      <c r="AN37" t="n">
        <v>20.19</v>
      </c>
      <c r="AO37" t="n">
        <v>13.1</v>
      </c>
      <c r="AP37" t="inlineStr"/>
      <c r="AQ37" t="inlineStr">
        <is>
          <t>3659 und 2524</t>
        </is>
      </c>
      <c r="AR37" t="inlineStr"/>
      <c r="AS37" t="inlineStr">
        <is>
          <t>Ο</t>
        </is>
      </c>
      <c r="AT37" t="inlineStr">
        <is>
          <t>Ø</t>
        </is>
      </c>
      <c r="AU37" t="n">
        <v>8777</v>
      </c>
      <c r="AV37" t="n">
        <v>1</v>
      </c>
      <c r="AW37" t="inlineStr"/>
      <c r="AX37" t="inlineStr"/>
      <c r="AY37" s="2" t="n">
        <v>45539</v>
      </c>
      <c r="AZ37" t="n">
        <v>20.67</v>
      </c>
      <c r="BA37" t="n">
        <v>15.9</v>
      </c>
      <c r="BB37" t="inlineStr"/>
      <c r="BC37" t="inlineStr"/>
      <c r="BD37" t="inlineStr">
        <is>
          <t>D</t>
        </is>
      </c>
      <c r="BE37" t="inlineStr"/>
      <c r="BF37" t="inlineStr"/>
      <c r="BG37" t="inlineStr"/>
      <c r="BH37" t="inlineStr">
        <is>
          <t>Con dendrometro</t>
        </is>
      </c>
      <c r="BI37" t="inlineStr"/>
      <c r="BJ37" t="n">
        <v>0.5</v>
      </c>
      <c r="BK37" t="n">
        <v>6.5</v>
      </c>
      <c r="BL37" t="n">
        <v>1.59</v>
      </c>
      <c r="BM37" t="n">
        <v>0.8</v>
      </c>
    </row>
    <row r="38">
      <c r="A38" s="1" t="n">
        <v>36</v>
      </c>
      <c r="B38" t="n">
        <v>368.7674050561288</v>
      </c>
      <c r="C38" t="n">
        <v>0.8715551947834143</v>
      </c>
      <c r="D38" t="n">
        <v>60</v>
      </c>
      <c r="E38" t="inlineStr"/>
      <c r="F38" t="inlineStr">
        <is>
          <t>p60-8760</t>
        </is>
      </c>
      <c r="G38" t="inlineStr">
        <is>
          <t>8760</t>
        </is>
      </c>
      <c r="H38" t="inlineStr">
        <is>
          <t>leaf pulverized</t>
        </is>
      </c>
      <c r="I38" t="inlineStr"/>
      <c r="J38" t="n">
        <v>2025</v>
      </c>
      <c r="K38" t="n">
        <v>42.4809951955718</v>
      </c>
      <c r="L38" t="n">
        <v>0.471447479</v>
      </c>
      <c r="M38" t="n">
        <v>0.013759967</v>
      </c>
      <c r="N38" t="n">
        <v>-33.0046638388123</v>
      </c>
      <c r="O38" t="inlineStr"/>
      <c r="P38" t="n">
        <v>33.96676552741949</v>
      </c>
      <c r="Q38" t="n">
        <v>8760</v>
      </c>
      <c r="R38" t="inlineStr"/>
      <c r="S38" t="inlineStr"/>
      <c r="T38" t="inlineStr">
        <is>
          <t>p60-8760</t>
        </is>
      </c>
      <c r="U38" t="n">
        <v>-30.8542060443791</v>
      </c>
      <c r="V38" t="n">
        <v>-3.591381313131317</v>
      </c>
      <c r="W38" t="n">
        <v>22.96270198268865</v>
      </c>
      <c r="X38" t="inlineStr">
        <is>
          <t>Galeras</t>
        </is>
      </c>
      <c r="Y38" t="n">
        <v>1500</v>
      </c>
      <c r="Z38" t="n">
        <v>60</v>
      </c>
      <c r="AA38" t="inlineStr">
        <is>
          <t>Galeras</t>
        </is>
      </c>
      <c r="AB38" t="inlineStr">
        <is>
          <t>GAL_60</t>
        </is>
      </c>
      <c r="AC38" t="n">
        <v>1815</v>
      </c>
      <c r="AD38" t="n">
        <v>1</v>
      </c>
      <c r="AE38" t="n">
        <v>1</v>
      </c>
      <c r="AF38" t="n">
        <v>0</v>
      </c>
      <c r="AG38" t="n">
        <v>0</v>
      </c>
      <c r="AH38" t="inlineStr">
        <is>
          <t>Myrtaceae</t>
        </is>
      </c>
      <c r="AI38" t="inlineStr"/>
      <c r="AJ38" t="inlineStr"/>
      <c r="AK38" s="2" t="n">
        <v>39176</v>
      </c>
      <c r="AL38" t="n">
        <v>10.51</v>
      </c>
      <c r="AM38" s="2" t="n">
        <v>40724</v>
      </c>
      <c r="AN38" t="n">
        <v>10.52</v>
      </c>
      <c r="AO38" t="n">
        <v>10.3</v>
      </c>
      <c r="AP38" t="inlineStr"/>
      <c r="AQ38" t="inlineStr"/>
      <c r="AR38" t="inlineStr"/>
      <c r="AS38" t="inlineStr">
        <is>
          <t>Ο</t>
        </is>
      </c>
      <c r="AT38" t="inlineStr">
        <is>
          <t>Ø</t>
        </is>
      </c>
      <c r="AU38" t="n">
        <v>8760</v>
      </c>
      <c r="AV38" t="n">
        <v>1</v>
      </c>
      <c r="AW38" t="inlineStr"/>
      <c r="AX38" t="inlineStr"/>
      <c r="AY38" s="2" t="n">
        <v>45539</v>
      </c>
      <c r="AZ38" t="n">
        <v>10.53</v>
      </c>
      <c r="BA38" t="n">
        <v>8.5</v>
      </c>
      <c r="BB38" t="inlineStr"/>
      <c r="BC38" t="inlineStr"/>
      <c r="BD38" t="inlineStr">
        <is>
          <t>C</t>
        </is>
      </c>
      <c r="BE38" t="inlineStr"/>
      <c r="BF38" t="inlineStr"/>
      <c r="BG38" t="inlineStr"/>
      <c r="BH38" t="inlineStr">
        <is>
          <t>inclinado</t>
        </is>
      </c>
      <c r="BI38" t="inlineStr"/>
      <c r="BJ38" t="n">
        <v>0.5</v>
      </c>
      <c r="BK38" t="n">
        <v>4.8</v>
      </c>
      <c r="BL38" t="n">
        <v>1.26</v>
      </c>
      <c r="BM38" t="n">
        <v>0.78</v>
      </c>
    </row>
    <row r="39">
      <c r="A39" s="1" t="n">
        <v>37</v>
      </c>
      <c r="B39" t="n">
        <v>338.7617410358204</v>
      </c>
      <c r="C39" t="n">
        <v>0.8006389695659357</v>
      </c>
      <c r="D39" t="n">
        <v>60</v>
      </c>
      <c r="E39" t="inlineStr"/>
      <c r="F39" t="inlineStr">
        <is>
          <t>p60-8774</t>
        </is>
      </c>
      <c r="G39" t="inlineStr">
        <is>
          <t>8774</t>
        </is>
      </c>
      <c r="H39" t="inlineStr">
        <is>
          <t>leaf pulverized</t>
        </is>
      </c>
      <c r="I39" t="inlineStr"/>
      <c r="J39" t="n">
        <v>2025</v>
      </c>
      <c r="K39" t="n">
        <v>43.3265177052123</v>
      </c>
      <c r="L39" t="n">
        <v>0.41838771</v>
      </c>
      <c r="M39" t="n">
        <v>0.025687413</v>
      </c>
      <c r="N39" t="n">
        <v>-30.73588759278897</v>
      </c>
      <c r="O39" t="inlineStr"/>
      <c r="P39" t="n">
        <v>52.72030554011224</v>
      </c>
      <c r="Q39" t="n">
        <v>8774</v>
      </c>
      <c r="R39" t="inlineStr"/>
      <c r="S39" t="inlineStr"/>
      <c r="T39" t="inlineStr">
        <is>
          <t>p60-8774</t>
        </is>
      </c>
      <c r="U39" t="n">
        <v>-29.3334332956575</v>
      </c>
      <c r="V39" t="n">
        <v>-0.2756262626262652</v>
      </c>
      <c r="W39" t="n">
        <v>21.35999529277363</v>
      </c>
      <c r="X39" t="inlineStr">
        <is>
          <t>Galeras</t>
        </is>
      </c>
      <c r="Y39" t="n">
        <v>1500</v>
      </c>
      <c r="Z39" t="n">
        <v>60</v>
      </c>
      <c r="AA39" t="inlineStr">
        <is>
          <t>Galeras</t>
        </is>
      </c>
      <c r="AB39" t="inlineStr">
        <is>
          <t>GAL_60</t>
        </is>
      </c>
      <c r="AC39" t="n">
        <v>1802</v>
      </c>
      <c r="AD39" t="n">
        <v>1</v>
      </c>
      <c r="AE39" t="n">
        <v>1</v>
      </c>
      <c r="AF39" t="n">
        <v>0</v>
      </c>
      <c r="AG39" t="n">
        <v>0</v>
      </c>
      <c r="AH39" t="inlineStr">
        <is>
          <t>Moraceae</t>
        </is>
      </c>
      <c r="AI39" t="inlineStr">
        <is>
          <t>Helicostylis</t>
        </is>
      </c>
      <c r="AJ39" t="inlineStr">
        <is>
          <t>tovariensis</t>
        </is>
      </c>
      <c r="AK39" s="2" t="n">
        <v>39176</v>
      </c>
      <c r="AL39" t="n">
        <v>26.62</v>
      </c>
      <c r="AM39" s="2" t="n">
        <v>40724</v>
      </c>
      <c r="AN39" t="n">
        <v>26.63</v>
      </c>
      <c r="AO39" t="n">
        <v>12.5</v>
      </c>
      <c r="AP39" t="inlineStr"/>
      <c r="AQ39" t="n">
        <v>2523</v>
      </c>
      <c r="AR39" t="inlineStr"/>
      <c r="AS39" t="inlineStr"/>
      <c r="AT39" t="inlineStr"/>
      <c r="AU39" t="n">
        <v>8774</v>
      </c>
      <c r="AV39" t="n">
        <v>1</v>
      </c>
      <c r="AW39" t="inlineStr"/>
      <c r="AX39" t="inlineStr"/>
      <c r="AY39" s="2" t="n">
        <v>45539</v>
      </c>
      <c r="AZ39" t="n">
        <v>27.44</v>
      </c>
      <c r="BA39" t="n">
        <v>12</v>
      </c>
      <c r="BB39" t="inlineStr"/>
      <c r="BC39" t="inlineStr"/>
      <c r="BD39" t="inlineStr">
        <is>
          <t>D</t>
        </is>
      </c>
      <c r="BE39" t="inlineStr"/>
      <c r="BF39" t="inlineStr"/>
      <c r="BG39" t="inlineStr"/>
      <c r="BH39" t="inlineStr">
        <is>
          <t>Con dendrometro</t>
        </is>
      </c>
      <c r="BI39" t="inlineStr"/>
      <c r="BJ39" t="inlineStr"/>
      <c r="BK39" t="inlineStr"/>
      <c r="BL39" t="inlineStr"/>
      <c r="BM39" t="inlineStr"/>
    </row>
    <row r="40">
      <c r="A40" s="1" t="n">
        <v>38</v>
      </c>
      <c r="B40" t="n">
        <v>330.265165461732</v>
      </c>
      <c r="C40" t="n">
        <v>0.7805579253143714</v>
      </c>
      <c r="D40" t="n">
        <v>60</v>
      </c>
      <c r="E40" t="inlineStr"/>
      <c r="F40" t="inlineStr">
        <is>
          <t>p60-8763</t>
        </is>
      </c>
      <c r="G40" t="inlineStr">
        <is>
          <t>8763</t>
        </is>
      </c>
      <c r="H40" t="inlineStr">
        <is>
          <t>leaf pulverized</t>
        </is>
      </c>
      <c r="I40" t="inlineStr"/>
      <c r="J40" t="n">
        <v>2025</v>
      </c>
      <c r="K40" t="n">
        <v>43.4781494563771</v>
      </c>
      <c r="L40" t="n">
        <v>0.48746175</v>
      </c>
      <c r="M40" t="n">
        <v>0.019263705</v>
      </c>
      <c r="N40" t="n">
        <v>-31.76714952279958</v>
      </c>
      <c r="O40" t="inlineStr"/>
      <c r="P40" t="n">
        <v>58.03066527391752</v>
      </c>
      <c r="Q40" t="n">
        <v>8763</v>
      </c>
      <c r="R40" t="inlineStr"/>
      <c r="S40" t="inlineStr"/>
      <c r="T40" t="inlineStr">
        <is>
          <t>p60-8763</t>
        </is>
      </c>
      <c r="U40" t="n">
        <v>-28.9019351063201</v>
      </c>
      <c r="V40" t="n">
        <v>-1.960505050505054</v>
      </c>
      <c r="W40" t="n">
        <v>20.90616369268828</v>
      </c>
      <c r="X40" t="inlineStr">
        <is>
          <t>Galeras</t>
        </is>
      </c>
      <c r="Y40" t="n">
        <v>1500</v>
      </c>
      <c r="Z40" t="n">
        <v>60</v>
      </c>
      <c r="AA40" t="inlineStr">
        <is>
          <t>Galeras</t>
        </is>
      </c>
      <c r="AB40" t="inlineStr">
        <is>
          <t>GAL_60</t>
        </is>
      </c>
      <c r="AC40" t="n">
        <v>1813</v>
      </c>
      <c r="AD40" t="n">
        <v>1</v>
      </c>
      <c r="AE40" t="n">
        <v>1</v>
      </c>
      <c r="AF40" t="n">
        <v>0</v>
      </c>
      <c r="AG40" t="n">
        <v>0</v>
      </c>
      <c r="AH40" t="inlineStr">
        <is>
          <t>Lauraceae</t>
        </is>
      </c>
      <c r="AI40" t="inlineStr">
        <is>
          <t>Ocotea</t>
        </is>
      </c>
      <c r="AJ40" t="inlineStr"/>
      <c r="AK40" s="2" t="n">
        <v>39176</v>
      </c>
      <c r="AL40" t="n">
        <v>28.98</v>
      </c>
      <c r="AM40" s="2" t="n">
        <v>40724</v>
      </c>
      <c r="AN40" t="n">
        <v>29.59</v>
      </c>
      <c r="AO40" t="n">
        <v>18.5</v>
      </c>
      <c r="AP40" t="inlineStr"/>
      <c r="AQ40" t="n">
        <v>3657</v>
      </c>
      <c r="AR40" t="inlineStr"/>
      <c r="AS40" t="inlineStr">
        <is>
          <t>Ο</t>
        </is>
      </c>
      <c r="AT40" t="inlineStr">
        <is>
          <t>Ø</t>
        </is>
      </c>
      <c r="AU40" t="n">
        <v>8763</v>
      </c>
      <c r="AV40" t="n">
        <v>1</v>
      </c>
      <c r="AW40" t="inlineStr"/>
      <c r="AX40" t="inlineStr"/>
      <c r="AY40" s="2" t="n">
        <v>45539</v>
      </c>
      <c r="AZ40" t="n">
        <v>30.42</v>
      </c>
      <c r="BA40" t="n">
        <v>17.6</v>
      </c>
      <c r="BB40" t="inlineStr"/>
      <c r="BC40" t="inlineStr"/>
      <c r="BD40" t="inlineStr">
        <is>
          <t>C</t>
        </is>
      </c>
      <c r="BE40" t="inlineStr"/>
      <c r="BF40" t="inlineStr"/>
      <c r="BG40" t="inlineStr"/>
      <c r="BH40" t="inlineStr">
        <is>
          <t>Con dendrometro</t>
        </is>
      </c>
      <c r="BI40" t="inlineStr"/>
      <c r="BJ40" t="n">
        <v>1.1</v>
      </c>
      <c r="BK40" t="n">
        <v>6</v>
      </c>
      <c r="BL40" t="n">
        <v>1.19</v>
      </c>
      <c r="BM40" t="n">
        <v>0.57</v>
      </c>
    </row>
    <row r="41">
      <c r="A41" s="1" t="n">
        <v>39</v>
      </c>
      <c r="B41" t="n">
        <v>307.800547162884</v>
      </c>
      <c r="C41" t="n">
        <v>0.7274644183808955</v>
      </c>
      <c r="D41" t="n">
        <v>60</v>
      </c>
      <c r="E41" t="inlineStr"/>
      <c r="F41" t="inlineStr">
        <is>
          <t>p60-8751</t>
        </is>
      </c>
      <c r="G41" t="inlineStr">
        <is>
          <t>8751</t>
        </is>
      </c>
      <c r="H41" t="inlineStr">
        <is>
          <t>leaf pulverized</t>
        </is>
      </c>
      <c r="I41" t="inlineStr"/>
      <c r="J41" t="n">
        <v>2025</v>
      </c>
      <c r="K41" t="n">
        <v>43.9985520392265</v>
      </c>
      <c r="L41" t="n">
        <v>0.477432064</v>
      </c>
      <c r="M41" t="n">
        <v>0.028111833</v>
      </c>
      <c r="N41" t="n">
        <v>-30.73588759278897</v>
      </c>
      <c r="O41" t="inlineStr"/>
      <c r="P41" t="n">
        <v>72.0710517106975</v>
      </c>
      <c r="Q41" t="n">
        <v>8751</v>
      </c>
      <c r="R41" t="inlineStr"/>
      <c r="S41" t="inlineStr"/>
      <c r="T41" t="inlineStr">
        <is>
          <t>p60-8751</t>
        </is>
      </c>
      <c r="U41" t="n">
        <v>-27.7592202890675</v>
      </c>
      <c r="V41" t="n">
        <v>1.268845959595958</v>
      </c>
      <c r="W41" t="n">
        <v>19.70625043599173</v>
      </c>
      <c r="X41" t="inlineStr">
        <is>
          <t>Galeras</t>
        </is>
      </c>
      <c r="Y41" t="n">
        <v>1500</v>
      </c>
      <c r="Z41" t="n">
        <v>60</v>
      </c>
      <c r="AA41" t="inlineStr">
        <is>
          <t>Galeras</t>
        </is>
      </c>
      <c r="AB41" t="inlineStr">
        <is>
          <t>GAL_60</t>
        </is>
      </c>
      <c r="AC41" t="n">
        <v>1831</v>
      </c>
      <c r="AD41" t="n">
        <v>1</v>
      </c>
      <c r="AE41" t="n">
        <v>1</v>
      </c>
      <c r="AF41" t="n">
        <v>0</v>
      </c>
      <c r="AG41" t="n">
        <v>0</v>
      </c>
      <c r="AH41" t="inlineStr">
        <is>
          <t>Lecythidaceae</t>
        </is>
      </c>
      <c r="AI41" t="inlineStr">
        <is>
          <t>Eschweilera</t>
        </is>
      </c>
      <c r="AJ41" t="inlineStr"/>
      <c r="AK41" s="2" t="n">
        <v>39176</v>
      </c>
      <c r="AL41" t="n">
        <v>25.21</v>
      </c>
      <c r="AM41" s="2" t="n">
        <v>40724</v>
      </c>
      <c r="AN41" t="n">
        <v>25.3</v>
      </c>
      <c r="AO41" t="n">
        <v>16.8</v>
      </c>
      <c r="AP41" t="inlineStr"/>
      <c r="AQ41" t="n">
        <v>3670</v>
      </c>
      <c r="AR41" t="n">
        <v>1</v>
      </c>
      <c r="AS41" t="inlineStr"/>
      <c r="AT41" t="inlineStr"/>
      <c r="AU41" t="n">
        <v>8751</v>
      </c>
      <c r="AV41" t="n">
        <v>1</v>
      </c>
      <c r="AW41" t="inlineStr"/>
      <c r="AX41" t="inlineStr"/>
      <c r="AY41" s="2" t="n">
        <v>45539</v>
      </c>
      <c r="AZ41" t="n">
        <v>25.9</v>
      </c>
      <c r="BA41" t="n">
        <v>16.6</v>
      </c>
      <c r="BB41" t="inlineStr"/>
      <c r="BC41" t="inlineStr"/>
      <c r="BD41" t="inlineStr">
        <is>
          <t>B</t>
        </is>
      </c>
      <c r="BE41" t="inlineStr"/>
      <c r="BF41" t="inlineStr"/>
      <c r="BG41" t="inlineStr"/>
      <c r="BH41" t="inlineStr">
        <is>
          <t>Con dendrometro</t>
        </is>
      </c>
      <c r="BI41" t="inlineStr"/>
      <c r="BJ41" t="inlineStr"/>
      <c r="BK41" t="inlineStr"/>
      <c r="BL41" t="inlineStr"/>
      <c r="BM41" t="inlineStr"/>
    </row>
    <row r="42">
      <c r="A42" s="1" t="n">
        <v>40</v>
      </c>
      <c r="B42" t="n">
        <v>396.6110322138481</v>
      </c>
      <c r="C42" t="n">
        <v>0.9373616016355307</v>
      </c>
      <c r="D42" t="n">
        <v>28</v>
      </c>
      <c r="E42" t="inlineStr"/>
      <c r="F42" t="inlineStr">
        <is>
          <t>p28-8738</t>
        </is>
      </c>
      <c r="G42" t="inlineStr">
        <is>
          <t>8738</t>
        </is>
      </c>
      <c r="H42" t="inlineStr">
        <is>
          <t>leaf pulverized</t>
        </is>
      </c>
      <c r="I42" t="inlineStr"/>
      <c r="J42" t="n">
        <v>2025</v>
      </c>
      <c r="K42" t="n">
        <v>43.8414388746346</v>
      </c>
      <c r="L42" t="n">
        <v>0.458460268</v>
      </c>
      <c r="M42" t="n">
        <v>0.016373887</v>
      </c>
      <c r="N42" t="n">
        <v>-33.37591813361612</v>
      </c>
      <c r="O42" t="inlineStr"/>
      <c r="P42" t="n">
        <v>16.5644985538449</v>
      </c>
      <c r="Q42" t="n">
        <v>8738</v>
      </c>
      <c r="R42" t="inlineStr"/>
      <c r="S42" t="inlineStr"/>
      <c r="T42" t="inlineStr">
        <is>
          <t>p28-8738</t>
        </is>
      </c>
      <c r="U42" t="n">
        <v>-32.2611441649535</v>
      </c>
      <c r="V42" t="n">
        <v>-0.9776590909090938</v>
      </c>
      <c r="W42" t="n">
        <v>24.44992677754648</v>
      </c>
      <c r="X42" t="inlineStr">
        <is>
          <t>Galeras</t>
        </is>
      </c>
      <c r="Y42" t="n">
        <v>2000</v>
      </c>
      <c r="Z42" t="n">
        <v>28</v>
      </c>
      <c r="AA42" t="inlineStr">
        <is>
          <t>Galeras</t>
        </is>
      </c>
      <c r="AB42" t="inlineStr">
        <is>
          <t>GAL_28</t>
        </is>
      </c>
      <c r="AC42" t="n">
        <v>715</v>
      </c>
      <c r="AD42" t="n">
        <v>1</v>
      </c>
      <c r="AE42" t="inlineStr"/>
      <c r="AF42" t="inlineStr"/>
      <c r="AG42" t="inlineStr"/>
      <c r="AH42" t="inlineStr">
        <is>
          <t>Rosaceae</t>
        </is>
      </c>
      <c r="AI42" t="inlineStr">
        <is>
          <t>Prunus</t>
        </is>
      </c>
      <c r="AJ42" t="inlineStr">
        <is>
          <t>opaca</t>
        </is>
      </c>
      <c r="AK42" s="2" t="n">
        <v>38821</v>
      </c>
      <c r="AL42" t="n">
        <v>42.97183463481174</v>
      </c>
      <c r="AM42" t="inlineStr"/>
      <c r="AN42" t="inlineStr"/>
      <c r="AO42" t="inlineStr"/>
      <c r="AP42" t="inlineStr"/>
      <c r="AQ42" t="inlineStr">
        <is>
          <t>3587</t>
        </is>
      </c>
      <c r="AR42" t="inlineStr"/>
      <c r="AS42" t="inlineStr">
        <is>
          <t>Ο</t>
        </is>
      </c>
      <c r="AT42" t="inlineStr">
        <is>
          <t>Ø</t>
        </is>
      </c>
      <c r="AU42" t="n">
        <v>8738</v>
      </c>
      <c r="AV42" t="n">
        <v>1</v>
      </c>
      <c r="AW42" t="inlineStr"/>
      <c r="AX42" t="inlineStr"/>
      <c r="AY42" s="2" t="n">
        <v>45538</v>
      </c>
      <c r="AZ42" t="n">
        <v>44.9</v>
      </c>
      <c r="BA42" t="inlineStr"/>
      <c r="BB42" t="inlineStr"/>
      <c r="BC42" t="inlineStr"/>
      <c r="BD42" t="inlineStr">
        <is>
          <t>D</t>
        </is>
      </c>
      <c r="BE42" t="inlineStr"/>
      <c r="BF42" t="inlineStr"/>
      <c r="BG42" t="inlineStr"/>
      <c r="BH42" t="inlineStr">
        <is>
          <t>FALTA ALTURA</t>
        </is>
      </c>
      <c r="BI42" t="inlineStr"/>
      <c r="BJ42" t="n">
        <v>1.3</v>
      </c>
      <c r="BK42" t="n">
        <v>4.1</v>
      </c>
      <c r="BL42" t="n">
        <v>1.11</v>
      </c>
      <c r="BM42" t="n">
        <v>0.7</v>
      </c>
    </row>
    <row r="43">
      <c r="A43" s="1" t="n">
        <v>41</v>
      </c>
      <c r="B43" t="n">
        <v>287.9275067388207</v>
      </c>
      <c r="C43" t="n">
        <v>0.6804959190497335</v>
      </c>
      <c r="D43" t="n">
        <v>48</v>
      </c>
      <c r="E43" t="inlineStr"/>
      <c r="F43" t="inlineStr">
        <is>
          <t>p48-8665</t>
        </is>
      </c>
      <c r="G43" t="inlineStr"/>
      <c r="H43" t="inlineStr">
        <is>
          <t>leaf pulverized</t>
        </is>
      </c>
      <c r="I43" t="inlineStr"/>
      <c r="J43" t="n">
        <v>2025</v>
      </c>
      <c r="K43" t="n">
        <v>43.5494988819161</v>
      </c>
      <c r="L43" t="inlineStr"/>
      <c r="M43" t="inlineStr"/>
      <c r="N43" t="inlineStr"/>
      <c r="O43" t="inlineStr"/>
      <c r="P43" t="n">
        <v>84.49170197573704</v>
      </c>
      <c r="Q43" t="n">
        <v>8665</v>
      </c>
      <c r="R43" t="n">
        <v>8665</v>
      </c>
      <c r="S43" t="inlineStr"/>
      <c r="T43" t="inlineStr"/>
      <c r="U43" t="n">
        <v>-26.7460878984196</v>
      </c>
      <c r="V43" t="inlineStr"/>
      <c r="W43" t="n">
        <v>18.64476235110747</v>
      </c>
      <c r="X43" t="inlineStr">
        <is>
          <t>Galeras</t>
        </is>
      </c>
      <c r="Y43" t="n">
        <v>1000</v>
      </c>
      <c r="Z43" t="n">
        <v>48</v>
      </c>
      <c r="AA43" t="inlineStr">
        <is>
          <t>Galeras</t>
        </is>
      </c>
      <c r="AB43" t="inlineStr">
        <is>
          <t>GAL_48</t>
        </is>
      </c>
      <c r="AC43" t="n">
        <v>1411</v>
      </c>
      <c r="AD43" t="n">
        <v>1</v>
      </c>
      <c r="AE43" t="inlineStr"/>
      <c r="AF43" t="inlineStr"/>
      <c r="AG43" t="inlineStr"/>
      <c r="AH43" t="inlineStr">
        <is>
          <t>Moraceae</t>
        </is>
      </c>
      <c r="AI43" t="inlineStr">
        <is>
          <t>Helicostylis</t>
        </is>
      </c>
      <c r="AJ43" t="inlineStr">
        <is>
          <t>tomentosa</t>
        </is>
      </c>
      <c r="AK43" s="2" t="n">
        <v>38871</v>
      </c>
      <c r="AL43" t="n">
        <v>23.23662169141672</v>
      </c>
      <c r="AM43" t="inlineStr"/>
      <c r="AN43" t="inlineStr"/>
      <c r="AO43" t="inlineStr"/>
      <c r="AP43" t="inlineStr"/>
      <c r="AQ43" t="inlineStr">
        <is>
          <t>3696</t>
        </is>
      </c>
      <c r="AR43" t="inlineStr"/>
      <c r="AS43" t="inlineStr"/>
      <c r="AT43" t="inlineStr">
        <is>
          <t>ø</t>
        </is>
      </c>
      <c r="AU43" t="n">
        <v>8665</v>
      </c>
      <c r="AV43" t="n">
        <v>1</v>
      </c>
      <c r="AW43" t="inlineStr"/>
      <c r="AX43" t="inlineStr"/>
      <c r="AY43" s="2" t="n">
        <v>45666</v>
      </c>
      <c r="AZ43" t="n">
        <v>26.2</v>
      </c>
      <c r="BA43" t="n">
        <v>14.3</v>
      </c>
      <c r="BB43" t="inlineStr"/>
      <c r="BC43" t="inlineStr"/>
      <c r="BD43" t="inlineStr">
        <is>
          <t>A</t>
        </is>
      </c>
      <c r="BE43" t="inlineStr"/>
      <c r="BF43" t="inlineStr"/>
      <c r="BG43" t="inlineStr">
        <is>
          <t>3 - flores</t>
        </is>
      </c>
      <c r="BH43" t="inlineStr"/>
      <c r="BI43" t="inlineStr"/>
      <c r="BJ43" t="inlineStr"/>
      <c r="BK43" t="inlineStr"/>
      <c r="BL43" t="inlineStr"/>
      <c r="BM43" t="inlineStr"/>
    </row>
    <row r="44">
      <c r="A44" s="1" t="n">
        <v>42</v>
      </c>
      <c r="B44" t="n">
        <v>395.3137558505334</v>
      </c>
      <c r="C44" t="n">
        <v>0.9342955824103647</v>
      </c>
      <c r="D44" t="n">
        <v>24</v>
      </c>
      <c r="E44" t="inlineStr"/>
      <c r="F44" t="inlineStr">
        <is>
          <t>p24-8639</t>
        </is>
      </c>
      <c r="G44" t="inlineStr"/>
      <c r="H44" t="inlineStr">
        <is>
          <t>leaf pulverized</t>
        </is>
      </c>
      <c r="I44" t="inlineStr"/>
      <c r="J44" t="n">
        <v>2025</v>
      </c>
      <c r="K44" t="n">
        <v>44.0685383962201</v>
      </c>
      <c r="L44" t="inlineStr"/>
      <c r="M44" t="inlineStr"/>
      <c r="N44" t="inlineStr"/>
      <c r="O44" t="inlineStr"/>
      <c r="P44" t="n">
        <v>17.3752962809166</v>
      </c>
      <c r="Q44" t="n">
        <v>8639</v>
      </c>
      <c r="R44" t="n">
        <v>8639</v>
      </c>
      <c r="S44" t="inlineStr"/>
      <c r="T44" t="inlineStr"/>
      <c r="U44" t="n">
        <v>-32.1956835423096</v>
      </c>
      <c r="V44" t="inlineStr"/>
      <c r="W44" t="n">
        <v>24.38063474305773</v>
      </c>
      <c r="X44" t="inlineStr">
        <is>
          <t>Galeras</t>
        </is>
      </c>
      <c r="Y44" t="n">
        <v>1000</v>
      </c>
      <c r="Z44" t="n">
        <v>24</v>
      </c>
      <c r="AA44" t="inlineStr">
        <is>
          <t>Galeras</t>
        </is>
      </c>
      <c r="AB44" t="inlineStr">
        <is>
          <t>GAL_24</t>
        </is>
      </c>
      <c r="AC44" t="n">
        <v>585</v>
      </c>
      <c r="AD44" t="n">
        <v>1</v>
      </c>
      <c r="AE44" t="n">
        <v>1</v>
      </c>
      <c r="AF44" t="n">
        <v>0</v>
      </c>
      <c r="AG44" t="n">
        <v>0</v>
      </c>
      <c r="AH44" t="inlineStr">
        <is>
          <t>Lacistemataceae</t>
        </is>
      </c>
      <c r="AI44" t="inlineStr">
        <is>
          <t>Lozania</t>
        </is>
      </c>
      <c r="AJ44" t="inlineStr">
        <is>
          <t>klugii</t>
        </is>
      </c>
      <c r="AK44" s="2" t="n">
        <v>38822</v>
      </c>
      <c r="AL44" t="n">
        <v>12.75</v>
      </c>
      <c r="AM44" s="2" t="n">
        <v>40724</v>
      </c>
      <c r="AN44" t="n">
        <v>14.23</v>
      </c>
      <c r="AO44" t="inlineStr">
        <is>
          <t>9,6</t>
        </is>
      </c>
      <c r="AP44" t="inlineStr"/>
      <c r="AQ44" t="n">
        <v>2083</v>
      </c>
      <c r="AR44" t="n">
        <v>1</v>
      </c>
      <c r="AS44" t="inlineStr"/>
      <c r="AT44" t="inlineStr">
        <is>
          <t>ø</t>
        </is>
      </c>
      <c r="AU44" t="n">
        <v>8639</v>
      </c>
      <c r="AV44" t="n">
        <v>1</v>
      </c>
      <c r="AW44" t="inlineStr"/>
      <c r="AX44" t="inlineStr"/>
      <c r="AY44" s="2" t="n">
        <v>45665</v>
      </c>
      <c r="AZ44" t="n">
        <v>19.4</v>
      </c>
      <c r="BA44" t="n">
        <v>8</v>
      </c>
      <c r="BB44" t="inlineStr"/>
      <c r="BC44" t="inlineStr"/>
      <c r="BD44" t="inlineStr">
        <is>
          <t>B</t>
        </is>
      </c>
      <c r="BE44" t="inlineStr"/>
      <c r="BF44" t="inlineStr"/>
      <c r="BG44" t="inlineStr">
        <is>
          <t>3 - frutos</t>
        </is>
      </c>
      <c r="BH44" t="inlineStr">
        <is>
          <t>Flores. Id por dbh y especie.</t>
        </is>
      </c>
      <c r="BI44" t="inlineStr"/>
      <c r="BJ44" t="inlineStr"/>
      <c r="BK44" t="inlineStr"/>
      <c r="BL44" t="inlineStr"/>
      <c r="BM44" t="inlineStr"/>
    </row>
    <row r="45">
      <c r="A45" s="1" t="n">
        <v>43</v>
      </c>
      <c r="B45" t="n">
        <v>390.815599330987</v>
      </c>
      <c r="C45" t="n">
        <v>0.9236645135365772</v>
      </c>
      <c r="D45" t="n">
        <v>62</v>
      </c>
      <c r="E45" t="inlineStr"/>
      <c r="F45" t="inlineStr">
        <is>
          <t>p62-8669</t>
        </is>
      </c>
      <c r="G45" t="inlineStr"/>
      <c r="H45" t="inlineStr">
        <is>
          <t>leaf pulverized</t>
        </is>
      </c>
      <c r="I45" t="inlineStr"/>
      <c r="J45" t="n">
        <v>2025</v>
      </c>
      <c r="K45" t="n">
        <v>51.5501825647706</v>
      </c>
      <c r="L45" t="inlineStr"/>
      <c r="M45" t="inlineStr"/>
      <c r="N45" t="inlineStr"/>
      <c r="O45" t="inlineStr"/>
      <c r="P45" t="n">
        <v>20.18664410563314</v>
      </c>
      <c r="Q45" t="n">
        <v>8669</v>
      </c>
      <c r="R45" t="n">
        <v>8669</v>
      </c>
      <c r="S45" t="inlineStr"/>
      <c r="T45" t="inlineStr"/>
      <c r="U45" t="n">
        <v>-31.9686377599029</v>
      </c>
      <c r="V45" t="inlineStr"/>
      <c r="W45" t="n">
        <v>24.14037258651014</v>
      </c>
      <c r="X45" t="inlineStr">
        <is>
          <t>Galeras</t>
        </is>
      </c>
      <c r="Y45" t="n">
        <v>1500</v>
      </c>
      <c r="Z45" t="n">
        <v>48</v>
      </c>
      <c r="AA45" t="inlineStr">
        <is>
          <t>Galeras</t>
        </is>
      </c>
      <c r="AB45" t="inlineStr">
        <is>
          <t>GAL_48</t>
        </is>
      </c>
      <c r="AC45" t="n">
        <v>1404</v>
      </c>
      <c r="AD45" t="n">
        <v>1</v>
      </c>
      <c r="AE45" t="inlineStr"/>
      <c r="AF45" t="inlineStr"/>
      <c r="AG45" t="inlineStr"/>
      <c r="AH45" t="inlineStr">
        <is>
          <t>Apocynaceae</t>
        </is>
      </c>
      <c r="AI45" t="inlineStr">
        <is>
          <t>Lacmellea</t>
        </is>
      </c>
      <c r="AJ45" t="inlineStr">
        <is>
          <t>speciosa</t>
        </is>
      </c>
      <c r="AK45" s="2" t="n">
        <v>38871</v>
      </c>
      <c r="AL45" t="n">
        <v>10.1859163578813</v>
      </c>
      <c r="AM45" t="inlineStr"/>
      <c r="AN45" t="inlineStr"/>
      <c r="AO45" t="inlineStr"/>
      <c r="AP45" t="inlineStr"/>
      <c r="AQ45" t="inlineStr">
        <is>
          <t>3697</t>
        </is>
      </c>
      <c r="AR45" t="inlineStr"/>
      <c r="AS45" t="inlineStr"/>
      <c r="AT45" t="inlineStr">
        <is>
          <t>ø</t>
        </is>
      </c>
      <c r="AU45" t="n">
        <v>8669</v>
      </c>
      <c r="AV45" t="n">
        <v>1</v>
      </c>
      <c r="AW45" t="inlineStr"/>
      <c r="AX45" t="inlineStr"/>
      <c r="AY45" s="2" t="n">
        <v>45666</v>
      </c>
      <c r="AZ45" t="n">
        <v>11.2</v>
      </c>
      <c r="BA45" t="n">
        <v>12</v>
      </c>
      <c r="BB45" t="inlineStr"/>
      <c r="BC45" t="inlineStr"/>
      <c r="BD45" t="inlineStr">
        <is>
          <t>B</t>
        </is>
      </c>
      <c r="BE45" t="inlineStr"/>
      <c r="BF45" t="inlineStr"/>
      <c r="BG45" t="n">
        <v>2</v>
      </c>
      <c r="BH45" t="inlineStr"/>
      <c r="BI45" t="inlineStr"/>
      <c r="BJ45" t="inlineStr"/>
      <c r="BK45" t="inlineStr"/>
      <c r="BL45" t="inlineStr"/>
      <c r="BM45" t="inlineStr"/>
    </row>
    <row r="46">
      <c r="A46" s="1" t="n">
        <v>44</v>
      </c>
      <c r="B46" t="n">
        <v>368.6428065204019</v>
      </c>
      <c r="C46" t="n">
        <v>0.8712607151206614</v>
      </c>
      <c r="D46" t="n">
        <v>48</v>
      </c>
      <c r="E46" t="inlineStr"/>
      <c r="F46" t="inlineStr">
        <is>
          <t>p48-8685</t>
        </is>
      </c>
      <c r="G46" t="inlineStr"/>
      <c r="H46" t="inlineStr">
        <is>
          <t>leaf pulverized</t>
        </is>
      </c>
      <c r="I46" t="inlineStr"/>
      <c r="J46" t="n">
        <v>2025</v>
      </c>
      <c r="K46" t="n">
        <v>43.9914834104145</v>
      </c>
      <c r="L46" t="inlineStr"/>
      <c r="M46" t="inlineStr"/>
      <c r="N46" t="inlineStr"/>
      <c r="O46" t="inlineStr"/>
      <c r="P46" t="n">
        <v>34.04463961224879</v>
      </c>
      <c r="Q46" t="n">
        <v>8685</v>
      </c>
      <c r="R46" t="n">
        <v>8685</v>
      </c>
      <c r="S46" t="inlineStr"/>
      <c r="T46" t="inlineStr"/>
      <c r="U46" t="n">
        <v>-30.8479008876318</v>
      </c>
      <c r="V46" t="inlineStr"/>
      <c r="W46" t="n">
        <v>22.95604674231043</v>
      </c>
      <c r="X46" t="inlineStr">
        <is>
          <t>Galeras</t>
        </is>
      </c>
      <c r="Y46" t="n">
        <v>1000</v>
      </c>
      <c r="Z46" t="n">
        <v>48</v>
      </c>
      <c r="AA46" t="inlineStr">
        <is>
          <t>Galeras</t>
        </is>
      </c>
      <c r="AB46" t="inlineStr">
        <is>
          <t>GAL_48</t>
        </is>
      </c>
      <c r="AC46" t="n">
        <v>1389</v>
      </c>
      <c r="AD46" t="n">
        <v>1</v>
      </c>
      <c r="AE46" t="inlineStr"/>
      <c r="AF46" t="inlineStr"/>
      <c r="AG46" t="inlineStr"/>
      <c r="AH46" t="inlineStr">
        <is>
          <t>Chrysobalanaceae</t>
        </is>
      </c>
      <c r="AI46" t="inlineStr">
        <is>
          <t>Parinari</t>
        </is>
      </c>
      <c r="AJ46" t="inlineStr">
        <is>
          <t>klugii</t>
        </is>
      </c>
      <c r="AK46" s="2" t="n">
        <v>38871</v>
      </c>
      <c r="AL46" t="n">
        <v>11.45915590261646</v>
      </c>
      <c r="AM46" t="inlineStr"/>
      <c r="AN46" t="inlineStr"/>
      <c r="AO46" t="inlineStr"/>
      <c r="AP46" t="inlineStr"/>
      <c r="AQ46" t="inlineStr">
        <is>
          <t>3709,2455</t>
        </is>
      </c>
      <c r="AR46" t="inlineStr"/>
      <c r="AS46" t="inlineStr"/>
      <c r="AT46" t="inlineStr">
        <is>
          <t>ø</t>
        </is>
      </c>
      <c r="AU46" t="n">
        <v>8685</v>
      </c>
      <c r="AV46" t="n">
        <v>1</v>
      </c>
      <c r="AW46" t="inlineStr"/>
      <c r="AX46" t="inlineStr"/>
      <c r="AY46" s="2" t="n">
        <v>45666</v>
      </c>
      <c r="AZ46" t="n">
        <v>12.6</v>
      </c>
      <c r="BA46" t="n">
        <v>19</v>
      </c>
      <c r="BB46" t="inlineStr"/>
      <c r="BC46" t="inlineStr"/>
      <c r="BD46" t="inlineStr">
        <is>
          <t>D</t>
        </is>
      </c>
      <c r="BE46" t="inlineStr"/>
      <c r="BF46" t="inlineStr"/>
      <c r="BG46" t="n">
        <v>3</v>
      </c>
      <c r="BH46" t="inlineStr"/>
      <c r="BI46" t="inlineStr"/>
      <c r="BJ46" t="inlineStr"/>
      <c r="BK46" t="inlineStr"/>
      <c r="BL46" t="inlineStr"/>
      <c r="BM46" t="inlineStr"/>
    </row>
    <row r="47">
      <c r="A47" s="1" t="n">
        <v>45</v>
      </c>
      <c r="B47" t="n">
        <v>357.3541176355079</v>
      </c>
      <c r="C47" t="n">
        <v>0.8445807122108987</v>
      </c>
      <c r="D47" t="n">
        <v>48</v>
      </c>
      <c r="E47" t="inlineStr"/>
      <c r="F47" t="inlineStr">
        <is>
          <t>p48-8678</t>
        </is>
      </c>
      <c r="G47" t="inlineStr"/>
      <c r="H47" t="inlineStr">
        <is>
          <t>leaf pulverized</t>
        </is>
      </c>
      <c r="I47" t="inlineStr"/>
      <c r="J47" t="n">
        <v>2025</v>
      </c>
      <c r="K47" t="n">
        <v>44.9377877375942</v>
      </c>
      <c r="L47" t="inlineStr"/>
      <c r="M47" t="inlineStr"/>
      <c r="N47" t="inlineStr"/>
      <c r="O47" t="inlineStr"/>
      <c r="P47" t="n">
        <v>41.10007016530754</v>
      </c>
      <c r="Q47" t="n">
        <v>8678</v>
      </c>
      <c r="R47" t="n">
        <v>8678</v>
      </c>
      <c r="S47" t="inlineStr"/>
      <c r="T47" t="inlineStr"/>
      <c r="U47" t="n">
        <v>-30.2763099384598</v>
      </c>
      <c r="V47" t="inlineStr"/>
      <c r="W47" t="n">
        <v>22.3530786765498</v>
      </c>
      <c r="X47" t="inlineStr">
        <is>
          <t>Galeras</t>
        </is>
      </c>
      <c r="Y47" t="n">
        <v>1000</v>
      </c>
      <c r="Z47" t="n">
        <v>48</v>
      </c>
      <c r="AA47" t="inlineStr">
        <is>
          <t>Galeras</t>
        </is>
      </c>
      <c r="AB47" t="inlineStr">
        <is>
          <t>GAL_48</t>
        </is>
      </c>
      <c r="AC47" t="n">
        <v>1398</v>
      </c>
      <c r="AD47" t="n">
        <v>1</v>
      </c>
      <c r="AE47" t="inlineStr"/>
      <c r="AF47" t="inlineStr"/>
      <c r="AG47" t="inlineStr"/>
      <c r="AH47" t="inlineStr">
        <is>
          <t>Sapotaceae</t>
        </is>
      </c>
      <c r="AI47" t="inlineStr">
        <is>
          <t>Ragala</t>
        </is>
      </c>
      <c r="AJ47" t="inlineStr">
        <is>
          <t>sanguinolenta</t>
        </is>
      </c>
      <c r="AK47" s="2" t="n">
        <v>38871</v>
      </c>
      <c r="AL47" t="n">
        <v>10.3450713009732</v>
      </c>
      <c r="AM47" t="inlineStr"/>
      <c r="AN47" t="inlineStr"/>
      <c r="AO47" t="inlineStr"/>
      <c r="AP47" t="inlineStr"/>
      <c r="AQ47" t="inlineStr">
        <is>
          <t>3699,2460</t>
        </is>
      </c>
      <c r="AR47" t="inlineStr"/>
      <c r="AS47" t="inlineStr"/>
      <c r="AT47" t="inlineStr">
        <is>
          <t>ø</t>
        </is>
      </c>
      <c r="AU47" t="n">
        <v>8678</v>
      </c>
      <c r="AV47" t="n">
        <v>1</v>
      </c>
      <c r="AW47" t="inlineStr"/>
      <c r="AX47" t="inlineStr"/>
      <c r="AY47" s="2" t="n">
        <v>45666</v>
      </c>
      <c r="AZ47" t="n">
        <v>11.4</v>
      </c>
      <c r="BA47" t="n">
        <v>14</v>
      </c>
      <c r="BB47" t="inlineStr"/>
      <c r="BC47" t="inlineStr"/>
      <c r="BD47" t="inlineStr">
        <is>
          <t>C</t>
        </is>
      </c>
      <c r="BE47" t="inlineStr"/>
      <c r="BF47" t="inlineStr"/>
      <c r="BG47" t="n">
        <v>3</v>
      </c>
      <c r="BH47" t="inlineStr"/>
      <c r="BI47" t="inlineStr">
        <is>
          <t>Antes Chrysophyllum sanguinolentum Ahora Ragala sanguinolenta</t>
        </is>
      </c>
      <c r="BJ47" t="inlineStr"/>
      <c r="BK47" t="inlineStr"/>
      <c r="BL47" t="inlineStr"/>
      <c r="BM47" t="inlineStr"/>
    </row>
    <row r="48">
      <c r="A48" s="1" t="n">
        <v>46</v>
      </c>
      <c r="B48" t="n">
        <v>371.7306863225605</v>
      </c>
      <c r="C48" t="n">
        <v>0.8785586965733022</v>
      </c>
      <c r="D48" t="n">
        <v>24</v>
      </c>
      <c r="E48" t="inlineStr"/>
      <c r="F48" t="inlineStr">
        <is>
          <t>p24-8656</t>
        </is>
      </c>
      <c r="G48" t="inlineStr"/>
      <c r="H48" t="inlineStr">
        <is>
          <t>leaf pulverized</t>
        </is>
      </c>
      <c r="I48" t="inlineStr"/>
      <c r="J48" t="n">
        <v>2025</v>
      </c>
      <c r="K48" t="n">
        <v>42.851590238464</v>
      </c>
      <c r="L48" t="inlineStr"/>
      <c r="M48" t="inlineStr"/>
      <c r="N48" t="inlineStr"/>
      <c r="O48" t="inlineStr"/>
      <c r="P48" t="n">
        <v>32.11471473589967</v>
      </c>
      <c r="Q48" t="n">
        <v>8656</v>
      </c>
      <c r="R48" t="n">
        <v>8656</v>
      </c>
      <c r="S48" t="inlineStr"/>
      <c r="T48" t="inlineStr"/>
      <c r="U48" t="n">
        <v>-31.0041351007367</v>
      </c>
      <c r="V48" t="inlineStr"/>
      <c r="W48" t="n">
        <v>23.12098112314012</v>
      </c>
      <c r="X48" t="inlineStr">
        <is>
          <t>Galeras</t>
        </is>
      </c>
      <c r="Y48" t="n">
        <v>1000</v>
      </c>
      <c r="Z48" t="n">
        <v>24</v>
      </c>
      <c r="AA48" t="inlineStr">
        <is>
          <t>Galeras</t>
        </is>
      </c>
      <c r="AB48" t="inlineStr">
        <is>
          <t>GAL_24</t>
        </is>
      </c>
      <c r="AC48" t="n">
        <v>592</v>
      </c>
      <c r="AD48" t="n">
        <v>1</v>
      </c>
      <c r="AE48" t="n">
        <v>1</v>
      </c>
      <c r="AF48" t="n">
        <v>0</v>
      </c>
      <c r="AG48" t="n">
        <v>0</v>
      </c>
      <c r="AH48" t="inlineStr">
        <is>
          <t>Rubiaceae</t>
        </is>
      </c>
      <c r="AI48" t="inlineStr"/>
      <c r="AJ48" t="inlineStr"/>
      <c r="AK48" s="2" t="n">
        <v>38822</v>
      </c>
      <c r="AL48" t="n">
        <v>17.87</v>
      </c>
      <c r="AM48" s="2" t="n">
        <v>40724</v>
      </c>
      <c r="AN48" t="n">
        <v>20.39</v>
      </c>
      <c r="AO48" t="inlineStr">
        <is>
          <t>18,9</t>
        </is>
      </c>
      <c r="AP48" t="inlineStr"/>
      <c r="AQ48" t="n">
        <v>3686</v>
      </c>
      <c r="AR48" t="n">
        <v>1</v>
      </c>
      <c r="AS48" t="inlineStr">
        <is>
          <t>x</t>
        </is>
      </c>
      <c r="AT48" t="inlineStr">
        <is>
          <t>ø</t>
        </is>
      </c>
      <c r="AU48" t="n">
        <v>8656</v>
      </c>
      <c r="AV48" t="n">
        <v>1</v>
      </c>
      <c r="AW48" t="inlineStr"/>
      <c r="AX48" t="inlineStr"/>
      <c r="AY48" s="2" t="n">
        <v>45665</v>
      </c>
      <c r="AZ48" t="n">
        <v>24</v>
      </c>
      <c r="BA48" t="n">
        <v>15</v>
      </c>
      <c r="BB48" t="inlineStr"/>
      <c r="BC48" t="inlineStr"/>
      <c r="BD48" t="inlineStr">
        <is>
          <t>D</t>
        </is>
      </c>
      <c r="BE48" t="inlineStr"/>
      <c r="BF48" t="inlineStr"/>
      <c r="BG48" t="inlineStr"/>
      <c r="BH48" t="inlineStr">
        <is>
          <t>ID por dbh y genero</t>
        </is>
      </c>
      <c r="BI48" t="inlineStr"/>
      <c r="BJ48" t="inlineStr"/>
      <c r="BK48" t="inlineStr"/>
      <c r="BL48" t="inlineStr"/>
      <c r="BM48" t="inlineStr"/>
    </row>
    <row r="49">
      <c r="A49" s="1" t="n">
        <v>47</v>
      </c>
      <c r="B49" t="n">
        <v>339.9607385762943</v>
      </c>
      <c r="C49" t="n">
        <v>0.803472713873607</v>
      </c>
      <c r="D49" t="n">
        <v>24</v>
      </c>
      <c r="E49" t="inlineStr"/>
      <c r="F49" t="inlineStr">
        <is>
          <t>p24-8641</t>
        </is>
      </c>
      <c r="G49" t="inlineStr"/>
      <c r="H49" t="inlineStr">
        <is>
          <t>leaf pulverized</t>
        </is>
      </c>
      <c r="I49" t="inlineStr"/>
      <c r="J49" t="n">
        <v>2025</v>
      </c>
      <c r="K49" t="n">
        <v>45.6788402527187</v>
      </c>
      <c r="L49" t="inlineStr"/>
      <c r="M49" t="inlineStr"/>
      <c r="N49" t="inlineStr"/>
      <c r="O49" t="inlineStr"/>
      <c r="P49" t="n">
        <v>51.97093207731609</v>
      </c>
      <c r="Q49" t="n">
        <v>8641</v>
      </c>
      <c r="R49" t="n">
        <v>8641</v>
      </c>
      <c r="S49" t="inlineStr"/>
      <c r="T49" t="inlineStr"/>
      <c r="U49" t="n">
        <v>-29.3942934566527</v>
      </c>
      <c r="V49" t="inlineStr"/>
      <c r="W49" t="n">
        <v>21.42403791412701</v>
      </c>
      <c r="X49" t="inlineStr">
        <is>
          <t>Galeras</t>
        </is>
      </c>
      <c r="Y49" t="n">
        <v>1000</v>
      </c>
      <c r="Z49" t="n">
        <v>24</v>
      </c>
      <c r="AA49" t="inlineStr">
        <is>
          <t>Galeras</t>
        </is>
      </c>
      <c r="AB49" t="inlineStr">
        <is>
          <t>GAL_24</t>
        </is>
      </c>
      <c r="AC49" t="n">
        <v>580</v>
      </c>
      <c r="AD49" t="n">
        <v>1</v>
      </c>
      <c r="AE49" t="n">
        <v>1</v>
      </c>
      <c r="AF49" t="n">
        <v>0</v>
      </c>
      <c r="AG49" t="n">
        <v>0</v>
      </c>
      <c r="AH49" t="inlineStr">
        <is>
          <t>Moraceae</t>
        </is>
      </c>
      <c r="AI49" t="inlineStr">
        <is>
          <t>Sorocea</t>
        </is>
      </c>
      <c r="AJ49" t="inlineStr">
        <is>
          <t>sp</t>
        </is>
      </c>
      <c r="AK49" s="2" t="n">
        <v>38822</v>
      </c>
      <c r="AL49" t="n">
        <v>16.16</v>
      </c>
      <c r="AM49" s="2" t="n">
        <v>40724</v>
      </c>
      <c r="AN49" t="n">
        <v>16.23</v>
      </c>
      <c r="AO49" t="inlineStr">
        <is>
          <t>9,0</t>
        </is>
      </c>
      <c r="AP49" t="inlineStr"/>
      <c r="AQ49" t="inlineStr"/>
      <c r="AR49" t="n">
        <v>1</v>
      </c>
      <c r="AS49" t="inlineStr"/>
      <c r="AT49" t="inlineStr">
        <is>
          <t>ø</t>
        </is>
      </c>
      <c r="AU49" t="n">
        <v>8641</v>
      </c>
      <c r="AV49" t="n">
        <v>1</v>
      </c>
      <c r="AW49" t="inlineStr"/>
      <c r="AX49" t="inlineStr"/>
      <c r="AY49" s="2" t="n">
        <v>45665</v>
      </c>
      <c r="AZ49" t="n">
        <v>16.7</v>
      </c>
      <c r="BA49" t="n">
        <v>7.4</v>
      </c>
      <c r="BB49" t="inlineStr"/>
      <c r="BC49" t="inlineStr"/>
      <c r="BD49" t="inlineStr">
        <is>
          <t>B</t>
        </is>
      </c>
      <c r="BE49" t="inlineStr">
        <is>
          <t>Antes Clarisia ahora Sorocea.</t>
        </is>
      </c>
      <c r="BF49" t="inlineStr"/>
      <c r="BG49" t="n">
        <v>3</v>
      </c>
      <c r="BH49" t="inlineStr">
        <is>
          <t xml:space="preserve">rama rota. </t>
        </is>
      </c>
      <c r="BI49" t="inlineStr"/>
      <c r="BJ49" t="inlineStr"/>
      <c r="BK49" t="inlineStr"/>
      <c r="BL49" t="inlineStr"/>
      <c r="BM49" t="inlineStr"/>
    </row>
    <row r="50">
      <c r="A50" s="1" t="n">
        <v>48</v>
      </c>
      <c r="B50" t="n">
        <v>337.8891491901338</v>
      </c>
      <c r="C50" t="n">
        <v>0.7985766616026869</v>
      </c>
      <c r="D50" t="n">
        <v>48</v>
      </c>
      <c r="E50" t="inlineStr"/>
      <c r="F50" t="inlineStr">
        <is>
          <t>p48-8664</t>
        </is>
      </c>
      <c r="G50" t="inlineStr"/>
      <c r="H50" t="inlineStr">
        <is>
          <t>leaf pulverized</t>
        </is>
      </c>
      <c r="I50" t="inlineStr"/>
      <c r="J50" t="n">
        <v>2025</v>
      </c>
      <c r="K50" t="n">
        <v>45.0237138290824</v>
      </c>
      <c r="L50" t="inlineStr"/>
      <c r="M50" t="inlineStr"/>
      <c r="N50" t="inlineStr"/>
      <c r="O50" t="inlineStr"/>
      <c r="P50" t="n">
        <v>53.26567544366639</v>
      </c>
      <c r="Q50" t="n">
        <v>8664</v>
      </c>
      <c r="R50" t="n">
        <v>8664</v>
      </c>
      <c r="S50" t="inlineStr"/>
      <c r="T50" t="inlineStr"/>
      <c r="U50" t="n">
        <v>-29.289136429301</v>
      </c>
      <c r="V50" t="inlineStr"/>
      <c r="W50" t="n">
        <v>21.31338713280421</v>
      </c>
      <c r="X50" t="inlineStr">
        <is>
          <t>Galeras</t>
        </is>
      </c>
      <c r="Y50" t="n">
        <v>1000</v>
      </c>
      <c r="Z50" t="n">
        <v>48</v>
      </c>
      <c r="AA50" t="inlineStr">
        <is>
          <t>Galeras</t>
        </is>
      </c>
      <c r="AB50" t="inlineStr">
        <is>
          <t>GAL_48</t>
        </is>
      </c>
      <c r="AC50" t="n">
        <v>1414</v>
      </c>
      <c r="AD50" t="n">
        <v>1</v>
      </c>
      <c r="AE50" t="inlineStr"/>
      <c r="AF50" t="inlineStr"/>
      <c r="AG50" t="inlineStr"/>
      <c r="AH50" t="inlineStr">
        <is>
          <t>Moraceae</t>
        </is>
      </c>
      <c r="AI50" t="inlineStr">
        <is>
          <t>Pseudolmedia</t>
        </is>
      </c>
      <c r="AJ50" t="inlineStr">
        <is>
          <t>laevis</t>
        </is>
      </c>
      <c r="AK50" s="2" t="n">
        <v>38871</v>
      </c>
      <c r="AL50" t="n">
        <v>12.09577567498405</v>
      </c>
      <c r="AM50" t="inlineStr"/>
      <c r="AN50" t="inlineStr"/>
      <c r="AO50" t="inlineStr"/>
      <c r="AP50" t="inlineStr"/>
      <c r="AQ50" t="inlineStr">
        <is>
          <t>3710</t>
        </is>
      </c>
      <c r="AR50" t="inlineStr"/>
      <c r="AS50" t="inlineStr"/>
      <c r="AT50" t="inlineStr">
        <is>
          <t>ø</t>
        </is>
      </c>
      <c r="AU50" t="n">
        <v>8664</v>
      </c>
      <c r="AV50" t="n">
        <v>1</v>
      </c>
      <c r="AW50" t="inlineStr"/>
      <c r="AX50" t="inlineStr"/>
      <c r="AY50" s="2" t="n">
        <v>45666</v>
      </c>
      <c r="AZ50" t="n">
        <v>12.9</v>
      </c>
      <c r="BA50" t="n">
        <v>14</v>
      </c>
      <c r="BB50" t="inlineStr"/>
      <c r="BC50" t="inlineStr"/>
      <c r="BD50" t="inlineStr">
        <is>
          <t>A</t>
        </is>
      </c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</row>
    <row r="51">
      <c r="A51" s="1" t="n">
        <v>49</v>
      </c>
      <c r="B51" t="n">
        <v>385.6872721481676</v>
      </c>
      <c r="C51" t="n">
        <v>0.9115440816994549</v>
      </c>
      <c r="D51" t="n">
        <v>50</v>
      </c>
      <c r="E51" t="inlineStr"/>
      <c r="F51" t="inlineStr">
        <is>
          <t>p50-8796</t>
        </is>
      </c>
      <c r="G51" t="inlineStr"/>
      <c r="H51" t="inlineStr">
        <is>
          <t>leaf pulverized</t>
        </is>
      </c>
      <c r="I51" t="inlineStr"/>
      <c r="J51" t="n">
        <v>2025</v>
      </c>
      <c r="K51" t="n">
        <v>44.3525207133124</v>
      </c>
      <c r="L51" t="inlineStr"/>
      <c r="M51" t="inlineStr"/>
      <c r="N51" t="inlineStr"/>
      <c r="O51" t="inlineStr"/>
      <c r="P51" t="n">
        <v>23.39184859489529</v>
      </c>
      <c r="Q51" t="n">
        <v>8796</v>
      </c>
      <c r="R51" t="n">
        <v>8796</v>
      </c>
      <c r="S51" t="inlineStr"/>
      <c r="T51" t="inlineStr"/>
      <c r="U51" t="n">
        <v>-31.7096539307129</v>
      </c>
      <c r="V51" t="inlineStr"/>
      <c r="W51" t="n">
        <v>23.86645082699117</v>
      </c>
      <c r="X51" t="inlineStr">
        <is>
          <t>Galeras</t>
        </is>
      </c>
      <c r="Y51" t="n">
        <v>1500</v>
      </c>
      <c r="Z51" t="n">
        <v>50</v>
      </c>
      <c r="AA51" t="inlineStr">
        <is>
          <t>Galeras</t>
        </is>
      </c>
      <c r="AB51" t="inlineStr">
        <is>
          <t>GAL_50</t>
        </is>
      </c>
      <c r="AC51" t="n">
        <v>1461</v>
      </c>
      <c r="AD51" t="n">
        <v>1</v>
      </c>
      <c r="AE51" t="inlineStr"/>
      <c r="AF51" t="inlineStr"/>
      <c r="AG51" t="inlineStr"/>
      <c r="AH51" t="inlineStr">
        <is>
          <t>Chrysobalanaceae</t>
        </is>
      </c>
      <c r="AI51" t="inlineStr">
        <is>
          <t>Licania</t>
        </is>
      </c>
      <c r="AJ51" t="inlineStr">
        <is>
          <t>micrantha</t>
        </is>
      </c>
      <c r="AK51" s="2" t="n">
        <v>38873</v>
      </c>
      <c r="AL51" t="n">
        <v>14.32394487827058</v>
      </c>
      <c r="AM51" t="inlineStr"/>
      <c r="AN51" t="inlineStr"/>
      <c r="AO51" t="inlineStr"/>
      <c r="AP51" t="inlineStr"/>
      <c r="AQ51" t="inlineStr">
        <is>
          <t>3627</t>
        </is>
      </c>
      <c r="AR51" t="inlineStr"/>
      <c r="AS51" t="inlineStr">
        <is>
          <t>Ο</t>
        </is>
      </c>
      <c r="AT51" t="inlineStr">
        <is>
          <t>Ø</t>
        </is>
      </c>
      <c r="AU51" t="n">
        <v>8796</v>
      </c>
      <c r="AV51" t="n">
        <v>1</v>
      </c>
      <c r="AW51" t="inlineStr"/>
      <c r="AX51" t="inlineStr"/>
      <c r="AY51" s="2" t="n">
        <v>45539</v>
      </c>
      <c r="AZ51" t="n">
        <v>14.9</v>
      </c>
      <c r="BA51" t="n">
        <v>8.800000000000001</v>
      </c>
      <c r="BB51" t="inlineStr"/>
      <c r="BC51" t="inlineStr"/>
      <c r="BD51" t="inlineStr">
        <is>
          <t>A</t>
        </is>
      </c>
      <c r="BE51" t="inlineStr"/>
      <c r="BF51" t="inlineStr"/>
      <c r="BG51" t="inlineStr"/>
      <c r="BH51" t="inlineStr">
        <is>
          <t>Placa nueva a 1.20 m, DBH a 10 cm debajo de la placa</t>
        </is>
      </c>
      <c r="BI51" t="inlineStr"/>
      <c r="BJ51" t="n">
        <v>0.3</v>
      </c>
      <c r="BK51" t="n">
        <v>5</v>
      </c>
      <c r="BL51" t="n">
        <v>1.3</v>
      </c>
      <c r="BM51" t="n">
        <v>0.86</v>
      </c>
    </row>
    <row r="52">
      <c r="A52" s="1" t="n">
        <v>50</v>
      </c>
      <c r="B52" t="n">
        <v>304.9099747547548</v>
      </c>
      <c r="C52" t="n">
        <v>0.7206327587394499</v>
      </c>
      <c r="D52" t="n">
        <v>50</v>
      </c>
      <c r="E52" t="inlineStr"/>
      <c r="F52" t="inlineStr">
        <is>
          <t>p50-8789</t>
        </is>
      </c>
      <c r="G52" t="inlineStr"/>
      <c r="H52" t="inlineStr">
        <is>
          <t>leaf pulverized</t>
        </is>
      </c>
      <c r="I52" t="inlineStr"/>
      <c r="J52" t="n">
        <v>2025</v>
      </c>
      <c r="K52" t="n">
        <v>44.4600944308076</v>
      </c>
      <c r="L52" t="inlineStr"/>
      <c r="M52" t="inlineStr"/>
      <c r="N52" t="inlineStr"/>
      <c r="O52" t="inlineStr"/>
      <c r="P52" t="n">
        <v>73.87765946577824</v>
      </c>
      <c r="Q52" t="n">
        <v>8789</v>
      </c>
      <c r="R52" t="n">
        <v>8789</v>
      </c>
      <c r="S52" t="inlineStr"/>
      <c r="T52" t="inlineStr"/>
      <c r="U52" t="n">
        <v>-27.6119893186605</v>
      </c>
      <c r="V52" t="inlineStr"/>
      <c r="W52" t="n">
        <v>19.55185492809506</v>
      </c>
      <c r="X52" t="inlineStr">
        <is>
          <t>Galeras</t>
        </is>
      </c>
      <c r="Y52" t="n">
        <v>1500</v>
      </c>
      <c r="Z52" t="n">
        <v>50</v>
      </c>
      <c r="AA52" t="inlineStr">
        <is>
          <t>Galeras</t>
        </is>
      </c>
      <c r="AB52" t="inlineStr">
        <is>
          <t>GAL_50</t>
        </is>
      </c>
      <c r="AC52" t="inlineStr"/>
      <c r="AD52" t="inlineStr"/>
      <c r="AE52" t="inlineStr"/>
      <c r="AF52" t="inlineStr"/>
      <c r="AG52" t="inlineStr"/>
      <c r="AH52" t="inlineStr">
        <is>
          <t>Fabaceae</t>
        </is>
      </c>
      <c r="AI52" t="inlineStr">
        <is>
          <t>Inga</t>
        </is>
      </c>
      <c r="AJ52" t="inlineStr"/>
      <c r="AK52" t="inlineStr"/>
      <c r="AL52" t="inlineStr"/>
      <c r="AM52" t="inlineStr"/>
      <c r="AN52" t="inlineStr"/>
      <c r="AO52" t="inlineStr"/>
      <c r="AP52" t="inlineStr"/>
      <c r="AQ52" t="inlineStr"/>
      <c r="AR52" t="inlineStr"/>
      <c r="AS52" t="inlineStr">
        <is>
          <t>Ο</t>
        </is>
      </c>
      <c r="AT52" t="inlineStr">
        <is>
          <t>Ø</t>
        </is>
      </c>
      <c r="AU52" t="n">
        <v>8789</v>
      </c>
      <c r="AV52" t="n">
        <v>1</v>
      </c>
      <c r="AW52" t="inlineStr"/>
      <c r="AX52" t="inlineStr"/>
      <c r="AY52" s="2" t="n">
        <v>45539</v>
      </c>
      <c r="AZ52" t="n">
        <v>18.4</v>
      </c>
      <c r="BA52" t="n">
        <v>15.8</v>
      </c>
      <c r="BB52" t="inlineStr"/>
      <c r="BC52" t="n">
        <v>1</v>
      </c>
      <c r="BD52" t="inlineStr">
        <is>
          <t>B</t>
        </is>
      </c>
      <c r="BE52" t="inlineStr"/>
      <c r="BF52" t="inlineStr">
        <is>
          <t>JH6793</t>
        </is>
      </c>
      <c r="BG52" t="inlineStr"/>
      <c r="BH52" t="inlineStr"/>
      <c r="BI52" t="inlineStr"/>
      <c r="BJ52" t="n">
        <v>0.7</v>
      </c>
      <c r="BK52" t="n">
        <v>5.9</v>
      </c>
      <c r="BL52" t="n">
        <v>1.23</v>
      </c>
      <c r="BM52" t="n">
        <v>0.67</v>
      </c>
    </row>
    <row r="53">
      <c r="A53" s="1" t="n">
        <v>51</v>
      </c>
      <c r="B53" t="n">
        <v>327.1650769530476</v>
      </c>
      <c r="C53" t="n">
        <v>0.7732310894634072</v>
      </c>
      <c r="D53" t="n">
        <v>50</v>
      </c>
      <c r="E53" t="inlineStr"/>
      <c r="F53" t="inlineStr">
        <is>
          <t>p50-8609</t>
        </is>
      </c>
      <c r="G53" t="inlineStr"/>
      <c r="H53" t="inlineStr">
        <is>
          <t>leaf pulverized</t>
        </is>
      </c>
      <c r="I53" t="inlineStr"/>
      <c r="J53" t="n">
        <v>2025</v>
      </c>
      <c r="K53" t="n">
        <v>44.4313352406064</v>
      </c>
      <c r="L53" t="inlineStr"/>
      <c r="M53" t="inlineStr"/>
      <c r="N53" t="inlineStr"/>
      <c r="O53" t="inlineStr"/>
      <c r="P53" t="n">
        <v>59.96822059184528</v>
      </c>
      <c r="Q53" t="n">
        <v>8609</v>
      </c>
      <c r="R53" t="n">
        <v>8609</v>
      </c>
      <c r="S53" t="inlineStr"/>
      <c r="T53" t="inlineStr"/>
      <c r="U53" t="n">
        <v>-28.7444017194557</v>
      </c>
      <c r="V53" t="inlineStr"/>
      <c r="W53" t="n">
        <v>20.7405772024565</v>
      </c>
      <c r="X53" t="inlineStr">
        <is>
          <t>Galeras</t>
        </is>
      </c>
      <c r="Y53" t="n">
        <v>1500</v>
      </c>
      <c r="Z53" t="n">
        <v>50</v>
      </c>
      <c r="AA53" t="inlineStr">
        <is>
          <t>Galeras</t>
        </is>
      </c>
      <c r="AB53" t="inlineStr">
        <is>
          <t>GAL_50</t>
        </is>
      </c>
      <c r="AC53" t="n">
        <v>1495</v>
      </c>
      <c r="AD53" t="n">
        <v>1</v>
      </c>
      <c r="AE53" t="inlineStr"/>
      <c r="AF53" t="inlineStr"/>
      <c r="AG53" t="inlineStr"/>
      <c r="AH53" t="inlineStr">
        <is>
          <t>Simaroubaceae</t>
        </is>
      </c>
      <c r="AI53" t="inlineStr">
        <is>
          <t>Simarouba</t>
        </is>
      </c>
      <c r="AJ53" t="inlineStr">
        <is>
          <t>amara</t>
        </is>
      </c>
      <c r="AK53" s="2" t="n">
        <v>38873</v>
      </c>
      <c r="AL53" t="n">
        <v>19.73521294339502</v>
      </c>
      <c r="AM53" t="inlineStr"/>
      <c r="AN53" t="inlineStr"/>
      <c r="AO53" t="inlineStr"/>
      <c r="AP53" t="inlineStr"/>
      <c r="AQ53" t="inlineStr">
        <is>
          <t>3623</t>
        </is>
      </c>
      <c r="AR53" t="inlineStr"/>
      <c r="AS53" t="inlineStr">
        <is>
          <t>Ο</t>
        </is>
      </c>
      <c r="AT53" t="inlineStr">
        <is>
          <t>Ø</t>
        </is>
      </c>
      <c r="AU53" t="n">
        <v>8609</v>
      </c>
      <c r="AV53" t="n">
        <v>1</v>
      </c>
      <c r="AW53" t="inlineStr"/>
      <c r="AX53" t="inlineStr"/>
      <c r="AY53" s="2" t="n">
        <v>45540</v>
      </c>
      <c r="AZ53" t="n">
        <v>27.05</v>
      </c>
      <c r="BA53" t="inlineStr"/>
      <c r="BB53" t="inlineStr"/>
      <c r="BC53" t="inlineStr"/>
      <c r="BD53" t="inlineStr">
        <is>
          <t>C</t>
        </is>
      </c>
      <c r="BE53" t="inlineStr"/>
      <c r="BF53" t="inlineStr"/>
      <c r="BG53" t="inlineStr"/>
      <c r="BH53" t="inlineStr">
        <is>
          <t>FALTA ALTURA</t>
        </is>
      </c>
      <c r="BI53" t="inlineStr"/>
      <c r="BJ53" t="n">
        <v>0.7</v>
      </c>
      <c r="BK53" t="n">
        <v>6.2</v>
      </c>
      <c r="BL53" t="n">
        <v>1.14</v>
      </c>
      <c r="BM53" t="n">
        <v>0.44</v>
      </c>
    </row>
    <row r="54">
      <c r="A54" s="1" t="n">
        <v>52</v>
      </c>
      <c r="B54" t="n">
        <v>368.3998513850908</v>
      </c>
      <c r="C54" t="n">
        <v>0.8706865081615418</v>
      </c>
      <c r="D54" t="n">
        <v>50</v>
      </c>
      <c r="E54" t="inlineStr"/>
      <c r="F54" t="inlineStr">
        <is>
          <t>p50-8778</t>
        </is>
      </c>
      <c r="G54" t="inlineStr"/>
      <c r="H54" t="inlineStr">
        <is>
          <t>leaf pulverized</t>
        </is>
      </c>
      <c r="I54" t="inlineStr"/>
      <c r="J54" t="n">
        <v>2025</v>
      </c>
      <c r="K54" t="n">
        <v>46.6499858932052</v>
      </c>
      <c r="L54" t="inlineStr"/>
      <c r="M54" t="inlineStr"/>
      <c r="N54" t="inlineStr"/>
      <c r="O54" t="inlineStr"/>
      <c r="P54" t="n">
        <v>34.19648657181823</v>
      </c>
      <c r="Q54" t="n">
        <v>8778</v>
      </c>
      <c r="R54" t="n">
        <v>8778</v>
      </c>
      <c r="S54" t="inlineStr"/>
      <c r="T54" t="inlineStr"/>
      <c r="U54" t="n">
        <v>-30.8356062037384</v>
      </c>
      <c r="V54" t="inlineStr"/>
      <c r="W54" t="n">
        <v>22.94306966503433</v>
      </c>
      <c r="X54" t="inlineStr">
        <is>
          <t>Galeras</t>
        </is>
      </c>
      <c r="Y54" t="n">
        <v>1500</v>
      </c>
      <c r="Z54" t="n">
        <v>50</v>
      </c>
      <c r="AA54" t="inlineStr">
        <is>
          <t>Galeras</t>
        </is>
      </c>
      <c r="AB54" t="inlineStr">
        <is>
          <t>GAL_50</t>
        </is>
      </c>
      <c r="AC54" t="n">
        <v>1465</v>
      </c>
      <c r="AD54" t="n">
        <v>1</v>
      </c>
      <c r="AE54" t="inlineStr"/>
      <c r="AF54" t="inlineStr"/>
      <c r="AG54" t="inlineStr"/>
      <c r="AH54" t="inlineStr">
        <is>
          <t>Lauraceae</t>
        </is>
      </c>
      <c r="AI54" t="inlineStr">
        <is>
          <t>Persea</t>
        </is>
      </c>
      <c r="AJ54" t="inlineStr">
        <is>
          <t>aff. pseudofasciculata</t>
        </is>
      </c>
      <c r="AK54" s="2" t="n">
        <v>38873</v>
      </c>
      <c r="AL54" t="n">
        <v>12.73239544735163</v>
      </c>
      <c r="AM54" t="inlineStr"/>
      <c r="AN54" t="inlineStr"/>
      <c r="AO54" t="inlineStr"/>
      <c r="AP54" t="inlineStr"/>
      <c r="AQ54" t="inlineStr">
        <is>
          <t>3621</t>
        </is>
      </c>
      <c r="AR54" t="inlineStr"/>
      <c r="AS54" t="inlineStr">
        <is>
          <t>Ο</t>
        </is>
      </c>
      <c r="AT54" t="inlineStr">
        <is>
          <t>Ø</t>
        </is>
      </c>
      <c r="AU54" t="n">
        <v>8778</v>
      </c>
      <c r="AV54" t="n">
        <v>1</v>
      </c>
      <c r="AW54" t="inlineStr"/>
      <c r="AX54" t="inlineStr"/>
      <c r="AY54" s="2" t="n">
        <v>45539</v>
      </c>
      <c r="AZ54" t="n">
        <v>13.1</v>
      </c>
      <c r="BA54" t="n">
        <v>21.7</v>
      </c>
      <c r="BB54" t="inlineStr"/>
      <c r="BC54" t="inlineStr"/>
      <c r="BD54" t="inlineStr">
        <is>
          <t>A</t>
        </is>
      </c>
      <c r="BE54" t="inlineStr"/>
      <c r="BF54" t="inlineStr"/>
      <c r="BG54" t="inlineStr"/>
      <c r="BH54" t="inlineStr"/>
      <c r="BI54" t="inlineStr"/>
      <c r="BJ54" t="n">
        <v>0.5</v>
      </c>
      <c r="BK54" t="n">
        <v>5.1</v>
      </c>
      <c r="BL54" t="n">
        <v>1.13</v>
      </c>
      <c r="BM54" t="n">
        <v>0.5</v>
      </c>
    </row>
    <row r="55">
      <c r="A55" s="1" t="n">
        <v>53</v>
      </c>
      <c r="B55" t="n">
        <v>314.996854600566</v>
      </c>
      <c r="C55" t="n">
        <v>0.7444723725671274</v>
      </c>
      <c r="D55" t="n">
        <v>50</v>
      </c>
      <c r="E55" t="inlineStr"/>
      <c r="F55" t="inlineStr">
        <is>
          <t>p50-8800</t>
        </is>
      </c>
      <c r="G55" t="inlineStr"/>
      <c r="H55" t="inlineStr">
        <is>
          <t>leaf pulverized</t>
        </is>
      </c>
      <c r="I55" t="inlineStr"/>
      <c r="J55" t="n">
        <v>2025</v>
      </c>
      <c r="K55" t="n">
        <v>44.9796090135757</v>
      </c>
      <c r="L55" t="inlineStr"/>
      <c r="M55" t="inlineStr"/>
      <c r="N55" t="inlineStr"/>
      <c r="O55" t="inlineStr"/>
      <c r="P55" t="n">
        <v>67.57335956214625</v>
      </c>
      <c r="Q55" t="n">
        <v>8800</v>
      </c>
      <c r="R55" t="n">
        <v>8800</v>
      </c>
      <c r="S55" t="inlineStr"/>
      <c r="T55" t="inlineStr"/>
      <c r="U55" t="n">
        <v>-28.1255697789897</v>
      </c>
      <c r="V55" t="inlineStr"/>
      <c r="W55" t="n">
        <v>20.09063020060057</v>
      </c>
      <c r="X55" t="inlineStr">
        <is>
          <t>Galeras</t>
        </is>
      </c>
      <c r="Y55" t="n">
        <v>1500</v>
      </c>
      <c r="Z55" t="n">
        <v>50</v>
      </c>
      <c r="AA55" t="inlineStr">
        <is>
          <t>Galeras</t>
        </is>
      </c>
      <c r="AB55" t="inlineStr">
        <is>
          <t>GAL_50</t>
        </is>
      </c>
      <c r="AC55" t="n">
        <v>1464</v>
      </c>
      <c r="AD55" t="n">
        <v>1</v>
      </c>
      <c r="AE55" t="inlineStr"/>
      <c r="AF55" t="inlineStr"/>
      <c r="AG55" t="inlineStr"/>
      <c r="AH55" t="inlineStr">
        <is>
          <t>Euphorbiaceae</t>
        </is>
      </c>
      <c r="AI55" t="inlineStr">
        <is>
          <t>Alchornea</t>
        </is>
      </c>
      <c r="AJ55" t="inlineStr">
        <is>
          <t>triplinervia</t>
        </is>
      </c>
      <c r="AK55" s="2" t="n">
        <v>38873</v>
      </c>
      <c r="AL55" t="n">
        <v>13.687325105903</v>
      </c>
      <c r="AM55" t="inlineStr"/>
      <c r="AN55" t="inlineStr"/>
      <c r="AO55" t="inlineStr"/>
      <c r="AP55" t="inlineStr"/>
      <c r="AQ55" t="inlineStr">
        <is>
          <t>3625</t>
        </is>
      </c>
      <c r="AR55" t="inlineStr"/>
      <c r="AS55" t="inlineStr">
        <is>
          <t>Ο</t>
        </is>
      </c>
      <c r="AT55" t="inlineStr">
        <is>
          <t>Ø</t>
        </is>
      </c>
      <c r="AU55" t="n">
        <v>8800</v>
      </c>
      <c r="AV55" t="n">
        <v>1</v>
      </c>
      <c r="AW55" t="inlineStr"/>
      <c r="AX55" t="inlineStr"/>
      <c r="AY55" s="2" t="n">
        <v>45539</v>
      </c>
      <c r="AZ55" t="n">
        <v>13.4</v>
      </c>
      <c r="BA55" t="n">
        <v>15.3</v>
      </c>
      <c r="BB55" t="inlineStr"/>
      <c r="BC55" t="inlineStr"/>
      <c r="BD55" t="inlineStr">
        <is>
          <t>A</t>
        </is>
      </c>
      <c r="BE55" t="inlineStr"/>
      <c r="BF55" t="inlineStr"/>
      <c r="BG55" t="inlineStr"/>
      <c r="BH55" t="inlineStr"/>
      <c r="BI55" t="inlineStr"/>
      <c r="BJ55" t="n">
        <v>0.4</v>
      </c>
      <c r="BK55" t="n">
        <v>4.8</v>
      </c>
      <c r="BL55" t="n">
        <v>1.21</v>
      </c>
      <c r="BM55" t="n">
        <v>0.51</v>
      </c>
    </row>
    <row r="56">
      <c r="A56" s="1" t="n">
        <v>54</v>
      </c>
      <c r="B56" t="n">
        <v>324.8079187044731</v>
      </c>
      <c r="C56" t="n">
        <v>0.7676601157593756</v>
      </c>
      <c r="D56" t="n">
        <v>50</v>
      </c>
      <c r="E56" t="inlineStr"/>
      <c r="F56" t="inlineStr">
        <is>
          <t>p50-8612</t>
        </is>
      </c>
      <c r="G56" t="inlineStr"/>
      <c r="H56" t="inlineStr">
        <is>
          <t>leaf pulverized</t>
        </is>
      </c>
      <c r="I56" t="inlineStr"/>
      <c r="J56" t="n">
        <v>2025</v>
      </c>
      <c r="K56" t="n">
        <v>52.2157059447287</v>
      </c>
      <c r="L56" t="inlineStr"/>
      <c r="M56" t="inlineStr"/>
      <c r="N56" t="inlineStr"/>
      <c r="O56" t="inlineStr"/>
      <c r="P56" t="n">
        <v>61.44144449720432</v>
      </c>
      <c r="Q56" t="n">
        <v>8612</v>
      </c>
      <c r="R56" t="n">
        <v>8612</v>
      </c>
      <c r="S56" t="inlineStr"/>
      <c r="T56" t="inlineStr"/>
      <c r="U56" t="n">
        <v>-28.624586696603</v>
      </c>
      <c r="V56" t="inlineStr"/>
      <c r="W56" t="n">
        <v>20.61467319674538</v>
      </c>
      <c r="X56" t="inlineStr">
        <is>
          <t>Galeras</t>
        </is>
      </c>
      <c r="Y56" t="n">
        <v>1500</v>
      </c>
      <c r="Z56" t="n">
        <v>50</v>
      </c>
      <c r="AA56" t="inlineStr">
        <is>
          <t>Galeras</t>
        </is>
      </c>
      <c r="AB56" t="inlineStr">
        <is>
          <t>GAL_50</t>
        </is>
      </c>
      <c r="AC56" t="n">
        <v>1490</v>
      </c>
      <c r="AD56" t="n">
        <v>1</v>
      </c>
      <c r="AE56" t="inlineStr"/>
      <c r="AF56" t="inlineStr"/>
      <c r="AG56" t="inlineStr"/>
      <c r="AH56" t="inlineStr">
        <is>
          <t>Rutaceae</t>
        </is>
      </c>
      <c r="AI56" t="inlineStr">
        <is>
          <t>Zanthoxylum</t>
        </is>
      </c>
      <c r="AJ56" t="inlineStr">
        <is>
          <t>melanostictum</t>
        </is>
      </c>
      <c r="AK56" s="2" t="n">
        <v>38873</v>
      </c>
      <c r="AL56" t="n">
        <v>23.8732414637843</v>
      </c>
      <c r="AM56" t="inlineStr"/>
      <c r="AN56" t="inlineStr"/>
      <c r="AO56" t="inlineStr"/>
      <c r="AP56" t="inlineStr"/>
      <c r="AQ56">
        <f>3602</f>
        <v/>
      </c>
      <c r="AR56" t="inlineStr"/>
      <c r="AS56" t="inlineStr"/>
      <c r="AT56" t="inlineStr"/>
      <c r="AU56" t="n">
        <v>8612</v>
      </c>
      <c r="AV56" t="n">
        <v>1</v>
      </c>
      <c r="AW56" t="inlineStr"/>
      <c r="AX56" t="inlineStr"/>
      <c r="AY56" s="2" t="n">
        <v>45540</v>
      </c>
      <c r="AZ56" t="n">
        <v>29.8</v>
      </c>
      <c r="BA56" t="n">
        <v>18.5</v>
      </c>
      <c r="BB56" t="inlineStr"/>
      <c r="BC56" t="inlineStr"/>
      <c r="BD56" t="inlineStr">
        <is>
          <t>C</t>
        </is>
      </c>
      <c r="BE56" t="inlineStr"/>
      <c r="BF56" t="inlineStr"/>
      <c r="BG56" t="inlineStr"/>
      <c r="BH56" t="inlineStr"/>
      <c r="BI56" t="inlineStr"/>
      <c r="BJ56" t="inlineStr"/>
      <c r="BK56" t="inlineStr"/>
      <c r="BL56" t="inlineStr"/>
      <c r="BM56" t="inlineStr"/>
    </row>
    <row r="57">
      <c r="A57" s="1" t="n">
        <v>55</v>
      </c>
      <c r="B57" t="n">
        <v>353.0195632015472</v>
      </c>
      <c r="C57" t="n">
        <v>0.8343363050800272</v>
      </c>
      <c r="D57" t="n">
        <v>48</v>
      </c>
      <c r="E57" t="inlineStr"/>
      <c r="F57" t="inlineStr">
        <is>
          <t>p48-8658</t>
        </is>
      </c>
      <c r="G57" t="inlineStr"/>
      <c r="H57" t="inlineStr">
        <is>
          <t>leaf pulverized</t>
        </is>
      </c>
      <c r="I57" t="inlineStr"/>
      <c r="J57" t="n">
        <v>2025</v>
      </c>
      <c r="K57" t="n">
        <v>43.8677361203235</v>
      </c>
      <c r="L57" t="inlineStr"/>
      <c r="M57" t="inlineStr"/>
      <c r="N57" t="inlineStr"/>
      <c r="O57" t="inlineStr"/>
      <c r="P57" t="n">
        <v>43.80916668653302</v>
      </c>
      <c r="Q57" t="n">
        <v>8658</v>
      </c>
      <c r="R57" t="n">
        <v>8658</v>
      </c>
      <c r="S57" t="inlineStr"/>
      <c r="T57" t="inlineStr"/>
      <c r="U57" t="n">
        <v>-30.0566551236913</v>
      </c>
      <c r="V57" t="inlineStr"/>
      <c r="W57" t="n">
        <v>22.1215550753921</v>
      </c>
      <c r="X57" t="inlineStr">
        <is>
          <t>Galeras</t>
        </is>
      </c>
      <c r="Y57" t="n">
        <v>1000</v>
      </c>
      <c r="Z57" t="n">
        <v>48</v>
      </c>
      <c r="AA57" t="inlineStr">
        <is>
          <t>Galeras</t>
        </is>
      </c>
      <c r="AB57" t="inlineStr">
        <is>
          <t>GAL_48</t>
        </is>
      </c>
      <c r="AC57" t="n">
        <v>1417</v>
      </c>
      <c r="AD57" t="n">
        <v>1</v>
      </c>
      <c r="AE57" t="inlineStr"/>
      <c r="AF57" t="inlineStr"/>
      <c r="AG57" t="inlineStr"/>
      <c r="AH57" t="inlineStr">
        <is>
          <t>Moraceae</t>
        </is>
      </c>
      <c r="AI57" t="inlineStr">
        <is>
          <t>Sorocea</t>
        </is>
      </c>
      <c r="AJ57" t="inlineStr">
        <is>
          <t>sp.</t>
        </is>
      </c>
      <c r="AK57" s="2" t="n">
        <v>38871</v>
      </c>
      <c r="AL57" t="n">
        <v>13.687325105903</v>
      </c>
      <c r="AM57" t="inlineStr"/>
      <c r="AN57" t="inlineStr"/>
      <c r="AO57" t="inlineStr"/>
      <c r="AP57" t="inlineStr"/>
      <c r="AQ57" t="inlineStr">
        <is>
          <t>3706</t>
        </is>
      </c>
      <c r="AR57" t="inlineStr"/>
      <c r="AS57" t="inlineStr">
        <is>
          <t xml:space="preserve"> </t>
        </is>
      </c>
      <c r="AT57" t="inlineStr">
        <is>
          <t>ø</t>
        </is>
      </c>
      <c r="AU57" t="n">
        <v>8658</v>
      </c>
      <c r="AV57" t="n">
        <v>1</v>
      </c>
      <c r="AW57" t="inlineStr"/>
      <c r="AX57" t="inlineStr"/>
      <c r="AY57" s="2" t="n">
        <v>45666</v>
      </c>
      <c r="AZ57" t="n">
        <v>13.3</v>
      </c>
      <c r="BA57" t="n">
        <v>9</v>
      </c>
      <c r="BB57" t="inlineStr"/>
      <c r="BC57" t="inlineStr"/>
      <c r="BD57" t="inlineStr">
        <is>
          <t>A</t>
        </is>
      </c>
      <c r="BE57" t="inlineStr">
        <is>
          <t>Antes Brosimum Ahora Sorocea</t>
        </is>
      </c>
      <c r="BF57" t="inlineStr"/>
      <c r="BG57" t="n">
        <v>2</v>
      </c>
      <c r="BH57" t="inlineStr"/>
      <c r="BI57" t="inlineStr"/>
      <c r="BJ57" t="inlineStr"/>
      <c r="BK57" t="inlineStr"/>
      <c r="BL57" t="inlineStr"/>
      <c r="BM57" t="inlineStr"/>
    </row>
    <row r="58">
      <c r="A58" s="1" t="n">
        <v>56</v>
      </c>
      <c r="B58" t="n">
        <v>372.1908388726005</v>
      </c>
      <c r="C58" t="n">
        <v>0.8796462339746057</v>
      </c>
      <c r="D58" t="n">
        <v>62</v>
      </c>
      <c r="E58" t="inlineStr"/>
      <c r="F58" t="inlineStr">
        <is>
          <t>p62-8909</t>
        </is>
      </c>
      <c r="G58" t="inlineStr"/>
      <c r="H58" t="inlineStr">
        <is>
          <t>leaf pulverized</t>
        </is>
      </c>
      <c r="I58" t="inlineStr"/>
      <c r="J58" t="n">
        <v>2025</v>
      </c>
      <c r="K58" t="n">
        <v>45.7739986266509</v>
      </c>
      <c r="L58" t="inlineStr"/>
      <c r="M58" t="inlineStr"/>
      <c r="N58" t="inlineStr"/>
      <c r="O58" t="inlineStr"/>
      <c r="P58" t="n">
        <v>31.82711939212468</v>
      </c>
      <c r="Q58" t="n">
        <v>8909</v>
      </c>
      <c r="R58" t="n">
        <v>8909</v>
      </c>
      <c r="S58" t="inlineStr"/>
      <c r="T58" t="inlineStr"/>
      <c r="U58" t="n">
        <v>-31.0274126439091</v>
      </c>
      <c r="V58" t="inlineStr"/>
      <c r="W58" t="n">
        <v>23.14555946840958</v>
      </c>
      <c r="X58" t="inlineStr">
        <is>
          <t>Galeras</t>
        </is>
      </c>
      <c r="Y58" t="n">
        <v>1500</v>
      </c>
      <c r="Z58" t="n">
        <v>62</v>
      </c>
      <c r="AA58" t="inlineStr">
        <is>
          <t>Galeras</t>
        </is>
      </c>
      <c r="AB58" t="inlineStr">
        <is>
          <t>GAL_62</t>
        </is>
      </c>
      <c r="AC58" t="n">
        <v>1882</v>
      </c>
      <c r="AD58" t="n">
        <v>1</v>
      </c>
      <c r="AE58" t="inlineStr"/>
      <c r="AF58" t="inlineStr"/>
      <c r="AG58" t="inlineStr"/>
      <c r="AH58" t="inlineStr">
        <is>
          <t>Symplocaceae</t>
        </is>
      </c>
      <c r="AI58" t="inlineStr">
        <is>
          <t>Symplocos</t>
        </is>
      </c>
      <c r="AJ58" t="inlineStr">
        <is>
          <t>cf guacamayensis</t>
        </is>
      </c>
      <c r="AK58" s="2" t="n">
        <v>38902</v>
      </c>
      <c r="AL58" t="n">
        <v>12.73239544735163</v>
      </c>
      <c r="AM58" t="inlineStr"/>
      <c r="AN58" t="inlineStr"/>
      <c r="AO58" t="inlineStr"/>
      <c r="AP58" t="inlineStr"/>
      <c r="AQ58" t="inlineStr">
        <is>
          <t>3612,2529</t>
        </is>
      </c>
      <c r="AR58" t="inlineStr"/>
      <c r="AS58" t="inlineStr">
        <is>
          <t>Ο</t>
        </is>
      </c>
      <c r="AT58" t="inlineStr">
        <is>
          <t>Ø</t>
        </is>
      </c>
      <c r="AU58" t="n">
        <v>8909</v>
      </c>
      <c r="AV58" t="n">
        <v>1</v>
      </c>
      <c r="AW58" t="inlineStr"/>
      <c r="AX58" t="inlineStr"/>
      <c r="AY58" s="2" t="n">
        <v>45540</v>
      </c>
      <c r="AZ58" t="n">
        <v>20</v>
      </c>
      <c r="BA58" t="n">
        <v>8.5</v>
      </c>
      <c r="BB58" t="inlineStr"/>
      <c r="BC58" t="inlineStr"/>
      <c r="BD58" t="inlineStr">
        <is>
          <t>A</t>
        </is>
      </c>
      <c r="BE58" t="inlineStr">
        <is>
          <t>Antes Symplocos cf spruceana, Ahora Symplocos cf  guacamayensis</t>
        </is>
      </c>
      <c r="BF58" t="inlineStr">
        <is>
          <t>JH6797</t>
        </is>
      </c>
      <c r="BG58" t="inlineStr"/>
      <c r="BH58" t="inlineStr">
        <is>
          <t>tiene protuberancia</t>
        </is>
      </c>
      <c r="BI58" t="inlineStr"/>
      <c r="BJ58" t="n">
        <v>1.1</v>
      </c>
      <c r="BK58" t="n">
        <v>7</v>
      </c>
      <c r="BL58" t="n">
        <v>1.73</v>
      </c>
      <c r="BM58" t="n">
        <v>0.74</v>
      </c>
    </row>
    <row r="59">
      <c r="A59" s="1" t="n">
        <v>57</v>
      </c>
      <c r="B59" t="n">
        <v>321.7753106523147</v>
      </c>
      <c r="C59" t="n">
        <v>0.7604927651059241</v>
      </c>
      <c r="D59" t="n">
        <v>62</v>
      </c>
      <c r="E59" t="inlineStr"/>
      <c r="F59" t="inlineStr">
        <is>
          <t>p62-8920</t>
        </is>
      </c>
      <c r="G59" t="inlineStr"/>
      <c r="H59" t="inlineStr">
        <is>
          <t>leaf pulverized</t>
        </is>
      </c>
      <c r="I59" t="inlineStr"/>
      <c r="J59" t="n">
        <v>2025</v>
      </c>
      <c r="K59" t="n">
        <v>45.2091672300969</v>
      </c>
      <c r="L59" t="inlineStr"/>
      <c r="M59" t="inlineStr"/>
      <c r="N59" t="inlineStr"/>
      <c r="O59" t="inlineStr"/>
      <c r="P59" t="n">
        <v>63.33682452980333</v>
      </c>
      <c r="Q59" t="n">
        <v>8920</v>
      </c>
      <c r="R59" t="n">
        <v>8920</v>
      </c>
      <c r="S59" t="inlineStr"/>
      <c r="T59" t="inlineStr"/>
      <c r="U59" t="n">
        <v>-28.4703948807835</v>
      </c>
      <c r="V59" t="inlineStr"/>
      <c r="W59" t="n">
        <v>20.45269107197737</v>
      </c>
      <c r="X59" t="inlineStr">
        <is>
          <t>Galeras</t>
        </is>
      </c>
      <c r="Y59" t="n">
        <v>1500</v>
      </c>
      <c r="Z59" t="n">
        <v>62</v>
      </c>
      <c r="AA59" t="inlineStr">
        <is>
          <t>Galeras</t>
        </is>
      </c>
      <c r="AB59" t="inlineStr">
        <is>
          <t>GAL_62</t>
        </is>
      </c>
      <c r="AC59" t="n">
        <v>1872</v>
      </c>
      <c r="AD59" t="n">
        <v>1</v>
      </c>
      <c r="AE59" t="inlineStr"/>
      <c r="AF59" t="inlineStr"/>
      <c r="AG59" t="inlineStr"/>
      <c r="AH59" t="inlineStr"/>
      <c r="AI59" t="inlineStr"/>
      <c r="AJ59" t="inlineStr"/>
      <c r="AK59" s="2" t="n">
        <v>38902</v>
      </c>
      <c r="AL59" t="n">
        <v>16.23380419537332</v>
      </c>
      <c r="AM59" t="inlineStr"/>
      <c r="AN59" t="inlineStr"/>
      <c r="AO59" t="inlineStr"/>
      <c r="AP59" t="inlineStr"/>
      <c r="AQ59" t="inlineStr">
        <is>
          <t>3595</t>
        </is>
      </c>
      <c r="AR59" t="inlineStr"/>
      <c r="AS59" t="inlineStr">
        <is>
          <t>Ο</t>
        </is>
      </c>
      <c r="AT59" t="inlineStr">
        <is>
          <t>Ø</t>
        </is>
      </c>
      <c r="AU59" t="n">
        <v>8920</v>
      </c>
      <c r="AV59" t="n">
        <v>1</v>
      </c>
      <c r="AW59" t="inlineStr"/>
      <c r="AX59" t="inlineStr"/>
      <c r="AY59" s="2" t="n">
        <v>45540</v>
      </c>
      <c r="AZ59" t="n">
        <v>18.7</v>
      </c>
      <c r="BA59" t="inlineStr"/>
      <c r="BB59" t="inlineStr"/>
      <c r="BC59" t="inlineStr"/>
      <c r="BD59" t="inlineStr">
        <is>
          <t>B</t>
        </is>
      </c>
      <c r="BE59" t="inlineStr">
        <is>
          <t>Antes Aniba, Ahora ???</t>
        </is>
      </c>
      <c r="BF59" t="inlineStr">
        <is>
          <t>JH6798</t>
        </is>
      </c>
      <c r="BG59" t="inlineStr"/>
      <c r="BH59" t="inlineStr">
        <is>
          <t>FALTA ALTURA</t>
        </is>
      </c>
      <c r="BI59" t="inlineStr"/>
      <c r="BJ59" t="n">
        <v>0.4</v>
      </c>
      <c r="BK59" t="n">
        <v>6.2</v>
      </c>
      <c r="BL59" t="n">
        <v>1.42</v>
      </c>
      <c r="BM59" t="n">
        <v>0.8100000000000001</v>
      </c>
    </row>
    <row r="60">
      <c r="A60" s="1" t="n">
        <v>58</v>
      </c>
      <c r="B60" t="n">
        <v>314.2933544881793</v>
      </c>
      <c r="C60" t="n">
        <v>0.7428097007336771</v>
      </c>
      <c r="D60" t="n">
        <v>24</v>
      </c>
      <c r="E60" t="inlineStr"/>
      <c r="F60" t="inlineStr">
        <is>
          <t>p24-8640</t>
        </is>
      </c>
      <c r="G60" t="inlineStr"/>
      <c r="H60" t="inlineStr">
        <is>
          <t>leaf pulverized</t>
        </is>
      </c>
      <c r="I60" t="inlineStr"/>
      <c r="J60" t="n">
        <v>2025</v>
      </c>
      <c r="K60" t="n">
        <v>48.3668109395467</v>
      </c>
      <c r="L60" t="inlineStr"/>
      <c r="M60" t="inlineStr"/>
      <c r="N60" t="inlineStr"/>
      <c r="O60" t="inlineStr"/>
      <c r="P60" t="n">
        <v>68.01304713238795</v>
      </c>
      <c r="Q60" t="n">
        <v>8640</v>
      </c>
      <c r="R60" t="n">
        <v>8640</v>
      </c>
      <c r="S60" t="inlineStr"/>
      <c r="T60" t="inlineStr"/>
      <c r="U60" t="n">
        <v>-28.089768184058</v>
      </c>
      <c r="V60" t="inlineStr"/>
      <c r="W60" t="n">
        <v>20.05305381716459</v>
      </c>
      <c r="X60" t="inlineStr">
        <is>
          <t>Galeras</t>
        </is>
      </c>
      <c r="Y60" t="n">
        <v>1000</v>
      </c>
      <c r="Z60" t="n">
        <v>24</v>
      </c>
      <c r="AA60" t="inlineStr">
        <is>
          <t>Galeras</t>
        </is>
      </c>
      <c r="AB60" t="inlineStr">
        <is>
          <t>GAL_24</t>
        </is>
      </c>
      <c r="AC60" t="n">
        <v>584</v>
      </c>
      <c r="AD60" t="inlineStr"/>
      <c r="AE60" t="inlineStr"/>
      <c r="AF60" t="inlineStr"/>
      <c r="AG60" t="inlineStr"/>
      <c r="AH60" t="inlineStr">
        <is>
          <t>Vochysiaceae</t>
        </is>
      </c>
      <c r="AI60" t="inlineStr"/>
      <c r="AJ60" t="inlineStr"/>
      <c r="AK60" t="inlineStr"/>
      <c r="AL60" t="inlineStr"/>
      <c r="AM60" t="inlineStr"/>
      <c r="AN60" t="inlineStr"/>
      <c r="AO60" t="inlineStr"/>
      <c r="AP60" t="inlineStr"/>
      <c r="AQ60" t="inlineStr"/>
      <c r="AR60" t="inlineStr"/>
      <c r="AS60" t="inlineStr"/>
      <c r="AT60" t="inlineStr">
        <is>
          <t>ø</t>
        </is>
      </c>
      <c r="AU60" t="n">
        <v>8640</v>
      </c>
      <c r="AV60" t="n">
        <v>1</v>
      </c>
      <c r="AW60" t="inlineStr"/>
      <c r="AX60" t="inlineStr"/>
      <c r="AY60" s="2" t="n">
        <v>45665</v>
      </c>
      <c r="AZ60" t="n">
        <v>26</v>
      </c>
      <c r="BA60" t="n">
        <v>19</v>
      </c>
      <c r="BB60" t="inlineStr"/>
      <c r="BC60" t="inlineStr"/>
      <c r="BD60" t="inlineStr">
        <is>
          <t>B</t>
        </is>
      </c>
      <c r="BE60" t="inlineStr"/>
      <c r="BF60" t="inlineStr"/>
      <c r="BG60" t="n">
        <v>3</v>
      </c>
      <c r="BH60" t="inlineStr"/>
      <c r="BI60" t="inlineStr"/>
      <c r="BJ60" t="inlineStr"/>
      <c r="BK60" t="inlineStr"/>
      <c r="BL60" t="inlineStr"/>
      <c r="BM60" t="inlineStr"/>
    </row>
    <row r="61">
      <c r="A61" s="1" t="n">
        <v>59</v>
      </c>
      <c r="B61" t="n">
        <v>363.8740491606217</v>
      </c>
      <c r="C61" t="n">
        <v>0.8599901006558458</v>
      </c>
      <c r="D61" t="n">
        <v>24</v>
      </c>
      <c r="E61" t="inlineStr"/>
      <c r="F61" t="inlineStr">
        <is>
          <t>p24-8644</t>
        </is>
      </c>
      <c r="G61" t="inlineStr"/>
      <c r="H61" t="inlineStr">
        <is>
          <t>leaf pulverized</t>
        </is>
      </c>
      <c r="I61" t="inlineStr"/>
      <c r="J61" t="n">
        <v>2025</v>
      </c>
      <c r="K61" t="n">
        <v>45.3467710094455</v>
      </c>
      <c r="L61" t="inlineStr"/>
      <c r="M61" t="inlineStr"/>
      <c r="N61" t="inlineStr"/>
      <c r="O61" t="inlineStr"/>
      <c r="P61" t="n">
        <v>37.02511296211145</v>
      </c>
      <c r="Q61" t="n">
        <v>8644</v>
      </c>
      <c r="R61" t="n">
        <v>8644</v>
      </c>
      <c r="S61" t="inlineStr"/>
      <c r="T61" t="inlineStr"/>
      <c r="U61" t="n">
        <v>-30.6065220715266</v>
      </c>
      <c r="V61" t="inlineStr"/>
      <c r="W61" t="n">
        <v>22.7013308554056</v>
      </c>
      <c r="X61" t="inlineStr">
        <is>
          <t>Galeras</t>
        </is>
      </c>
      <c r="Y61" t="n">
        <v>1000</v>
      </c>
      <c r="Z61" t="n">
        <v>24</v>
      </c>
      <c r="AA61" t="inlineStr">
        <is>
          <t>Galeras</t>
        </is>
      </c>
      <c r="AB61" t="inlineStr">
        <is>
          <t>GAL_24</t>
        </is>
      </c>
      <c r="AC61" t="n">
        <v>606</v>
      </c>
      <c r="AD61" t="n">
        <v>1</v>
      </c>
      <c r="AE61" t="n">
        <v>1</v>
      </c>
      <c r="AF61" t="n">
        <v>0</v>
      </c>
      <c r="AG61" t="n">
        <v>0</v>
      </c>
      <c r="AH61" t="inlineStr">
        <is>
          <t>Phyllanthaceae</t>
        </is>
      </c>
      <c r="AI61" t="inlineStr">
        <is>
          <t>Hieronyma</t>
        </is>
      </c>
      <c r="AJ61" t="inlineStr">
        <is>
          <t>asperifolia</t>
        </is>
      </c>
      <c r="AK61" s="2" t="n">
        <v>38822</v>
      </c>
      <c r="AL61" t="n">
        <v>14.76</v>
      </c>
      <c r="AM61" s="2" t="n">
        <v>40724</v>
      </c>
      <c r="AN61" t="inlineStr">
        <is>
          <t>15,95</t>
        </is>
      </c>
      <c r="AO61" t="inlineStr">
        <is>
          <t>17,4</t>
        </is>
      </c>
      <c r="AP61" t="inlineStr"/>
      <c r="AQ61" t="n">
        <v>3691</v>
      </c>
      <c r="AR61" t="inlineStr"/>
      <c r="AS61" t="inlineStr"/>
      <c r="AT61" t="inlineStr">
        <is>
          <t>ø</t>
        </is>
      </c>
      <c r="AU61" t="n">
        <v>8644</v>
      </c>
      <c r="AV61" t="n">
        <v>1</v>
      </c>
      <c r="AW61" t="inlineStr"/>
      <c r="AX61" t="inlineStr"/>
      <c r="AY61" s="2" t="n">
        <v>45665</v>
      </c>
      <c r="AZ61" t="n">
        <v>22.1</v>
      </c>
      <c r="BA61" t="n">
        <v>15.9</v>
      </c>
      <c r="BB61" t="inlineStr"/>
      <c r="BC61" t="inlineStr"/>
      <c r="BD61" t="inlineStr">
        <is>
          <t>C</t>
        </is>
      </c>
      <c r="BE61" t="inlineStr"/>
      <c r="BF61" t="inlineStr"/>
      <c r="BG61" t="n">
        <v>2</v>
      </c>
      <c r="BH61" t="inlineStr">
        <is>
          <t>no pv. Id por dbh y especie.</t>
        </is>
      </c>
      <c r="BI61" t="inlineStr"/>
      <c r="BJ61" t="inlineStr"/>
      <c r="BK61" t="inlineStr"/>
      <c r="BL61" t="inlineStr"/>
      <c r="BM61" t="inlineStr"/>
    </row>
    <row r="62">
      <c r="A62" s="1" t="n">
        <v>60</v>
      </c>
      <c r="B62" t="n">
        <v>320.5025444796836</v>
      </c>
      <c r="C62" t="n">
        <v>0.7574846739506542</v>
      </c>
      <c r="D62" t="n">
        <v>62</v>
      </c>
      <c r="E62" t="inlineStr"/>
      <c r="F62" t="inlineStr">
        <is>
          <t>p62-8911</t>
        </is>
      </c>
      <c r="G62" t="inlineStr"/>
      <c r="H62" t="inlineStr">
        <is>
          <t>leaf pulverized</t>
        </is>
      </c>
      <c r="I62" t="inlineStr"/>
      <c r="J62" t="n">
        <v>2025</v>
      </c>
      <c r="K62" t="n">
        <v>44.4068661322818</v>
      </c>
      <c r="L62" t="inlineStr"/>
      <c r="M62" t="inlineStr"/>
      <c r="N62" t="inlineStr"/>
      <c r="O62" t="inlineStr"/>
      <c r="P62" t="n">
        <v>64.13230338769772</v>
      </c>
      <c r="Q62" t="n">
        <v>8911</v>
      </c>
      <c r="R62" t="n">
        <v>8911</v>
      </c>
      <c r="S62" t="inlineStr"/>
      <c r="T62" t="inlineStr"/>
      <c r="U62" t="n">
        <v>-28.4056669789391</v>
      </c>
      <c r="V62" t="inlineStr"/>
      <c r="W62" t="n">
        <v>20.38470821186828</v>
      </c>
      <c r="X62" t="inlineStr">
        <is>
          <t>Galeras</t>
        </is>
      </c>
      <c r="Y62" t="n">
        <v>1500</v>
      </c>
      <c r="Z62" t="n">
        <v>62</v>
      </c>
      <c r="AA62" t="inlineStr">
        <is>
          <t>Galeras</t>
        </is>
      </c>
      <c r="AB62" t="inlineStr">
        <is>
          <t>GAL_62</t>
        </is>
      </c>
      <c r="AC62" t="n">
        <v>1906</v>
      </c>
      <c r="AD62" t="n">
        <v>1</v>
      </c>
      <c r="AE62" t="inlineStr"/>
      <c r="AF62" t="inlineStr"/>
      <c r="AG62" t="inlineStr"/>
      <c r="AH62" t="inlineStr">
        <is>
          <t>Cunnoniaceae</t>
        </is>
      </c>
      <c r="AI62" t="inlineStr">
        <is>
          <t>Weinmannia</t>
        </is>
      </c>
      <c r="AJ62" t="inlineStr">
        <is>
          <t>pinnata</t>
        </is>
      </c>
      <c r="AK62" s="2" t="n">
        <v>38902</v>
      </c>
      <c r="AL62" t="n">
        <v>22.28169203286535</v>
      </c>
      <c r="AM62" t="inlineStr"/>
      <c r="AN62" t="inlineStr"/>
      <c r="AO62" t="inlineStr"/>
      <c r="AP62" t="inlineStr"/>
      <c r="AQ62" t="inlineStr">
        <is>
          <t>3607</t>
        </is>
      </c>
      <c r="AR62" t="inlineStr"/>
      <c r="AS62" t="inlineStr">
        <is>
          <t>Ο</t>
        </is>
      </c>
      <c r="AT62" t="inlineStr">
        <is>
          <t>Ø</t>
        </is>
      </c>
      <c r="AU62" t="n">
        <v>8911</v>
      </c>
      <c r="AV62" t="n">
        <v>1</v>
      </c>
      <c r="AW62" t="inlineStr"/>
      <c r="AX62" t="inlineStr"/>
      <c r="AY62" s="2" t="n">
        <v>45540</v>
      </c>
      <c r="AZ62" t="n">
        <v>21.6</v>
      </c>
      <c r="BA62" t="n">
        <v>7</v>
      </c>
      <c r="BB62" t="inlineStr"/>
      <c r="BC62" t="inlineStr"/>
      <c r="BD62" t="inlineStr">
        <is>
          <t>A</t>
        </is>
      </c>
      <c r="BE62" t="inlineStr"/>
      <c r="BF62" t="inlineStr"/>
      <c r="BG62" t="inlineStr"/>
      <c r="BH62" t="inlineStr">
        <is>
          <t>inclinado</t>
        </is>
      </c>
      <c r="BI62" t="inlineStr"/>
      <c r="BJ62" t="n">
        <v>0.7</v>
      </c>
      <c r="BK62" t="n">
        <v>5</v>
      </c>
      <c r="BL62" t="n">
        <v>1.28</v>
      </c>
      <c r="BM62" t="n">
        <v>0.68</v>
      </c>
    </row>
    <row r="63">
      <c r="A63" s="1" t="n">
        <v>61</v>
      </c>
      <c r="B63" t="n">
        <v>317.6534322874172</v>
      </c>
      <c r="C63" t="n">
        <v>0.7507510025424867</v>
      </c>
      <c r="D63" t="n">
        <v>62</v>
      </c>
      <c r="E63" t="inlineStr"/>
      <c r="F63" t="inlineStr">
        <is>
          <t>p62-8913</t>
        </is>
      </c>
      <c r="G63" t="inlineStr"/>
      <c r="H63" t="inlineStr">
        <is>
          <t>leaf pulverized</t>
        </is>
      </c>
      <c r="I63" t="inlineStr"/>
      <c r="J63" t="n">
        <v>2025</v>
      </c>
      <c r="K63" t="n">
        <v>44.0519869123762</v>
      </c>
      <c r="L63" t="inlineStr"/>
      <c r="M63" t="inlineStr"/>
      <c r="N63" t="inlineStr"/>
      <c r="O63" t="inlineStr"/>
      <c r="P63" t="n">
        <v>65.91299850786424</v>
      </c>
      <c r="Q63" t="n">
        <v>8913</v>
      </c>
      <c r="R63" t="n">
        <v>8913</v>
      </c>
      <c r="S63" t="inlineStr"/>
      <c r="T63" t="inlineStr"/>
      <c r="U63" t="n">
        <v>-28.2607410254784</v>
      </c>
      <c r="V63" t="inlineStr"/>
      <c r="W63" t="n">
        <v>20.23252723804369</v>
      </c>
      <c r="X63" t="inlineStr">
        <is>
          <t>Galeras</t>
        </is>
      </c>
      <c r="Y63" t="n">
        <v>1500</v>
      </c>
      <c r="Z63" t="n">
        <v>62</v>
      </c>
      <c r="AA63" t="inlineStr">
        <is>
          <t>Galeras</t>
        </is>
      </c>
      <c r="AB63" t="inlineStr">
        <is>
          <t>GAL_62</t>
        </is>
      </c>
      <c r="AC63" t="n">
        <v>1905</v>
      </c>
      <c r="AD63" t="n">
        <v>1</v>
      </c>
      <c r="AE63" t="inlineStr"/>
      <c r="AF63" t="inlineStr"/>
      <c r="AG63" t="inlineStr"/>
      <c r="AH63" t="inlineStr">
        <is>
          <t>Fabaceae</t>
        </is>
      </c>
      <c r="AI63" t="inlineStr">
        <is>
          <t>Inga</t>
        </is>
      </c>
      <c r="AJ63" t="inlineStr"/>
      <c r="AK63" s="2" t="n">
        <v>38902</v>
      </c>
      <c r="AL63" t="n">
        <v>14.32394487827058</v>
      </c>
      <c r="AM63" t="inlineStr"/>
      <c r="AN63" t="inlineStr"/>
      <c r="AO63" t="inlineStr"/>
      <c r="AP63" t="inlineStr"/>
      <c r="AQ63">
        <f>3609</f>
        <v/>
      </c>
      <c r="AR63" t="inlineStr"/>
      <c r="AS63" t="inlineStr">
        <is>
          <t>Ο</t>
        </is>
      </c>
      <c r="AT63" t="inlineStr">
        <is>
          <t>Ø</t>
        </is>
      </c>
      <c r="AU63" t="n">
        <v>8913</v>
      </c>
      <c r="AV63" t="n">
        <v>1</v>
      </c>
      <c r="AW63" t="inlineStr"/>
      <c r="AX63" t="inlineStr"/>
      <c r="AY63" s="2" t="n">
        <v>45540</v>
      </c>
      <c r="AZ63" t="n">
        <v>16.6</v>
      </c>
      <c r="BA63" t="n">
        <v>8</v>
      </c>
      <c r="BB63" t="inlineStr"/>
      <c r="BC63" t="inlineStr"/>
      <c r="BD63" t="inlineStr">
        <is>
          <t>A</t>
        </is>
      </c>
      <c r="BE63" t="inlineStr">
        <is>
          <t>Antes Aniba, Ahora Inga</t>
        </is>
      </c>
      <c r="BF63" t="inlineStr"/>
      <c r="BG63" t="inlineStr"/>
      <c r="BH63" t="inlineStr"/>
      <c r="BI63" t="inlineStr"/>
      <c r="BJ63" t="n">
        <v>1</v>
      </c>
      <c r="BK63" t="n">
        <v>5.6</v>
      </c>
      <c r="BL63" t="n">
        <v>0.96</v>
      </c>
      <c r="BM63" t="n">
        <v>0.47</v>
      </c>
    </row>
    <row r="64">
      <c r="A64" s="1" t="n">
        <v>62</v>
      </c>
      <c r="B64" t="n">
        <v>401.7769424417551</v>
      </c>
      <c r="C64" t="n">
        <v>0.9495708582921265</v>
      </c>
      <c r="D64" t="n">
        <v>24</v>
      </c>
      <c r="E64" t="inlineStr"/>
      <c r="F64" t="inlineStr">
        <is>
          <t>p24-8633</t>
        </is>
      </c>
      <c r="G64" t="inlineStr"/>
      <c r="H64" t="inlineStr">
        <is>
          <t>leaf pulverized</t>
        </is>
      </c>
      <c r="I64" t="inlineStr"/>
      <c r="J64" t="n">
        <v>2025</v>
      </c>
      <c r="K64" t="n">
        <v>53.562366156364</v>
      </c>
      <c r="L64" t="inlineStr"/>
      <c r="M64" t="inlineStr"/>
      <c r="N64" t="inlineStr"/>
      <c r="O64" t="inlineStr"/>
      <c r="P64" t="n">
        <v>13.33580466140304</v>
      </c>
      <c r="Q64" t="n">
        <v>8633</v>
      </c>
      <c r="R64" t="n">
        <v>8633</v>
      </c>
      <c r="S64" t="inlineStr"/>
      <c r="T64" t="inlineStr"/>
      <c r="U64" t="n">
        <v>-32.5217284052814</v>
      </c>
      <c r="V64" t="inlineStr"/>
      <c r="W64" t="n">
        <v>24.72585597798555</v>
      </c>
      <c r="X64" t="inlineStr">
        <is>
          <t>Galeras</t>
        </is>
      </c>
      <c r="Y64" t="n">
        <v>1000</v>
      </c>
      <c r="Z64" t="n">
        <v>24</v>
      </c>
      <c r="AA64" t="inlineStr">
        <is>
          <t>Galeras</t>
        </is>
      </c>
      <c r="AB64" t="inlineStr">
        <is>
          <t>GAL_24</t>
        </is>
      </c>
      <c r="AC64" t="n">
        <v>590</v>
      </c>
      <c r="AD64" t="n">
        <v>1</v>
      </c>
      <c r="AE64" t="n">
        <v>1</v>
      </c>
      <c r="AF64" t="n">
        <v>0</v>
      </c>
      <c r="AG64" t="n">
        <v>0</v>
      </c>
      <c r="AH64" t="inlineStr">
        <is>
          <t>Clusiaceae</t>
        </is>
      </c>
      <c r="AI64" t="inlineStr">
        <is>
          <t>Garcinia</t>
        </is>
      </c>
      <c r="AJ64" t="inlineStr">
        <is>
          <t>madruno</t>
        </is>
      </c>
      <c r="AK64" s="2" t="n">
        <v>38822</v>
      </c>
      <c r="AL64" t="n">
        <v>17.1</v>
      </c>
      <c r="AM64" s="2" t="n">
        <v>40724</v>
      </c>
      <c r="AN64" t="n">
        <v>17.66</v>
      </c>
      <c r="AO64" t="inlineStr">
        <is>
          <t>15,6</t>
        </is>
      </c>
      <c r="AP64" t="inlineStr"/>
      <c r="AQ64" t="n">
        <v>2073</v>
      </c>
      <c r="AR64" t="inlineStr"/>
      <c r="AS64" t="inlineStr">
        <is>
          <t>x</t>
        </is>
      </c>
      <c r="AT64" t="inlineStr">
        <is>
          <t>ø</t>
        </is>
      </c>
      <c r="AU64" t="n">
        <v>8633</v>
      </c>
      <c r="AV64" t="n">
        <v>1</v>
      </c>
      <c r="AW64" t="inlineStr"/>
      <c r="AX64" t="inlineStr"/>
      <c r="AY64" s="2" t="n">
        <v>45665</v>
      </c>
      <c r="AZ64" t="n">
        <v>19.6</v>
      </c>
      <c r="BA64" t="n">
        <v>14.3</v>
      </c>
      <c r="BB64" t="inlineStr"/>
      <c r="BC64" t="inlineStr"/>
      <c r="BD64" t="inlineStr">
        <is>
          <t>A</t>
        </is>
      </c>
      <c r="BE64" t="inlineStr"/>
      <c r="BF64" t="inlineStr"/>
      <c r="BG64" t="inlineStr"/>
      <c r="BH64" t="inlineStr">
        <is>
          <t>Id por dbh y especie</t>
        </is>
      </c>
      <c r="BI64" t="inlineStr"/>
      <c r="BJ64" t="inlineStr"/>
      <c r="BK64" t="inlineStr"/>
      <c r="BL64" t="inlineStr"/>
      <c r="BM64" t="inlineStr"/>
    </row>
    <row r="65">
      <c r="A65" s="1" t="n">
        <v>63</v>
      </c>
      <c r="B65" t="n">
        <v>365.3730830482609</v>
      </c>
      <c r="C65" t="n">
        <v>0.8635329592545593</v>
      </c>
      <c r="D65" t="n">
        <v>62</v>
      </c>
      <c r="E65" t="inlineStr"/>
      <c r="F65" t="inlineStr">
        <is>
          <t>p62-8904</t>
        </is>
      </c>
      <c r="G65" t="inlineStr"/>
      <c r="H65" t="inlineStr">
        <is>
          <t>leaf pulverized</t>
        </is>
      </c>
      <c r="I65" t="inlineStr"/>
      <c r="J65" t="n">
        <v>2025</v>
      </c>
      <c r="K65" t="n">
        <v>42.8829933778642</v>
      </c>
      <c r="L65" t="inlineStr"/>
      <c r="M65" t="inlineStr"/>
      <c r="N65" t="inlineStr"/>
      <c r="O65" t="inlineStr"/>
      <c r="P65" t="n">
        <v>36.08821678233691</v>
      </c>
      <c r="Q65" t="n">
        <v>8904</v>
      </c>
      <c r="R65" t="n">
        <v>8904</v>
      </c>
      <c r="S65" t="inlineStr"/>
      <c r="T65" t="inlineStr"/>
      <c r="U65" t="n">
        <v>-30.6824111939395</v>
      </c>
      <c r="V65" t="inlineStr"/>
      <c r="W65" t="n">
        <v>22.78139945973653</v>
      </c>
      <c r="X65" t="inlineStr">
        <is>
          <t>Galeras</t>
        </is>
      </c>
      <c r="Y65" t="n">
        <v>1500</v>
      </c>
      <c r="Z65" t="n">
        <v>62</v>
      </c>
      <c r="AA65" t="inlineStr">
        <is>
          <t>Galeras</t>
        </is>
      </c>
      <c r="AB65" t="inlineStr">
        <is>
          <t>GAL_62</t>
        </is>
      </c>
      <c r="AC65" t="n">
        <v>1896</v>
      </c>
      <c r="AD65" t="n">
        <v>1</v>
      </c>
      <c r="AE65" t="inlineStr"/>
      <c r="AF65" t="inlineStr"/>
      <c r="AG65" t="inlineStr"/>
      <c r="AH65" t="inlineStr">
        <is>
          <t>Phyllanthaceae</t>
        </is>
      </c>
      <c r="AI65" t="inlineStr">
        <is>
          <t>Hieronyma</t>
        </is>
      </c>
      <c r="AJ65" t="inlineStr">
        <is>
          <t>oblonga</t>
        </is>
      </c>
      <c r="AK65" s="2" t="n">
        <v>38902</v>
      </c>
      <c r="AL65" t="n">
        <v>14.96056465063816</v>
      </c>
      <c r="AM65" t="inlineStr"/>
      <c r="AN65" t="inlineStr"/>
      <c r="AO65" t="inlineStr"/>
      <c r="AP65" t="inlineStr"/>
      <c r="AQ65" t="inlineStr">
        <is>
          <t>2531</t>
        </is>
      </c>
      <c r="AR65" t="inlineStr"/>
      <c r="AS65" t="inlineStr">
        <is>
          <t>Ο</t>
        </is>
      </c>
      <c r="AT65" t="inlineStr">
        <is>
          <t>Ø</t>
        </is>
      </c>
      <c r="AU65" t="n">
        <v>8904</v>
      </c>
      <c r="AV65" t="n">
        <v>1</v>
      </c>
      <c r="AW65" t="inlineStr"/>
      <c r="AX65" t="inlineStr"/>
      <c r="AY65" s="2" t="n">
        <v>45540</v>
      </c>
      <c r="AZ65" t="n">
        <v>14.4</v>
      </c>
      <c r="BA65" t="n">
        <v>3</v>
      </c>
      <c r="BB65" t="inlineStr"/>
      <c r="BC65" t="inlineStr"/>
      <c r="BD65" t="inlineStr">
        <is>
          <t>A</t>
        </is>
      </c>
      <c r="BE65" t="inlineStr"/>
      <c r="BF65" t="inlineStr"/>
      <c r="BG65" t="inlineStr"/>
      <c r="BH65" t="inlineStr">
        <is>
          <t>inclinado</t>
        </is>
      </c>
      <c r="BI65" t="inlineStr"/>
      <c r="BJ65" t="n">
        <v>0.7</v>
      </c>
      <c r="BK65" t="n">
        <v>4.9</v>
      </c>
      <c r="BL65" t="n">
        <v>1.23</v>
      </c>
      <c r="BM65" t="n">
        <v>0.64</v>
      </c>
    </row>
    <row r="66">
      <c r="A66" s="1" t="n">
        <v>64</v>
      </c>
      <c r="B66" t="n">
        <v>290.1686156015281</v>
      </c>
      <c r="C66" t="n">
        <v>0.6857926183908004</v>
      </c>
      <c r="D66" t="n">
        <v>24</v>
      </c>
      <c r="E66" t="inlineStr"/>
      <c r="F66" t="inlineStr">
        <is>
          <t>p24-8643</t>
        </is>
      </c>
      <c r="G66" t="inlineStr"/>
      <c r="H66" t="inlineStr">
        <is>
          <t>leaf pulverized</t>
        </is>
      </c>
      <c r="I66" t="inlineStr"/>
      <c r="J66" t="n">
        <v>2025</v>
      </c>
      <c r="K66" t="n">
        <v>42.3291323522651</v>
      </c>
      <c r="L66" t="inlineStr"/>
      <c r="M66" t="inlineStr"/>
      <c r="N66" t="inlineStr"/>
      <c r="O66" t="inlineStr"/>
      <c r="P66" t="n">
        <v>83.09100893654494</v>
      </c>
      <c r="Q66" t="n">
        <v>8643</v>
      </c>
      <c r="R66" t="n">
        <v>8643</v>
      </c>
      <c r="S66" t="inlineStr"/>
      <c r="T66" t="inlineStr"/>
      <c r="U66" t="n">
        <v>-26.8604457873218</v>
      </c>
      <c r="V66" t="inlineStr"/>
      <c r="W66" t="n">
        <v>18.76446775621558</v>
      </c>
      <c r="X66" t="inlineStr">
        <is>
          <t>Galeras</t>
        </is>
      </c>
      <c r="Y66" t="n">
        <v>1000</v>
      </c>
      <c r="Z66" t="n">
        <v>24</v>
      </c>
      <c r="AA66" t="inlineStr">
        <is>
          <t>Galeras</t>
        </is>
      </c>
      <c r="AB66" t="inlineStr">
        <is>
          <t>GAL_24</t>
        </is>
      </c>
      <c r="AC66" t="n">
        <v>611</v>
      </c>
      <c r="AD66" t="n">
        <v>1</v>
      </c>
      <c r="AE66" t="n">
        <v>1</v>
      </c>
      <c r="AF66" t="n">
        <v>0</v>
      </c>
      <c r="AG66" t="n">
        <v>0</v>
      </c>
      <c r="AH66" t="inlineStr">
        <is>
          <t>Melastomataceae</t>
        </is>
      </c>
      <c r="AI66" t="inlineStr"/>
      <c r="AJ66" t="inlineStr"/>
      <c r="AK66" s="2" t="n">
        <v>38822</v>
      </c>
      <c r="AL66" t="n">
        <v>11.03</v>
      </c>
      <c r="AM66" s="2" t="n">
        <v>40724</v>
      </c>
      <c r="AN66" t="n">
        <v>11.83</v>
      </c>
      <c r="AO66" t="n">
        <v>12.4</v>
      </c>
      <c r="AP66" t="inlineStr"/>
      <c r="AQ66" t="n">
        <v>2067</v>
      </c>
      <c r="AR66" t="n">
        <v>1</v>
      </c>
      <c r="AS66" t="inlineStr">
        <is>
          <t>x</t>
        </is>
      </c>
      <c r="AT66" t="inlineStr">
        <is>
          <t>ø</t>
        </is>
      </c>
      <c r="AU66" t="n">
        <v>8643</v>
      </c>
      <c r="AV66" t="n">
        <v>1</v>
      </c>
      <c r="AW66" t="inlineStr"/>
      <c r="AX66" t="inlineStr"/>
      <c r="AY66" s="2" t="n">
        <v>45665</v>
      </c>
      <c r="AZ66" t="n">
        <v>17.1</v>
      </c>
      <c r="BA66" t="n">
        <v>12.4</v>
      </c>
      <c r="BB66" t="inlineStr"/>
      <c r="BC66" t="inlineStr"/>
      <c r="BD66" t="inlineStr">
        <is>
          <t>C</t>
        </is>
      </c>
      <c r="BE66" t="inlineStr"/>
      <c r="BF66" t="inlineStr"/>
      <c r="BG66" t="n">
        <v>2</v>
      </c>
      <c r="BH66" t="inlineStr">
        <is>
          <t>no pv. Id por dbh y especie.</t>
        </is>
      </c>
      <c r="BI66" t="inlineStr"/>
      <c r="BJ66" t="inlineStr"/>
      <c r="BK66" t="inlineStr"/>
      <c r="BL66" t="inlineStr"/>
      <c r="BM66" t="inlineStr"/>
    </row>
    <row r="67">
      <c r="A67" s="1" t="n">
        <v>65</v>
      </c>
      <c r="B67" t="n">
        <v>295.7930133408786</v>
      </c>
      <c r="C67" t="n">
        <v>0.6990854772499313</v>
      </c>
      <c r="D67" t="n">
        <v>62</v>
      </c>
      <c r="E67" t="inlineStr"/>
      <c r="F67" t="inlineStr">
        <is>
          <t>p62-8935</t>
        </is>
      </c>
      <c r="G67" t="inlineStr"/>
      <c r="H67" t="inlineStr">
        <is>
          <t>leaf pulverized</t>
        </is>
      </c>
      <c r="I67" t="inlineStr"/>
      <c r="J67" t="n">
        <v>2025</v>
      </c>
      <c r="K67" t="n">
        <v>47.7447902483846</v>
      </c>
      <c r="L67" t="inlineStr"/>
      <c r="M67" t="inlineStr"/>
      <c r="N67" t="inlineStr"/>
      <c r="O67" t="inlineStr"/>
      <c r="P67" t="n">
        <v>79.57576034945085</v>
      </c>
      <c r="Q67" t="n">
        <v>8935</v>
      </c>
      <c r="R67" t="n">
        <v>8935</v>
      </c>
      <c r="S67" t="inlineStr"/>
      <c r="T67" t="inlineStr"/>
      <c r="U67" t="n">
        <v>-27.1473256870557</v>
      </c>
      <c r="V67" t="inlineStr"/>
      <c r="W67" t="n">
        <v>19.06488636643194</v>
      </c>
      <c r="X67" t="inlineStr">
        <is>
          <t>Galeras</t>
        </is>
      </c>
      <c r="Y67" t="n">
        <v>1500</v>
      </c>
      <c r="Z67" t="n">
        <v>62</v>
      </c>
      <c r="AA67" t="inlineStr">
        <is>
          <t>Galeras</t>
        </is>
      </c>
      <c r="AB67" t="inlineStr">
        <is>
          <t>GAL_62</t>
        </is>
      </c>
      <c r="AC67" t="inlineStr"/>
      <c r="AD67" t="inlineStr"/>
      <c r="AE67" t="inlineStr"/>
      <c r="AF67" t="inlineStr"/>
      <c r="AG67" t="inlineStr"/>
      <c r="AH67" t="inlineStr">
        <is>
          <t>Clusiaceae</t>
        </is>
      </c>
      <c r="AI67" t="inlineStr">
        <is>
          <t>Tovomita</t>
        </is>
      </c>
      <c r="AJ67" t="inlineStr"/>
      <c r="AK67" t="inlineStr"/>
      <c r="AL67" t="inlineStr"/>
      <c r="AM67" t="inlineStr"/>
      <c r="AN67" t="inlineStr"/>
      <c r="AO67" t="inlineStr"/>
      <c r="AP67" t="inlineStr"/>
      <c r="AQ67" t="inlineStr"/>
      <c r="AR67" t="inlineStr"/>
      <c r="AS67" t="inlineStr"/>
      <c r="AT67" t="inlineStr"/>
      <c r="AU67" t="n">
        <v>8935</v>
      </c>
      <c r="AV67" t="n">
        <v>1</v>
      </c>
      <c r="AW67" t="inlineStr"/>
      <c r="AX67" t="inlineStr"/>
      <c r="AY67" s="2" t="n">
        <v>45540</v>
      </c>
      <c r="AZ67" t="n">
        <v>10.2</v>
      </c>
      <c r="BA67" t="n">
        <v>7.5</v>
      </c>
      <c r="BB67" t="inlineStr"/>
      <c r="BC67" t="n">
        <v>1</v>
      </c>
      <c r="BD67" t="inlineStr">
        <is>
          <t>D</t>
        </is>
      </c>
      <c r="BE67" t="inlineStr"/>
      <c r="BF67" t="inlineStr"/>
      <c r="BG67" t="inlineStr"/>
      <c r="BH67" t="inlineStr"/>
      <c r="BI67" t="inlineStr"/>
      <c r="BJ67" t="inlineStr"/>
      <c r="BK67" t="inlineStr"/>
      <c r="BL67" t="inlineStr"/>
      <c r="BM67" t="inlineStr"/>
    </row>
    <row r="68">
      <c r="A68" s="1" t="n">
        <v>66</v>
      </c>
      <c r="B68" t="n">
        <v>376.3293799409167</v>
      </c>
      <c r="C68" t="n">
        <v>0.8894273776371441</v>
      </c>
      <c r="D68" t="n">
        <v>48</v>
      </c>
      <c r="E68" t="inlineStr"/>
      <c r="F68" t="inlineStr">
        <is>
          <t>p48-8667</t>
        </is>
      </c>
      <c r="G68" t="inlineStr"/>
      <c r="H68" t="inlineStr">
        <is>
          <t>leaf pulverized</t>
        </is>
      </c>
      <c r="I68" t="inlineStr"/>
      <c r="J68" t="n">
        <v>2025</v>
      </c>
      <c r="K68" t="n">
        <v>43.6800233807908</v>
      </c>
      <c r="L68" t="inlineStr"/>
      <c r="M68" t="inlineStr"/>
      <c r="N68" t="inlineStr"/>
      <c r="O68" t="inlineStr"/>
      <c r="P68" t="n">
        <v>29.24053122442706</v>
      </c>
      <c r="Q68" t="n">
        <v>8667</v>
      </c>
      <c r="R68" t="n">
        <v>8667</v>
      </c>
      <c r="S68" t="inlineStr"/>
      <c r="T68" t="inlineStr"/>
      <c r="U68" t="n">
        <v>-31.2367170271732</v>
      </c>
      <c r="V68" t="inlineStr"/>
      <c r="W68" t="n">
        <v>23.36661331518295</v>
      </c>
      <c r="X68" t="inlineStr">
        <is>
          <t>Galeras</t>
        </is>
      </c>
      <c r="Y68" t="n">
        <v>1000</v>
      </c>
      <c r="Z68" t="n">
        <v>48</v>
      </c>
      <c r="AA68" t="inlineStr">
        <is>
          <t>Galeras</t>
        </is>
      </c>
      <c r="AB68" t="inlineStr">
        <is>
          <t>GAL_48</t>
        </is>
      </c>
      <c r="AC68" t="n">
        <v>1407</v>
      </c>
      <c r="AD68" t="n">
        <v>1</v>
      </c>
      <c r="AE68" t="inlineStr"/>
      <c r="AF68" t="inlineStr"/>
      <c r="AG68" t="inlineStr"/>
      <c r="AH68" t="inlineStr">
        <is>
          <t>Myrtaceae</t>
        </is>
      </c>
      <c r="AI68" t="inlineStr">
        <is>
          <t>Calyptranthes</t>
        </is>
      </c>
      <c r="AJ68" t="inlineStr"/>
      <c r="AK68" s="2" t="n">
        <v>38871</v>
      </c>
      <c r="AL68" t="n">
        <v>16.8704239677409</v>
      </c>
      <c r="AM68" t="inlineStr"/>
      <c r="AN68" t="inlineStr"/>
      <c r="AO68" t="inlineStr"/>
      <c r="AP68" t="inlineStr"/>
      <c r="AQ68" t="inlineStr">
        <is>
          <t>3700</t>
        </is>
      </c>
      <c r="AR68" t="inlineStr"/>
      <c r="AS68" t="inlineStr"/>
      <c r="AT68" t="inlineStr">
        <is>
          <t>ø</t>
        </is>
      </c>
      <c r="AU68" t="n">
        <v>8667</v>
      </c>
      <c r="AV68" t="n">
        <v>1</v>
      </c>
      <c r="AW68" t="inlineStr"/>
      <c r="AX68" t="inlineStr"/>
      <c r="AY68" s="2" t="n">
        <v>45666</v>
      </c>
      <c r="AZ68" t="n">
        <v>22.6</v>
      </c>
      <c r="BA68" t="n">
        <v>20.5</v>
      </c>
      <c r="BB68" t="inlineStr"/>
      <c r="BC68" t="inlineStr"/>
      <c r="BD68" t="inlineStr">
        <is>
          <t>B</t>
        </is>
      </c>
      <c r="BE68" t="inlineStr"/>
      <c r="BF68" t="inlineStr"/>
      <c r="BG68" t="inlineStr"/>
      <c r="BH68" t="inlineStr"/>
      <c r="BI68" t="inlineStr"/>
      <c r="BJ68" t="inlineStr"/>
      <c r="BK68" t="inlineStr"/>
      <c r="BL68" t="inlineStr"/>
      <c r="BM68" t="inlineStr"/>
    </row>
    <row r="69">
      <c r="A69" s="1" t="n">
        <v>67</v>
      </c>
      <c r="B69" t="n">
        <v>381.1632535514419</v>
      </c>
      <c r="C69" t="n">
        <v>0.9008518896694331</v>
      </c>
      <c r="D69" t="n">
        <v>24</v>
      </c>
      <c r="E69" t="inlineStr"/>
      <c r="F69" t="inlineStr">
        <is>
          <t>p24-8654</t>
        </is>
      </c>
      <c r="G69" t="inlineStr"/>
      <c r="H69" t="inlineStr">
        <is>
          <t>leaf pulverized</t>
        </is>
      </c>
      <c r="I69" t="inlineStr"/>
      <c r="J69" t="n">
        <v>2025</v>
      </c>
      <c r="K69" t="n">
        <v>45.0157176833454</v>
      </c>
      <c r="L69" t="inlineStr"/>
      <c r="M69" t="inlineStr"/>
      <c r="N69" t="inlineStr"/>
      <c r="O69" t="inlineStr"/>
      <c r="P69" t="n">
        <v>26.21936021784878</v>
      </c>
      <c r="Q69" t="n">
        <v>8654</v>
      </c>
      <c r="R69" t="n">
        <v>8654</v>
      </c>
      <c r="S69" t="inlineStr"/>
      <c r="T69" t="inlineStr"/>
      <c r="U69" t="n">
        <v>-31.481073004197</v>
      </c>
      <c r="V69" t="inlineStr"/>
      <c r="W69" t="n">
        <v>23.62480728711268</v>
      </c>
      <c r="X69" t="inlineStr">
        <is>
          <t>Galeras</t>
        </is>
      </c>
      <c r="Y69" t="n">
        <v>1000</v>
      </c>
      <c r="Z69" t="n">
        <v>24</v>
      </c>
      <c r="AA69" t="inlineStr">
        <is>
          <t>Galeras</t>
        </is>
      </c>
      <c r="AB69" t="inlineStr">
        <is>
          <t>GAL_24</t>
        </is>
      </c>
      <c r="AC69" t="n">
        <v>595</v>
      </c>
      <c r="AD69" t="n">
        <v>1</v>
      </c>
      <c r="AE69" t="n">
        <v>1</v>
      </c>
      <c r="AF69" t="n">
        <v>0</v>
      </c>
      <c r="AG69" t="n">
        <v>0</v>
      </c>
      <c r="AH69" t="inlineStr">
        <is>
          <t>Phyllanthaceae</t>
        </is>
      </c>
      <c r="AI69" t="inlineStr">
        <is>
          <t>Hieronyma</t>
        </is>
      </c>
      <c r="AJ69" t="inlineStr">
        <is>
          <t>oblonga</t>
        </is>
      </c>
      <c r="AK69" s="2" t="n">
        <v>38822</v>
      </c>
      <c r="AL69" t="n">
        <v>25.88</v>
      </c>
      <c r="AM69" s="2" t="n">
        <v>40724</v>
      </c>
      <c r="AN69" t="inlineStr">
        <is>
          <t>28,07</t>
        </is>
      </c>
      <c r="AO69" t="inlineStr">
        <is>
          <t>19,0</t>
        </is>
      </c>
      <c r="AP69" t="inlineStr"/>
      <c r="AQ69" t="n">
        <v>3689</v>
      </c>
      <c r="AR69" t="n">
        <v>1</v>
      </c>
      <c r="AS69" t="inlineStr"/>
      <c r="AT69" t="inlineStr">
        <is>
          <t>ø</t>
        </is>
      </c>
      <c r="AU69" t="n">
        <v>8654</v>
      </c>
      <c r="AV69" t="n">
        <v>1</v>
      </c>
      <c r="AW69" t="inlineStr"/>
      <c r="AX69" t="inlineStr"/>
      <c r="AY69" s="2" t="n">
        <v>45665</v>
      </c>
      <c r="AZ69" t="n">
        <v>32.7</v>
      </c>
      <c r="BA69" t="n">
        <v>24</v>
      </c>
      <c r="BB69" t="inlineStr"/>
      <c r="BC69" t="inlineStr"/>
      <c r="BD69" t="inlineStr">
        <is>
          <t>D</t>
        </is>
      </c>
      <c r="BE69" t="inlineStr"/>
      <c r="BF69" t="inlineStr"/>
      <c r="BG69" t="n">
        <v>2</v>
      </c>
      <c r="BH69" t="inlineStr">
        <is>
          <t>ID por dbh y familia.</t>
        </is>
      </c>
      <c r="BI69" t="inlineStr"/>
      <c r="BJ69" t="inlineStr"/>
      <c r="BK69" t="inlineStr"/>
      <c r="BL69" t="inlineStr"/>
      <c r="BM69" t="inlineStr"/>
    </row>
    <row r="70">
      <c r="A70" s="1" t="n">
        <v>68</v>
      </c>
      <c r="B70" t="n">
        <v>329.0785224147099</v>
      </c>
      <c r="C70" t="n">
        <v>0.7777533799619201</v>
      </c>
      <c r="D70" t="n">
        <v>24</v>
      </c>
      <c r="E70" t="inlineStr"/>
      <c r="F70" t="inlineStr">
        <is>
          <t>p24-8649</t>
        </is>
      </c>
      <c r="G70" t="inlineStr"/>
      <c r="H70" t="inlineStr">
        <is>
          <t>leaf pulverized</t>
        </is>
      </c>
      <c r="I70" t="inlineStr"/>
      <c r="J70" t="n">
        <v>2025</v>
      </c>
      <c r="K70" t="n">
        <v>44.5666577303445</v>
      </c>
      <c r="L70" t="inlineStr"/>
      <c r="M70" t="inlineStr"/>
      <c r="N70" t="inlineStr"/>
      <c r="O70" t="inlineStr"/>
      <c r="P70" t="n">
        <v>58.77231717830632</v>
      </c>
      <c r="Q70" t="n">
        <v>8649</v>
      </c>
      <c r="R70" t="n">
        <v>8649</v>
      </c>
      <c r="S70" t="inlineStr"/>
      <c r="T70" t="inlineStr"/>
      <c r="U70" t="n">
        <v>-28.841640962394</v>
      </c>
      <c r="V70" t="inlineStr"/>
      <c r="W70" t="n">
        <v>20.84278096772288</v>
      </c>
      <c r="X70" t="inlineStr">
        <is>
          <t>Galeras</t>
        </is>
      </c>
      <c r="Y70" t="n">
        <v>1000</v>
      </c>
      <c r="Z70" t="n">
        <v>24</v>
      </c>
      <c r="AA70" t="inlineStr">
        <is>
          <t>Galeras</t>
        </is>
      </c>
      <c r="AB70" t="inlineStr">
        <is>
          <t>GAL_24</t>
        </is>
      </c>
      <c r="AC70" t="n">
        <v>600</v>
      </c>
      <c r="AD70" t="n">
        <v>1</v>
      </c>
      <c r="AE70" t="n">
        <v>1</v>
      </c>
      <c r="AF70" t="n">
        <v>0</v>
      </c>
      <c r="AG70" t="n">
        <v>0</v>
      </c>
      <c r="AH70" t="inlineStr">
        <is>
          <t>Euphorbiaceae</t>
        </is>
      </c>
      <c r="AI70" t="inlineStr">
        <is>
          <t>Alchornea</t>
        </is>
      </c>
      <c r="AJ70" t="inlineStr"/>
      <c r="AK70" s="2" t="n">
        <v>38822</v>
      </c>
      <c r="AL70" t="n">
        <v>57.41</v>
      </c>
      <c r="AM70" s="2" t="n">
        <v>40724</v>
      </c>
      <c r="AN70" t="inlineStr">
        <is>
          <t>59,23</t>
        </is>
      </c>
      <c r="AO70" t="inlineStr">
        <is>
          <t>23,0</t>
        </is>
      </c>
      <c r="AP70" t="inlineStr"/>
      <c r="AQ70" t="n">
        <v>3665</v>
      </c>
      <c r="AR70" t="inlineStr"/>
      <c r="AS70" t="inlineStr">
        <is>
          <t>x</t>
        </is>
      </c>
      <c r="AT70" t="inlineStr">
        <is>
          <t>ø</t>
        </is>
      </c>
      <c r="AU70" t="n">
        <v>8649</v>
      </c>
      <c r="AV70" t="n">
        <v>1</v>
      </c>
      <c r="AW70" t="inlineStr"/>
      <c r="AX70" t="inlineStr"/>
      <c r="AY70" s="2" t="n">
        <v>45665</v>
      </c>
      <c r="AZ70" t="n">
        <v>60.6</v>
      </c>
      <c r="BA70" t="n">
        <v>22.3</v>
      </c>
      <c r="BB70" t="inlineStr"/>
      <c r="BC70" t="inlineStr"/>
      <c r="BD70" t="inlineStr">
        <is>
          <t>C</t>
        </is>
      </c>
      <c r="BE70" t="inlineStr">
        <is>
          <t>Antes Sloanea Ahora Alchornea</t>
        </is>
      </c>
      <c r="BF70" t="inlineStr"/>
      <c r="BG70" t="inlineStr">
        <is>
          <t>3 - flores</t>
        </is>
      </c>
      <c r="BH70" t="inlineStr">
        <is>
          <t>ID por dbh y especie.</t>
        </is>
      </c>
      <c r="BI70" t="inlineStr"/>
      <c r="BJ70" t="inlineStr"/>
      <c r="BK70" t="inlineStr"/>
      <c r="BL70" t="inlineStr"/>
      <c r="BM70" t="inlineStr"/>
    </row>
    <row r="71">
      <c r="A71" s="1" t="n">
        <v>69</v>
      </c>
      <c r="B71" t="n">
        <v>396.2620539037343</v>
      </c>
      <c r="C71" t="n">
        <v>0.93653681654098</v>
      </c>
      <c r="D71" t="n">
        <v>50</v>
      </c>
      <c r="E71" t="inlineStr"/>
      <c r="F71" t="inlineStr">
        <is>
          <t>p50-8780</t>
        </is>
      </c>
      <c r="G71" t="inlineStr"/>
      <c r="H71" t="inlineStr">
        <is>
          <t>leaf pulverized</t>
        </is>
      </c>
      <c r="I71" t="inlineStr"/>
      <c r="J71" t="n">
        <v>2025</v>
      </c>
      <c r="K71" t="n">
        <v>46.6657515975042</v>
      </c>
      <c r="L71" t="inlineStr"/>
      <c r="M71" t="inlineStr"/>
      <c r="N71" t="inlineStr"/>
      <c r="O71" t="inlineStr"/>
      <c r="P71" t="n">
        <v>16.78260999766605</v>
      </c>
      <c r="Q71" t="n">
        <v>8780</v>
      </c>
      <c r="R71" t="n">
        <v>8780</v>
      </c>
      <c r="S71" t="inlineStr"/>
      <c r="T71" t="inlineStr"/>
      <c r="U71" t="n">
        <v>-32.2435355746779</v>
      </c>
      <c r="V71" t="inlineStr"/>
      <c r="W71" t="n">
        <v>24.43128663440964</v>
      </c>
      <c r="X71" t="inlineStr">
        <is>
          <t>Galeras</t>
        </is>
      </c>
      <c r="Y71" t="n">
        <v>1500</v>
      </c>
      <c r="Z71" t="n">
        <v>50</v>
      </c>
      <c r="AA71" t="inlineStr">
        <is>
          <t>Galeras</t>
        </is>
      </c>
      <c r="AB71" t="inlineStr">
        <is>
          <t>GAL_50</t>
        </is>
      </c>
      <c r="AC71" t="n">
        <v>1470</v>
      </c>
      <c r="AD71" t="n">
        <v>1</v>
      </c>
      <c r="AE71" t="inlineStr"/>
      <c r="AF71" t="inlineStr"/>
      <c r="AG71" t="inlineStr"/>
      <c r="AH71" t="inlineStr">
        <is>
          <t>Styracaceae</t>
        </is>
      </c>
      <c r="AI71" t="inlineStr">
        <is>
          <t>Styrax</t>
        </is>
      </c>
      <c r="AJ71" t="inlineStr">
        <is>
          <t>cordatus</t>
        </is>
      </c>
      <c r="AK71" s="2" t="n">
        <v>38873</v>
      </c>
      <c r="AL71" t="n">
        <v>17.50704374010849</v>
      </c>
      <c r="AM71" t="inlineStr"/>
      <c r="AN71" t="inlineStr"/>
      <c r="AO71" t="inlineStr"/>
      <c r="AP71" t="inlineStr"/>
      <c r="AQ71" t="inlineStr">
        <is>
          <t>3617</t>
        </is>
      </c>
      <c r="AR71" t="inlineStr"/>
      <c r="AS71" t="inlineStr">
        <is>
          <t>Ο</t>
        </is>
      </c>
      <c r="AT71" t="inlineStr">
        <is>
          <t>Ø</t>
        </is>
      </c>
      <c r="AU71" t="n">
        <v>8780</v>
      </c>
      <c r="AV71" t="n">
        <v>1</v>
      </c>
      <c r="AW71" t="inlineStr"/>
      <c r="AX71" t="inlineStr"/>
      <c r="AY71" s="2" t="n">
        <v>45539</v>
      </c>
      <c r="AZ71" t="n">
        <v>16.8</v>
      </c>
      <c r="BA71" t="n">
        <v>14.3</v>
      </c>
      <c r="BB71" t="inlineStr"/>
      <c r="BC71" t="inlineStr"/>
      <c r="BD71" t="inlineStr">
        <is>
          <t>A</t>
        </is>
      </c>
      <c r="BE71" t="inlineStr"/>
      <c r="BF71" t="inlineStr">
        <is>
          <t>JH6789</t>
        </is>
      </c>
      <c r="BG71" t="inlineStr"/>
      <c r="BH71" t="inlineStr"/>
      <c r="BI71" t="inlineStr">
        <is>
          <t>Antes S. cordatus Ahora S. pavonii</t>
        </is>
      </c>
      <c r="BJ71" t="n">
        <v>0.5</v>
      </c>
      <c r="BK71" t="n">
        <v>7.2</v>
      </c>
      <c r="BL71" t="n">
        <v>1.52</v>
      </c>
      <c r="BM71" t="n">
        <v>0.85</v>
      </c>
    </row>
    <row r="72">
      <c r="A72" s="1" t="n">
        <v>70</v>
      </c>
      <c r="B72" t="n">
        <v>392.8825792423179</v>
      </c>
      <c r="C72" t="n">
        <v>0.9285496716458175</v>
      </c>
      <c r="D72" t="n">
        <v>50</v>
      </c>
      <c r="E72" t="inlineStr"/>
      <c r="F72" t="inlineStr">
        <is>
          <t>p50-8613</t>
        </is>
      </c>
      <c r="G72" t="inlineStr"/>
      <c r="H72" t="inlineStr">
        <is>
          <t>leaf pulverized</t>
        </is>
      </c>
      <c r="I72" t="inlineStr"/>
      <c r="J72" t="n">
        <v>2025</v>
      </c>
      <c r="K72" t="n">
        <v>48.539882967714</v>
      </c>
      <c r="L72" t="inlineStr"/>
      <c r="M72" t="inlineStr"/>
      <c r="N72" t="inlineStr"/>
      <c r="O72" t="inlineStr"/>
      <c r="P72" t="n">
        <v>18.8947816610513</v>
      </c>
      <c r="Q72" t="n">
        <v>8613</v>
      </c>
      <c r="R72" t="n">
        <v>8613</v>
      </c>
      <c r="S72" t="inlineStr"/>
      <c r="T72" t="inlineStr"/>
      <c r="U72" t="n">
        <v>-32.0729824104926</v>
      </c>
      <c r="V72" t="inlineStr"/>
      <c r="W72" t="n">
        <v>24.25077715977897</v>
      </c>
      <c r="X72" t="inlineStr">
        <is>
          <t>Galeras</t>
        </is>
      </c>
      <c r="Y72" t="n">
        <v>1500</v>
      </c>
      <c r="Z72" t="n">
        <v>50</v>
      </c>
      <c r="AA72" t="inlineStr">
        <is>
          <t>Galeras</t>
        </is>
      </c>
      <c r="AB72" t="inlineStr">
        <is>
          <t>GAL_50</t>
        </is>
      </c>
      <c r="AC72" t="inlineStr"/>
      <c r="AD72" t="inlineStr"/>
      <c r="AE72" t="inlineStr"/>
      <c r="AF72" t="inlineStr"/>
      <c r="AG72" t="inlineStr"/>
      <c r="AH72" t="inlineStr">
        <is>
          <t>Apocynaceae</t>
        </is>
      </c>
      <c r="AI72" t="inlineStr">
        <is>
          <t>Apo28</t>
        </is>
      </c>
      <c r="AJ72" t="inlineStr"/>
      <c r="AK72" t="inlineStr"/>
      <c r="AL72" t="inlineStr"/>
      <c r="AM72" t="inlineStr"/>
      <c r="AN72" t="inlineStr"/>
      <c r="AO72" t="inlineStr"/>
      <c r="AP72" t="inlineStr"/>
      <c r="AQ72" t="inlineStr"/>
      <c r="AR72" t="inlineStr"/>
      <c r="AS72" t="inlineStr"/>
      <c r="AT72" t="inlineStr"/>
      <c r="AU72" t="n">
        <v>8613</v>
      </c>
      <c r="AV72" t="n">
        <v>1</v>
      </c>
      <c r="AW72" t="inlineStr"/>
      <c r="AX72" t="inlineStr"/>
      <c r="AY72" s="2" t="n">
        <v>45540</v>
      </c>
      <c r="AZ72" t="n">
        <v>17.8</v>
      </c>
      <c r="BA72" t="n">
        <v>15</v>
      </c>
      <c r="BB72" t="inlineStr"/>
      <c r="BC72" t="n">
        <v>1</v>
      </c>
      <c r="BD72" t="inlineStr">
        <is>
          <t>C</t>
        </is>
      </c>
      <c r="BE72" t="inlineStr"/>
      <c r="BF72" t="inlineStr">
        <is>
          <t xml:space="preserve"> =JH6774</t>
        </is>
      </c>
      <c r="BG72" t="inlineStr"/>
      <c r="BH72" t="inlineStr"/>
      <c r="BI72" t="inlineStr"/>
      <c r="BJ72" t="inlineStr"/>
      <c r="BK72" t="inlineStr"/>
      <c r="BL72" t="inlineStr"/>
      <c r="BM72" t="inlineStr"/>
    </row>
    <row r="73">
      <c r="A73" s="1" t="n">
        <v>71</v>
      </c>
      <c r="B73" t="n">
        <v>325.8818460331491</v>
      </c>
      <c r="C73" t="n">
        <v>0.7701982656318814</v>
      </c>
      <c r="D73" t="n">
        <v>50</v>
      </c>
      <c r="E73" t="inlineStr"/>
      <c r="F73" t="inlineStr">
        <is>
          <t>p50-8615</t>
        </is>
      </c>
      <c r="G73" t="inlineStr"/>
      <c r="H73" t="inlineStr">
        <is>
          <t>leaf pulverized</t>
        </is>
      </c>
      <c r="I73" t="inlineStr"/>
      <c r="J73" t="n">
        <v>2025</v>
      </c>
      <c r="K73" t="n">
        <v>47.6661354350682</v>
      </c>
      <c r="L73" t="inlineStr"/>
      <c r="M73" t="inlineStr"/>
      <c r="N73" t="inlineStr"/>
      <c r="O73" t="inlineStr"/>
      <c r="P73" t="n">
        <v>60.77023991678178</v>
      </c>
      <c r="Q73" t="n">
        <v>8615</v>
      </c>
      <c r="R73" t="n">
        <v>8615</v>
      </c>
      <c r="S73" t="inlineStr"/>
      <c r="T73" t="inlineStr"/>
      <c r="U73" t="n">
        <v>-28.6791783933368</v>
      </c>
      <c r="V73" t="inlineStr"/>
      <c r="W73" t="n">
        <v>20.67203538386401</v>
      </c>
      <c r="X73" t="inlineStr">
        <is>
          <t>Galeras</t>
        </is>
      </c>
      <c r="Y73" t="n">
        <v>1500</v>
      </c>
      <c r="Z73" t="n">
        <v>50</v>
      </c>
      <c r="AA73" t="inlineStr">
        <is>
          <t>Galeras</t>
        </is>
      </c>
      <c r="AB73" t="inlineStr">
        <is>
          <t>GAL_50</t>
        </is>
      </c>
      <c r="AC73" t="n">
        <v>1486</v>
      </c>
      <c r="AD73" t="n">
        <v>1</v>
      </c>
      <c r="AE73" t="inlineStr"/>
      <c r="AF73" t="inlineStr"/>
      <c r="AG73" t="inlineStr"/>
      <c r="AH73" t="inlineStr">
        <is>
          <t>Lauraceae</t>
        </is>
      </c>
      <c r="AI73" t="inlineStr">
        <is>
          <t>Ocotea</t>
        </is>
      </c>
      <c r="AJ73" t="inlineStr">
        <is>
          <t xml:space="preserve"> cf. longifolia</t>
        </is>
      </c>
      <c r="AK73" s="2" t="n">
        <v>38873</v>
      </c>
      <c r="AL73" t="n">
        <v>35.01408748021697</v>
      </c>
      <c r="AM73" t="inlineStr"/>
      <c r="AN73" t="inlineStr"/>
      <c r="AO73" t="inlineStr"/>
      <c r="AP73" t="inlineStr"/>
      <c r="AQ73" t="inlineStr">
        <is>
          <t>3620</t>
        </is>
      </c>
      <c r="AR73" t="inlineStr"/>
      <c r="AS73" t="inlineStr">
        <is>
          <t>Ο</t>
        </is>
      </c>
      <c r="AT73" t="inlineStr">
        <is>
          <t>Ø</t>
        </is>
      </c>
      <c r="AU73" t="n">
        <v>8615</v>
      </c>
      <c r="AV73" t="n">
        <v>1</v>
      </c>
      <c r="AW73" t="inlineStr"/>
      <c r="AX73" t="inlineStr"/>
      <c r="AY73" s="2" t="n">
        <v>45540</v>
      </c>
      <c r="AZ73" t="n">
        <v>38.5</v>
      </c>
      <c r="BA73" t="n">
        <v>22</v>
      </c>
      <c r="BB73" t="inlineStr"/>
      <c r="BC73" t="inlineStr"/>
      <c r="BD73" t="inlineStr">
        <is>
          <t>C</t>
        </is>
      </c>
      <c r="BE73" t="inlineStr"/>
      <c r="BF73" t="inlineStr">
        <is>
          <t>JH6788</t>
        </is>
      </c>
      <c r="BG73" t="inlineStr"/>
      <c r="BH73" t="inlineStr"/>
      <c r="BI73" t="inlineStr">
        <is>
          <t>flores</t>
        </is>
      </c>
      <c r="BJ73" t="n">
        <v>1.3</v>
      </c>
      <c r="BK73" t="n">
        <v>3.3</v>
      </c>
      <c r="BL73" t="n">
        <v>0.73</v>
      </c>
      <c r="BM73" t="n">
        <v>0.43</v>
      </c>
    </row>
    <row r="74">
      <c r="A74" s="1" t="n">
        <v>72</v>
      </c>
      <c r="B74" t="n">
        <v>398.5031269855899</v>
      </c>
      <c r="C74" t="n">
        <v>0.9418334313165815</v>
      </c>
      <c r="D74" t="n">
        <v>24</v>
      </c>
      <c r="E74" t="inlineStr"/>
      <c r="F74" t="inlineStr">
        <is>
          <t>p24-8642</t>
        </is>
      </c>
      <c r="G74" t="inlineStr"/>
      <c r="H74" t="inlineStr">
        <is>
          <t>leaf pulverized</t>
        </is>
      </c>
      <c r="I74" t="inlineStr"/>
      <c r="J74" t="n">
        <v>2025</v>
      </c>
      <c r="K74" t="n">
        <v>48.3415836866317</v>
      </c>
      <c r="L74" t="inlineStr"/>
      <c r="M74" t="inlineStr"/>
      <c r="N74" t="inlineStr"/>
      <c r="O74" t="inlineStr"/>
      <c r="P74" t="n">
        <v>15.3819393215063</v>
      </c>
      <c r="Q74" t="n">
        <v>8642</v>
      </c>
      <c r="R74" t="n">
        <v>8642</v>
      </c>
      <c r="S74" t="inlineStr"/>
      <c r="T74" t="inlineStr"/>
      <c r="U74" t="n">
        <v>-32.3566034758169</v>
      </c>
      <c r="V74" t="inlineStr"/>
      <c r="W74" t="n">
        <v>24.55099012833823</v>
      </c>
      <c r="X74" t="inlineStr">
        <is>
          <t>Galeras</t>
        </is>
      </c>
      <c r="Y74" t="n">
        <v>1000</v>
      </c>
      <c r="Z74" t="n">
        <v>24</v>
      </c>
      <c r="AA74" t="inlineStr">
        <is>
          <t>Galeras</t>
        </is>
      </c>
      <c r="AB74" t="inlineStr">
        <is>
          <t>GAL_24</t>
        </is>
      </c>
      <c r="AC74" t="n">
        <v>579</v>
      </c>
      <c r="AD74" t="n">
        <v>1</v>
      </c>
      <c r="AE74" t="n">
        <v>1</v>
      </c>
      <c r="AF74" t="n">
        <v>0</v>
      </c>
      <c r="AG74" t="n">
        <v>0</v>
      </c>
      <c r="AH74" t="inlineStr">
        <is>
          <t>Lecythidaceae</t>
        </is>
      </c>
      <c r="AI74" t="inlineStr">
        <is>
          <t>Eschweilera</t>
        </is>
      </c>
      <c r="AJ74" t="inlineStr">
        <is>
          <t>caudiculata</t>
        </is>
      </c>
      <c r="AK74" s="2" t="n">
        <v>38822</v>
      </c>
      <c r="AL74" t="n">
        <v>12.81</v>
      </c>
      <c r="AM74" s="2" t="n">
        <v>40724</v>
      </c>
      <c r="AN74" t="n">
        <v>12.8</v>
      </c>
      <c r="AO74" t="inlineStr">
        <is>
          <t>9,8</t>
        </is>
      </c>
      <c r="AP74" t="inlineStr"/>
      <c r="AQ74" t="n">
        <v>2081</v>
      </c>
      <c r="AR74" t="inlineStr"/>
      <c r="AS74" t="inlineStr"/>
      <c r="AT74" t="inlineStr">
        <is>
          <t>ø</t>
        </is>
      </c>
      <c r="AU74" t="n">
        <v>8642</v>
      </c>
      <c r="AV74" t="n">
        <v>1</v>
      </c>
      <c r="AW74" t="inlineStr"/>
      <c r="AX74" t="inlineStr"/>
      <c r="AY74" s="2" t="n">
        <v>45665</v>
      </c>
      <c r="AZ74" t="n">
        <v>12.95</v>
      </c>
      <c r="BA74" t="n">
        <v>7.7</v>
      </c>
      <c r="BB74" t="inlineStr"/>
      <c r="BC74" t="inlineStr"/>
      <c r="BD74" t="inlineStr">
        <is>
          <t>B</t>
        </is>
      </c>
      <c r="BE74" t="inlineStr"/>
      <c r="BF74" t="inlineStr"/>
      <c r="BG74" t="n">
        <v>2</v>
      </c>
      <c r="BH74" t="inlineStr">
        <is>
          <t>Dos árboles muertos entre 8640 y 8641</t>
        </is>
      </c>
      <c r="BI74" t="inlineStr"/>
      <c r="BJ74" t="inlineStr"/>
      <c r="BK74" t="inlineStr"/>
      <c r="BL74" t="inlineStr"/>
      <c r="BM74" t="inlineStr"/>
    </row>
    <row r="75">
      <c r="A75" s="1" t="n">
        <v>73</v>
      </c>
      <c r="B75" t="n">
        <v>328.2347101619659</v>
      </c>
      <c r="C75" t="n">
        <v>0.7757590904932263</v>
      </c>
      <c r="D75" t="n">
        <v>50</v>
      </c>
      <c r="E75" t="inlineStr"/>
      <c r="F75" t="inlineStr">
        <is>
          <t>p50-8786</t>
        </is>
      </c>
      <c r="G75" t="inlineStr"/>
      <c r="H75" t="inlineStr">
        <is>
          <t>leaf pulverized</t>
        </is>
      </c>
      <c r="I75" t="inlineStr"/>
      <c r="J75" t="n">
        <v>2025</v>
      </c>
      <c r="K75" t="n">
        <v>44.107567233824</v>
      </c>
      <c r="L75" t="inlineStr"/>
      <c r="M75" t="inlineStr"/>
      <c r="N75" t="inlineStr"/>
      <c r="O75" t="inlineStr"/>
      <c r="P75" t="n">
        <v>59.29969983627133</v>
      </c>
      <c r="Q75" t="n">
        <v>8786</v>
      </c>
      <c r="R75" t="n">
        <v>8786</v>
      </c>
      <c r="S75" t="inlineStr"/>
      <c r="T75" t="inlineStr"/>
      <c r="U75" t="n">
        <v>-28.7987617301663</v>
      </c>
      <c r="V75" t="inlineStr"/>
      <c r="W75" t="n">
        <v>20.7977100257304</v>
      </c>
      <c r="X75" t="inlineStr">
        <is>
          <t>Galeras</t>
        </is>
      </c>
      <c r="Y75" t="n">
        <v>1500</v>
      </c>
      <c r="Z75" t="n">
        <v>50</v>
      </c>
      <c r="AA75" t="inlineStr">
        <is>
          <t>Galeras</t>
        </is>
      </c>
      <c r="AB75" t="inlineStr">
        <is>
          <t>GAL_50</t>
        </is>
      </c>
      <c r="AC75" t="n">
        <v>1459</v>
      </c>
      <c r="AD75" t="n">
        <v>1</v>
      </c>
      <c r="AE75" t="inlineStr"/>
      <c r="AF75" t="inlineStr"/>
      <c r="AG75" t="inlineStr"/>
      <c r="AH75" t="inlineStr">
        <is>
          <t>Melastomataceae</t>
        </is>
      </c>
      <c r="AI75" t="inlineStr">
        <is>
          <t>Ossaea</t>
        </is>
      </c>
      <c r="AJ75" t="inlineStr">
        <is>
          <t>laxivenula</t>
        </is>
      </c>
      <c r="AK75" s="2" t="n">
        <v>38873</v>
      </c>
      <c r="AL75" t="n">
        <v>10.50422624406509</v>
      </c>
      <c r="AM75" t="inlineStr"/>
      <c r="AN75" t="inlineStr"/>
      <c r="AO75" t="inlineStr"/>
      <c r="AP75" t="inlineStr"/>
      <c r="AQ75" t="inlineStr">
        <is>
          <t>3624</t>
        </is>
      </c>
      <c r="AR75" t="inlineStr"/>
      <c r="AS75" t="inlineStr">
        <is>
          <t>Ο</t>
        </is>
      </c>
      <c r="AT75" t="inlineStr">
        <is>
          <t>Ø</t>
        </is>
      </c>
      <c r="AU75" t="n">
        <v>8786</v>
      </c>
      <c r="AV75" t="n">
        <v>1</v>
      </c>
      <c r="AW75" t="inlineStr"/>
      <c r="AX75" t="inlineStr"/>
      <c r="AY75" s="2" t="n">
        <v>45539</v>
      </c>
      <c r="AZ75" t="n">
        <v>11.4</v>
      </c>
      <c r="BA75" t="n">
        <v>10.5</v>
      </c>
      <c r="BB75" t="inlineStr"/>
      <c r="BC75" t="inlineStr"/>
      <c r="BD75" t="inlineStr">
        <is>
          <t>B</t>
        </is>
      </c>
      <c r="BE75" t="inlineStr"/>
      <c r="BF75" t="inlineStr">
        <is>
          <t>JH6792</t>
        </is>
      </c>
      <c r="BG75" t="inlineStr"/>
      <c r="BH75" t="inlineStr"/>
      <c r="BI75" t="inlineStr">
        <is>
          <t>Flores</t>
        </is>
      </c>
      <c r="BJ75" t="n">
        <v>0.4</v>
      </c>
      <c r="BK75" t="n">
        <v>5.2</v>
      </c>
      <c r="BL75" t="n">
        <v>1.34</v>
      </c>
      <c r="BM75" t="n">
        <v>0.61</v>
      </c>
    </row>
    <row r="76">
      <c r="A76" s="1" t="n">
        <v>74</v>
      </c>
      <c r="B76" t="n">
        <v>335.7011137390206</v>
      </c>
      <c r="C76" t="n">
        <v>0.7934053974463613</v>
      </c>
      <c r="D76" t="n">
        <v>24</v>
      </c>
      <c r="E76" t="inlineStr"/>
      <c r="F76" t="inlineStr">
        <is>
          <t>p24-8651</t>
        </is>
      </c>
      <c r="G76" t="inlineStr"/>
      <c r="H76" t="inlineStr">
        <is>
          <t>leaf pulverized</t>
        </is>
      </c>
      <c r="I76" t="inlineStr"/>
      <c r="J76" t="n">
        <v>2025</v>
      </c>
      <c r="K76" t="n">
        <v>44.2197495682497</v>
      </c>
      <c r="L76" t="inlineStr"/>
      <c r="M76" t="inlineStr"/>
      <c r="N76" t="inlineStr"/>
      <c r="O76" t="inlineStr"/>
      <c r="P76" t="n">
        <v>54.63319760061214</v>
      </c>
      <c r="Q76" t="n">
        <v>8651</v>
      </c>
      <c r="R76" t="n">
        <v>8651</v>
      </c>
      <c r="S76" t="inlineStr"/>
      <c r="T76" t="inlineStr"/>
      <c r="U76" t="n">
        <v>-29.1780436768037</v>
      </c>
      <c r="V76" t="inlineStr"/>
      <c r="W76" t="n">
        <v>21.19651656287125</v>
      </c>
      <c r="X76" t="inlineStr">
        <is>
          <t>Galeras</t>
        </is>
      </c>
      <c r="Y76" t="n">
        <v>1000</v>
      </c>
      <c r="Z76" t="n">
        <v>24</v>
      </c>
      <c r="AA76" t="inlineStr">
        <is>
          <t>Galeras</t>
        </is>
      </c>
      <c r="AB76" t="inlineStr">
        <is>
          <t>GAL_24</t>
        </is>
      </c>
      <c r="AC76" t="n">
        <v>598</v>
      </c>
      <c r="AD76" t="n">
        <v>1</v>
      </c>
      <c r="AE76" t="n">
        <v>1</v>
      </c>
      <c r="AF76" t="n">
        <v>0</v>
      </c>
      <c r="AG76" t="n">
        <v>0</v>
      </c>
      <c r="AH76" t="inlineStr">
        <is>
          <t>Caryocaraceae</t>
        </is>
      </c>
      <c r="AI76" t="inlineStr">
        <is>
          <t>Caryocar</t>
        </is>
      </c>
      <c r="AJ76" t="inlineStr">
        <is>
          <t>glabrum</t>
        </is>
      </c>
      <c r="AK76" s="2" t="n">
        <v>38822</v>
      </c>
      <c r="AL76" t="n">
        <v>11.02</v>
      </c>
      <c r="AM76" s="2" t="n">
        <v>40724</v>
      </c>
      <c r="AN76" t="inlineStr">
        <is>
          <t>11,28</t>
        </is>
      </c>
      <c r="AO76" t="inlineStr">
        <is>
          <t>10,0</t>
        </is>
      </c>
      <c r="AP76" t="inlineStr"/>
      <c r="AQ76" t="n">
        <v>2069</v>
      </c>
      <c r="AR76" t="n">
        <v>1</v>
      </c>
      <c r="AS76" t="inlineStr"/>
      <c r="AT76" t="inlineStr">
        <is>
          <t>ø</t>
        </is>
      </c>
      <c r="AU76" t="n">
        <v>8651</v>
      </c>
      <c r="AV76" t="n">
        <v>1</v>
      </c>
      <c r="AW76" t="inlineStr"/>
      <c r="AX76" t="inlineStr"/>
      <c r="AY76" s="2" t="n">
        <v>45665</v>
      </c>
      <c r="AZ76" t="n">
        <v>12.1</v>
      </c>
      <c r="BA76" t="n">
        <v>5.6</v>
      </c>
      <c r="BB76" t="inlineStr"/>
      <c r="BC76" t="inlineStr"/>
      <c r="BD76" t="inlineStr">
        <is>
          <t>C</t>
        </is>
      </c>
      <c r="BE76" t="inlineStr"/>
      <c r="BF76" t="inlineStr"/>
      <c r="BG76" t="n">
        <v>2</v>
      </c>
      <c r="BH76" t="inlineStr">
        <is>
          <t>Copa rota. ID por dbh y especie. Arbol muerto entre cuadrante C y D.</t>
        </is>
      </c>
      <c r="BI76" t="inlineStr"/>
      <c r="BJ76" t="inlineStr"/>
      <c r="BK76" t="inlineStr"/>
      <c r="BL76" t="inlineStr"/>
      <c r="BM76" t="inlineStr"/>
    </row>
    <row r="77">
      <c r="A77" s="1" t="n">
        <v>75</v>
      </c>
      <c r="B77" t="n">
        <v>382.5784840404523</v>
      </c>
      <c r="C77" t="n">
        <v>0.9041966849729256</v>
      </c>
      <c r="D77" t="n">
        <v>48</v>
      </c>
      <c r="E77" t="inlineStr"/>
      <c r="F77" t="inlineStr">
        <is>
          <t>p48-8686</t>
        </is>
      </c>
      <c r="G77" t="inlineStr"/>
      <c r="H77" t="inlineStr">
        <is>
          <t>leaf pulverized</t>
        </is>
      </c>
      <c r="I77" t="inlineStr"/>
      <c r="J77" t="n">
        <v>2025</v>
      </c>
      <c r="K77" t="n">
        <v>44.844345018092</v>
      </c>
      <c r="L77" t="inlineStr"/>
      <c r="M77" t="inlineStr"/>
      <c r="N77" t="inlineStr"/>
      <c r="O77" t="inlineStr"/>
      <c r="P77" t="n">
        <v>25.3348411622173</v>
      </c>
      <c r="Q77" t="n">
        <v>8686</v>
      </c>
      <c r="R77" t="n">
        <v>8686</v>
      </c>
      <c r="S77" t="inlineStr"/>
      <c r="T77" t="inlineStr"/>
      <c r="U77" t="n">
        <v>-31.552590652176</v>
      </c>
      <c r="V77" t="inlineStr"/>
      <c r="W77" t="n">
        <v>23.70039966097161</v>
      </c>
      <c r="X77" t="inlineStr">
        <is>
          <t>Galeras</t>
        </is>
      </c>
      <c r="Y77" t="n">
        <v>1000</v>
      </c>
      <c r="Z77" t="n">
        <v>48</v>
      </c>
      <c r="AA77" t="inlineStr">
        <is>
          <t>Galeras</t>
        </is>
      </c>
      <c r="AB77" t="inlineStr">
        <is>
          <t>GAL_48</t>
        </is>
      </c>
      <c r="AC77" t="n">
        <v>1390</v>
      </c>
      <c r="AD77" t="n">
        <v>1</v>
      </c>
      <c r="AE77" t="inlineStr"/>
      <c r="AF77" t="inlineStr"/>
      <c r="AG77" t="inlineStr"/>
      <c r="AH77" t="inlineStr">
        <is>
          <t>Annonaceae</t>
        </is>
      </c>
      <c r="AI77" t="inlineStr">
        <is>
          <t>Guatteria</t>
        </is>
      </c>
      <c r="AJ77" t="inlineStr">
        <is>
          <t>gentryi</t>
        </is>
      </c>
      <c r="AK77" s="2" t="n">
        <v>38871</v>
      </c>
      <c r="AL77" t="n">
        <v>10.50422624406509</v>
      </c>
      <c r="AM77" t="inlineStr"/>
      <c r="AN77" t="inlineStr"/>
      <c r="AO77" t="inlineStr"/>
      <c r="AP77" t="inlineStr"/>
      <c r="AQ77" t="inlineStr">
        <is>
          <t>3707,2456</t>
        </is>
      </c>
      <c r="AR77" t="inlineStr"/>
      <c r="AS77" t="inlineStr"/>
      <c r="AT77" t="inlineStr">
        <is>
          <t>ø</t>
        </is>
      </c>
      <c r="AU77" t="n">
        <v>8686</v>
      </c>
      <c r="AV77" t="n">
        <v>1</v>
      </c>
      <c r="AW77" t="inlineStr"/>
      <c r="AX77" t="inlineStr"/>
      <c r="AY77" s="2" t="n">
        <v>45666</v>
      </c>
      <c r="AZ77" t="n">
        <v>11.3</v>
      </c>
      <c r="BA77" t="n">
        <v>11</v>
      </c>
      <c r="BB77" t="inlineStr"/>
      <c r="BC77" t="inlineStr"/>
      <c r="BD77" t="inlineStr">
        <is>
          <t>D</t>
        </is>
      </c>
      <c r="BE77" t="inlineStr"/>
      <c r="BF77" t="inlineStr"/>
      <c r="BG77" t="inlineStr"/>
      <c r="BH77" t="inlineStr"/>
      <c r="BI77" t="inlineStr"/>
      <c r="BJ77" t="inlineStr"/>
      <c r="BK77" t="inlineStr"/>
      <c r="BL77" t="inlineStr"/>
      <c r="BM77" t="inlineStr"/>
    </row>
    <row r="78">
      <c r="A78" s="1" t="n">
        <v>76</v>
      </c>
      <c r="B78" t="n">
        <v>405.3224503817667</v>
      </c>
      <c r="C78" t="n">
        <v>0.9579504108797328</v>
      </c>
      <c r="D78" t="n">
        <v>48</v>
      </c>
      <c r="E78" t="inlineStr"/>
      <c r="F78" t="inlineStr">
        <is>
          <t>p48-8663</t>
        </is>
      </c>
      <c r="G78" t="inlineStr"/>
      <c r="H78" t="inlineStr">
        <is>
          <t>leaf pulverized</t>
        </is>
      </c>
      <c r="I78" t="inlineStr"/>
      <c r="J78" t="n">
        <v>2025</v>
      </c>
      <c r="K78" t="n">
        <v>44.2462096729894</v>
      </c>
      <c r="L78" t="inlineStr"/>
      <c r="M78" t="inlineStr"/>
      <c r="N78" t="inlineStr"/>
      <c r="O78" t="inlineStr"/>
      <c r="P78" t="n">
        <v>11.11986219889581</v>
      </c>
      <c r="Q78" t="n">
        <v>8663</v>
      </c>
      <c r="R78" t="n">
        <v>8663</v>
      </c>
      <c r="S78" t="inlineStr"/>
      <c r="T78" t="inlineStr"/>
      <c r="U78" t="n">
        <v>-32.7004934252271</v>
      </c>
      <c r="V78" t="inlineStr"/>
      <c r="W78" t="n">
        <v>24.91523386646545</v>
      </c>
      <c r="X78" t="inlineStr">
        <is>
          <t>Galeras</t>
        </is>
      </c>
      <c r="Y78" t="n">
        <v>1000</v>
      </c>
      <c r="Z78" t="n">
        <v>48</v>
      </c>
      <c r="AA78" t="inlineStr">
        <is>
          <t>Galeras</t>
        </is>
      </c>
      <c r="AB78" t="inlineStr">
        <is>
          <t>GAL_48</t>
        </is>
      </c>
      <c r="AC78" t="n">
        <v>1413</v>
      </c>
      <c r="AD78" t="n">
        <v>1</v>
      </c>
      <c r="AE78" t="inlineStr"/>
      <c r="AF78" t="inlineStr"/>
      <c r="AG78" t="inlineStr"/>
      <c r="AH78" t="inlineStr">
        <is>
          <t>Annonaceae</t>
        </is>
      </c>
      <c r="AI78" t="inlineStr"/>
      <c r="AJ78" t="inlineStr"/>
      <c r="AK78" s="2" t="n">
        <v>38871</v>
      </c>
      <c r="AL78" t="n">
        <v>12.41408556116784</v>
      </c>
      <c r="AM78" t="inlineStr"/>
      <c r="AN78" t="inlineStr"/>
      <c r="AO78" t="inlineStr"/>
      <c r="AP78" t="inlineStr"/>
      <c r="AQ78" t="inlineStr">
        <is>
          <t>3705</t>
        </is>
      </c>
      <c r="AR78" t="inlineStr"/>
      <c r="AS78" t="inlineStr"/>
      <c r="AT78" t="inlineStr">
        <is>
          <t>ø</t>
        </is>
      </c>
      <c r="AU78" t="n">
        <v>8663</v>
      </c>
      <c r="AV78" t="n">
        <v>1</v>
      </c>
      <c r="AW78" t="inlineStr"/>
      <c r="AX78" t="inlineStr"/>
      <c r="AY78" s="2" t="n">
        <v>45666</v>
      </c>
      <c r="AZ78" t="n">
        <v>16.3</v>
      </c>
      <c r="BA78" t="n">
        <v>12.5</v>
      </c>
      <c r="BB78" t="inlineStr"/>
      <c r="BC78" t="inlineStr"/>
      <c r="BD78" t="inlineStr">
        <is>
          <t>A</t>
        </is>
      </c>
      <c r="BE78" t="inlineStr"/>
      <c r="BF78" t="inlineStr"/>
      <c r="BG78" t="inlineStr"/>
      <c r="BH78" t="inlineStr"/>
      <c r="BI78" t="inlineStr"/>
      <c r="BJ78" t="inlineStr"/>
      <c r="BK78" t="inlineStr"/>
      <c r="BL78" t="inlineStr"/>
      <c r="BM78" t="inlineStr"/>
    </row>
    <row r="79">
      <c r="A79" s="1" t="n">
        <v>77</v>
      </c>
      <c r="B79" t="n">
        <v>293.6351466085115</v>
      </c>
      <c r="C79" t="n">
        <v>0.6939855146869205</v>
      </c>
      <c r="D79" t="n">
        <v>48</v>
      </c>
      <c r="E79" t="inlineStr"/>
      <c r="F79" t="inlineStr">
        <is>
          <t>p48-8672</t>
        </is>
      </c>
      <c r="G79" t="inlineStr"/>
      <c r="H79" t="inlineStr">
        <is>
          <t>leaf pulverized</t>
        </is>
      </c>
      <c r="I79" t="inlineStr"/>
      <c r="J79" t="n">
        <v>2025</v>
      </c>
      <c r="K79" t="n">
        <v>45.141287351169</v>
      </c>
      <c r="L79" t="inlineStr"/>
      <c r="M79" t="inlineStr"/>
      <c r="N79" t="inlineStr"/>
      <c r="O79" t="inlineStr"/>
      <c r="P79" t="n">
        <v>80.92442705718031</v>
      </c>
      <c r="Q79" t="n">
        <v>8672</v>
      </c>
      <c r="R79" t="n">
        <v>8672</v>
      </c>
      <c r="S79" t="inlineStr"/>
      <c r="T79" t="inlineStr"/>
      <c r="U79" t="n">
        <v>-27.0372808201266</v>
      </c>
      <c r="V79" t="inlineStr"/>
      <c r="W79" t="n">
        <v>18.94962721250789</v>
      </c>
      <c r="X79" t="inlineStr">
        <is>
          <t>Galeras</t>
        </is>
      </c>
      <c r="Y79" t="n">
        <v>1000</v>
      </c>
      <c r="Z79" t="n">
        <v>48</v>
      </c>
      <c r="AA79" t="inlineStr">
        <is>
          <t>Galeras</t>
        </is>
      </c>
      <c r="AB79" t="inlineStr">
        <is>
          <t>GAL_48</t>
        </is>
      </c>
      <c r="AC79" t="n">
        <v>1400</v>
      </c>
      <c r="AD79" t="n">
        <v>1</v>
      </c>
      <c r="AE79" t="inlineStr"/>
      <c r="AF79" t="inlineStr"/>
      <c r="AG79" t="inlineStr"/>
      <c r="AH79" t="inlineStr">
        <is>
          <t>Moraceae</t>
        </is>
      </c>
      <c r="AI79" t="inlineStr">
        <is>
          <t>Naucleopsis</t>
        </is>
      </c>
      <c r="AJ79" t="inlineStr">
        <is>
          <t>ulei</t>
        </is>
      </c>
      <c r="AK79" s="2" t="n">
        <v>38871</v>
      </c>
      <c r="AL79" t="n">
        <v>21.32676237431398</v>
      </c>
      <c r="AM79" t="inlineStr"/>
      <c r="AN79" t="inlineStr"/>
      <c r="AO79" t="inlineStr"/>
      <c r="AP79" t="inlineStr"/>
      <c r="AQ79" t="inlineStr">
        <is>
          <t>3698</t>
        </is>
      </c>
      <c r="AR79" t="inlineStr"/>
      <c r="AS79" t="inlineStr"/>
      <c r="AT79" t="inlineStr">
        <is>
          <t>ø</t>
        </is>
      </c>
      <c r="AU79" t="n">
        <v>8672</v>
      </c>
      <c r="AV79" t="inlineStr"/>
      <c r="AW79" t="inlineStr"/>
      <c r="AX79" t="inlineStr"/>
      <c r="AY79" s="2" t="n">
        <v>45666</v>
      </c>
      <c r="AZ79" t="n">
        <v>23.9</v>
      </c>
      <c r="BA79" t="n">
        <v>16.2</v>
      </c>
      <c r="BB79" t="inlineStr"/>
      <c r="BC79" t="inlineStr"/>
      <c r="BD79" t="inlineStr">
        <is>
          <t>C</t>
        </is>
      </c>
      <c r="BE79" t="inlineStr"/>
      <c r="BF79" t="inlineStr"/>
      <c r="BG79" t="inlineStr"/>
      <c r="BH79" t="inlineStr"/>
      <c r="BI79" t="inlineStr"/>
      <c r="BJ79" t="inlineStr"/>
      <c r="BK79" t="inlineStr"/>
      <c r="BL79" t="inlineStr"/>
      <c r="BM79" t="inlineStr"/>
    </row>
    <row r="80">
      <c r="A80" s="1" t="n">
        <v>78</v>
      </c>
      <c r="B80" t="n">
        <v>381.3398944299818</v>
      </c>
      <c r="C80" t="n">
        <v>0.901269367660144</v>
      </c>
      <c r="D80" t="n">
        <v>48</v>
      </c>
      <c r="E80" t="inlineStr"/>
      <c r="F80" t="inlineStr">
        <is>
          <t>p48-8666</t>
        </is>
      </c>
      <c r="G80" t="inlineStr">
        <is>
          <t>8666</t>
        </is>
      </c>
      <c r="H80" t="inlineStr">
        <is>
          <t>leaf pulverized</t>
        </is>
      </c>
      <c r="I80" t="inlineStr"/>
      <c r="J80" t="n">
        <v>2025</v>
      </c>
      <c r="K80" t="n">
        <v>0.4249</v>
      </c>
      <c r="L80" t="inlineStr"/>
      <c r="M80" t="inlineStr"/>
      <c r="N80" t="inlineStr"/>
      <c r="O80" t="inlineStr"/>
      <c r="P80" t="n">
        <v>26.10895966876138</v>
      </c>
      <c r="Q80" t="n">
        <v>8666</v>
      </c>
      <c r="R80" t="inlineStr"/>
      <c r="S80" t="inlineStr"/>
      <c r="T80" t="inlineStr"/>
      <c r="U80" t="n">
        <v>-31.49</v>
      </c>
      <c r="V80" t="inlineStr"/>
      <c r="W80" t="n">
        <v>23.63424228970274</v>
      </c>
      <c r="X80" t="inlineStr">
        <is>
          <t>Galeras</t>
        </is>
      </c>
      <c r="Y80" t="n">
        <v>1000</v>
      </c>
      <c r="Z80" t="n">
        <v>48</v>
      </c>
      <c r="AA80" t="inlineStr">
        <is>
          <t>Galeras</t>
        </is>
      </c>
      <c r="AB80" t="inlineStr">
        <is>
          <t>GAL_48</t>
        </is>
      </c>
      <c r="AC80" t="n">
        <v>1406</v>
      </c>
      <c r="AD80" t="n">
        <v>1</v>
      </c>
      <c r="AE80" t="inlineStr"/>
      <c r="AF80" t="inlineStr"/>
      <c r="AG80" t="inlineStr"/>
      <c r="AH80" t="inlineStr">
        <is>
          <t>Malpighiaceae</t>
        </is>
      </c>
      <c r="AI80" t="inlineStr">
        <is>
          <t>Byrsonima</t>
        </is>
      </c>
      <c r="AJ80" t="inlineStr"/>
      <c r="AK80" s="2" t="n">
        <v>38871</v>
      </c>
      <c r="AL80" t="n">
        <v>23.8732414637843</v>
      </c>
      <c r="AM80" t="inlineStr"/>
      <c r="AN80" t="inlineStr"/>
      <c r="AO80" t="inlineStr"/>
      <c r="AP80" t="inlineStr"/>
      <c r="AQ80" t="inlineStr">
        <is>
          <t>3703, 2461</t>
        </is>
      </c>
      <c r="AR80" t="inlineStr"/>
      <c r="AS80" t="inlineStr"/>
      <c r="AT80" t="inlineStr">
        <is>
          <t>ø</t>
        </is>
      </c>
      <c r="AU80" t="n">
        <v>8666</v>
      </c>
      <c r="AV80" t="n">
        <v>1</v>
      </c>
      <c r="AW80" t="inlineStr"/>
      <c r="AX80" t="inlineStr"/>
      <c r="AY80" s="2" t="n">
        <v>45666</v>
      </c>
      <c r="AZ80" t="n">
        <v>29.5</v>
      </c>
      <c r="BA80" t="n">
        <v>20.5</v>
      </c>
      <c r="BB80" t="inlineStr"/>
      <c r="BC80" t="inlineStr"/>
      <c r="BD80" t="inlineStr">
        <is>
          <t>A</t>
        </is>
      </c>
      <c r="BE80" t="inlineStr"/>
      <c r="BF80" t="inlineStr"/>
      <c r="BG80" t="inlineStr">
        <is>
          <t>3 - frutos</t>
        </is>
      </c>
      <c r="BH80" t="inlineStr"/>
      <c r="BI80" t="inlineStr"/>
      <c r="BJ80" t="inlineStr"/>
      <c r="BK80" t="inlineStr"/>
      <c r="BL80" t="inlineStr"/>
      <c r="BM80" t="inlineStr"/>
    </row>
    <row r="81">
      <c r="A81" s="1" t="n">
        <v>79</v>
      </c>
      <c r="B81" t="n">
        <v>308.4049531068505</v>
      </c>
      <c r="C81" t="n">
        <v>0.728892888286314</v>
      </c>
      <c r="D81" t="n">
        <v>48</v>
      </c>
      <c r="E81" t="inlineStr"/>
      <c r="F81" t="inlineStr">
        <is>
          <t>p48-3698</t>
        </is>
      </c>
      <c r="G81" t="inlineStr">
        <is>
          <t>3698</t>
        </is>
      </c>
      <c r="H81" t="inlineStr">
        <is>
          <t>leaf pulverized</t>
        </is>
      </c>
      <c r="I81" t="inlineStr"/>
      <c r="J81" t="n">
        <v>2025</v>
      </c>
      <c r="K81" t="n">
        <v>0.4193</v>
      </c>
      <c r="L81" t="inlineStr"/>
      <c r="M81" t="inlineStr"/>
      <c r="N81" t="inlineStr"/>
      <c r="O81" t="inlineStr"/>
      <c r="P81" t="n">
        <v>71.69329799571844</v>
      </c>
      <c r="Q81" t="n">
        <v>3698</v>
      </c>
      <c r="R81" t="inlineStr"/>
      <c r="S81" t="inlineStr"/>
      <c r="T81" t="inlineStr"/>
      <c r="U81" t="n">
        <v>-27.79</v>
      </c>
      <c r="V81" t="inlineStr"/>
      <c r="W81" t="n">
        <v>19.73853385585419</v>
      </c>
      <c r="X81" t="inlineStr">
        <is>
          <t>Galeras</t>
        </is>
      </c>
      <c r="Y81" t="n">
        <v>1000</v>
      </c>
      <c r="Z81" t="inlineStr"/>
      <c r="AA81" t="inlineStr"/>
      <c r="AB81" t="inlineStr"/>
      <c r="AC81" t="inlineStr"/>
      <c r="AD81" t="inlineStr"/>
      <c r="AE81" t="inlineStr"/>
      <c r="AF81" t="inlineStr"/>
      <c r="AG81" t="inlineStr"/>
      <c r="AH81" t="inlineStr"/>
      <c r="AI81" t="inlineStr"/>
      <c r="AJ81" t="inlineStr"/>
      <c r="AK81" t="inlineStr"/>
      <c r="AL81" t="inlineStr"/>
      <c r="AM81" t="inlineStr"/>
      <c r="AN81" t="inlineStr"/>
      <c r="AO81" t="inlineStr"/>
      <c r="AP81" t="inlineStr"/>
      <c r="AQ81" t="inlineStr"/>
      <c r="AR81" t="inlineStr"/>
      <c r="AS81" t="inlineStr"/>
      <c r="AT81" t="inlineStr"/>
      <c r="AU81" t="inlineStr"/>
      <c r="AV81" t="inlineStr"/>
      <c r="AW81" t="inlineStr"/>
      <c r="AX81" t="inlineStr"/>
      <c r="AY81" t="inlineStr"/>
      <c r="AZ81" t="inlineStr"/>
      <c r="BA81" t="inlineStr"/>
      <c r="BB81" t="inlineStr"/>
      <c r="BC81" t="inlineStr"/>
      <c r="BD81" t="inlineStr"/>
      <c r="BE81" t="inlineStr"/>
      <c r="BF81" t="inlineStr"/>
      <c r="BG81" t="inlineStr"/>
      <c r="BH81" t="inlineStr"/>
      <c r="BI81" t="inlineStr"/>
      <c r="BJ81" t="inlineStr"/>
      <c r="BK81" t="inlineStr"/>
      <c r="BL81" t="inlineStr"/>
      <c r="BM81" t="inlineStr"/>
    </row>
    <row r="82">
      <c r="A82" s="1" t="n">
        <v>80</v>
      </c>
      <c r="B82" t="n">
        <v>315.8699789964105</v>
      </c>
      <c r="C82" t="n">
        <v>0.7465359391743078</v>
      </c>
      <c r="D82" t="n">
        <v>23</v>
      </c>
      <c r="E82" t="inlineStr"/>
      <c r="F82" t="inlineStr">
        <is>
          <t>p23-8980</t>
        </is>
      </c>
      <c r="G82" t="inlineStr">
        <is>
          <t>8980</t>
        </is>
      </c>
      <c r="H82" t="inlineStr">
        <is>
          <t>leaf pulverized</t>
        </is>
      </c>
      <c r="I82" t="inlineStr"/>
      <c r="J82" t="n">
        <v>2025</v>
      </c>
      <c r="K82" t="n">
        <v>0.2728</v>
      </c>
      <c r="L82" t="inlineStr"/>
      <c r="M82" t="inlineStr"/>
      <c r="N82" t="inlineStr"/>
      <c r="O82" t="inlineStr"/>
      <c r="P82" t="n">
        <v>67.02765681474344</v>
      </c>
      <c r="Q82" t="n">
        <v>8980</v>
      </c>
      <c r="R82" t="inlineStr"/>
      <c r="S82" t="inlineStr"/>
      <c r="T82" t="inlineStr"/>
      <c r="U82" t="n">
        <v>-28.17</v>
      </c>
      <c r="V82" t="inlineStr"/>
      <c r="W82" t="n">
        <v>20.13726680592285</v>
      </c>
      <c r="X82" t="inlineStr">
        <is>
          <t>Galeras</t>
        </is>
      </c>
      <c r="Y82" t="n">
        <v>1000</v>
      </c>
      <c r="Z82" t="n">
        <v>23</v>
      </c>
      <c r="AA82" t="inlineStr">
        <is>
          <t>Galeras</t>
        </is>
      </c>
      <c r="AB82" t="inlineStr">
        <is>
          <t>GAL_23</t>
        </is>
      </c>
      <c r="AC82" t="n">
        <v>570</v>
      </c>
      <c r="AD82" t="n">
        <v>1</v>
      </c>
      <c r="AE82" t="inlineStr"/>
      <c r="AF82" t="inlineStr"/>
      <c r="AG82" t="inlineStr"/>
      <c r="AH82" t="inlineStr">
        <is>
          <t>Moraceae</t>
        </is>
      </c>
      <c r="AI82" t="inlineStr">
        <is>
          <t>Sorocea</t>
        </is>
      </c>
      <c r="AJ82" t="inlineStr">
        <is>
          <t>trophoides</t>
        </is>
      </c>
      <c r="AK82" s="2" t="n">
        <v>38653</v>
      </c>
      <c r="AL82" t="n">
        <v>10.1859163578813</v>
      </c>
      <c r="AM82" t="inlineStr"/>
      <c r="AN82" t="inlineStr"/>
      <c r="AO82" t="inlineStr"/>
      <c r="AP82" t="inlineStr"/>
      <c r="AQ82" t="inlineStr">
        <is>
          <t>2034</t>
        </is>
      </c>
      <c r="AR82" t="inlineStr"/>
      <c r="AS82" t="inlineStr">
        <is>
          <t>Ο</t>
        </is>
      </c>
      <c r="AT82" t="inlineStr">
        <is>
          <t>Ø</t>
        </is>
      </c>
      <c r="AU82" t="n">
        <v>8980</v>
      </c>
      <c r="AV82" t="n">
        <v>1</v>
      </c>
      <c r="AW82" t="inlineStr"/>
      <c r="AX82" t="inlineStr"/>
      <c r="AY82" s="2" t="n">
        <v>45541</v>
      </c>
      <c r="AZ82" t="n">
        <v>13.5</v>
      </c>
      <c r="BA82" t="n">
        <v>10.9</v>
      </c>
      <c r="BB82" t="inlineStr"/>
      <c r="BC82" t="inlineStr"/>
      <c r="BD82" t="inlineStr">
        <is>
          <t>A</t>
        </is>
      </c>
      <c r="BE82" t="inlineStr"/>
      <c r="BF82" t="inlineStr"/>
      <c r="BG82" t="inlineStr"/>
      <c r="BH82" t="inlineStr"/>
      <c r="BI82" t="inlineStr"/>
      <c r="BJ82" t="n">
        <v>0.5</v>
      </c>
      <c r="BK82" t="n">
        <v>6.4</v>
      </c>
      <c r="BL82" t="n">
        <v>1.66</v>
      </c>
      <c r="BM82" t="n">
        <v>0.9399999999999999</v>
      </c>
    </row>
    <row r="83">
      <c r="A83" s="1" t="n">
        <v>81</v>
      </c>
      <c r="B83" t="n">
        <v>339.4821185457834</v>
      </c>
      <c r="C83" t="n">
        <v>0.8023415299126609</v>
      </c>
      <c r="D83" t="n">
        <v>28</v>
      </c>
      <c r="E83" t="inlineStr"/>
      <c r="F83" t="inlineStr">
        <is>
          <t>p28-8974</t>
        </is>
      </c>
      <c r="G83" t="inlineStr">
        <is>
          <t>8974</t>
        </is>
      </c>
      <c r="H83" t="inlineStr">
        <is>
          <t>leaf pulverized</t>
        </is>
      </c>
      <c r="I83" t="inlineStr"/>
      <c r="J83" t="n">
        <v>2025</v>
      </c>
      <c r="K83" t="n">
        <v>0.4054</v>
      </c>
      <c r="L83" t="inlineStr"/>
      <c r="M83" t="inlineStr"/>
      <c r="N83" t="inlineStr"/>
      <c r="O83" t="inlineStr"/>
      <c r="P83" t="n">
        <v>52.2700695963854</v>
      </c>
      <c r="Q83" t="n">
        <v>8974</v>
      </c>
      <c r="R83" t="inlineStr"/>
      <c r="S83" t="inlineStr"/>
      <c r="T83" t="inlineStr"/>
      <c r="U83" t="n">
        <v>-29.37</v>
      </c>
      <c r="V83" t="inlineStr"/>
      <c r="W83" t="n">
        <v>21.39847315660963</v>
      </c>
      <c r="X83" t="inlineStr">
        <is>
          <t>Galeras</t>
        </is>
      </c>
      <c r="Y83" t="n">
        <v>2000</v>
      </c>
      <c r="Z83" t="n">
        <v>23</v>
      </c>
      <c r="AA83" t="inlineStr">
        <is>
          <t>Galeras</t>
        </is>
      </c>
      <c r="AB83" t="inlineStr">
        <is>
          <t>GAL_23</t>
        </is>
      </c>
      <c r="AC83" t="n">
        <v>564</v>
      </c>
      <c r="AD83" t="n">
        <v>1</v>
      </c>
      <c r="AE83" t="inlineStr"/>
      <c r="AF83" t="inlineStr"/>
      <c r="AG83" t="inlineStr"/>
      <c r="AH83" t="inlineStr">
        <is>
          <t>Sapotaceae</t>
        </is>
      </c>
      <c r="AI83" t="inlineStr">
        <is>
          <t>Cornuella</t>
        </is>
      </c>
      <c r="AJ83" t="inlineStr">
        <is>
          <t>venezuelanense</t>
        </is>
      </c>
      <c r="AK83" s="2" t="n">
        <v>38653</v>
      </c>
      <c r="AL83" t="n">
        <v>28.32957987035737</v>
      </c>
      <c r="AM83" t="inlineStr"/>
      <c r="AN83" t="inlineStr"/>
      <c r="AO83" t="inlineStr"/>
      <c r="AP83" t="inlineStr"/>
      <c r="AQ83" t="inlineStr">
        <is>
          <t>3745</t>
        </is>
      </c>
      <c r="AR83" t="inlineStr"/>
      <c r="AS83" t="inlineStr">
        <is>
          <t>Ο</t>
        </is>
      </c>
      <c r="AT83" t="inlineStr">
        <is>
          <t>Ø</t>
        </is>
      </c>
      <c r="AU83" t="n">
        <v>8974</v>
      </c>
      <c r="AV83" t="n">
        <v>1</v>
      </c>
      <c r="AW83" t="inlineStr"/>
      <c r="AX83" t="inlineStr"/>
      <c r="AY83" s="2" t="n">
        <v>45541</v>
      </c>
      <c r="AZ83" t="n">
        <v>33.6</v>
      </c>
      <c r="BA83" t="n">
        <v>26.6</v>
      </c>
      <c r="BB83" t="inlineStr"/>
      <c r="BC83" t="inlineStr"/>
      <c r="BD83" t="inlineStr">
        <is>
          <t>A</t>
        </is>
      </c>
      <c r="BE83" t="inlineStr"/>
      <c r="BF83" t="inlineStr"/>
      <c r="BG83" t="inlineStr"/>
      <c r="BH83" t="inlineStr">
        <is>
          <t>Sin placa</t>
        </is>
      </c>
      <c r="BI83" t="inlineStr">
        <is>
          <t>Antes Chrysophyllum v. Ahora Cornuella v.</t>
        </is>
      </c>
      <c r="BJ83" t="n">
        <v>1.3</v>
      </c>
      <c r="BK83" t="n">
        <v>6</v>
      </c>
      <c r="BL83" t="n">
        <v>1.33</v>
      </c>
      <c r="BM83" t="n">
        <v>0.68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2026-07-02T16:09:42Z</dcterms:created>
  <dcterms:modified xmlns:dcterms="http://purl.org/dc/terms/" xmlns:xsi="http://www.w3.org/2001/XMLSchema-instance" xsi:type="dcterms:W3CDTF">2026-07-02T16:09:42Z</dcterms:modified>
</cp:coreProperties>
</file>
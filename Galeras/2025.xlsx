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Sample-ID</t>
        </is>
      </c>
      <c r="C1" s="1" t="inlineStr">
        <is>
          <t>[C]%</t>
        </is>
      </c>
      <c r="D1" s="1" t="inlineStr">
        <is>
          <t>δ13C (‰ v.s.V-PDB)</t>
        </is>
      </c>
      <c r="E1" s="1" t="inlineStr">
        <is>
          <t>Type</t>
        </is>
      </c>
      <c r="F1" s="1" t="inlineStr">
        <is>
          <t>[N]</t>
        </is>
      </c>
      <c r="G1" s="1" t="inlineStr">
        <is>
          <t>[C_b]%</t>
        </is>
      </c>
      <c r="H1" s="1" t="inlineStr">
        <is>
          <t>δ15N (‰ v.s. V-PDB)</t>
        </is>
      </c>
      <c r="I1" s="1" t="inlineStr">
        <is>
          <t>bulk_δ13C (‰ v.s.V-PDB)</t>
        </is>
      </c>
      <c r="J1" s="1" t="inlineStr">
        <is>
          <t>Year</t>
        </is>
      </c>
      <c r="K1" s="1" t="inlineStr">
        <is>
          <t>new_TreeID</t>
        </is>
      </c>
      <c r="L1" s="1" t="inlineStr">
        <is>
          <t>description</t>
        </is>
      </c>
      <c r="M1" s="1" t="inlineStr">
        <is>
          <t>Type 2</t>
        </is>
      </c>
      <c r="N1" s="1" t="inlineStr">
        <is>
          <t>Plot</t>
        </is>
      </c>
      <c r="O1" s="1" t="inlineStr">
        <is>
          <t>old_treeID</t>
        </is>
      </c>
      <c r="P1" s="1" t="inlineStr">
        <is>
          <t>family</t>
        </is>
      </c>
      <c r="Q1" s="1" t="inlineStr">
        <is>
          <t>JH herbarium collections</t>
        </is>
      </c>
      <c r="R1" s="1" t="inlineStr">
        <is>
          <t>genus</t>
        </is>
      </c>
      <c r="S1" s="1" t="inlineStr">
        <is>
          <t>species</t>
        </is>
      </c>
    </row>
    <row r="2">
      <c r="A2" s="1" t="n">
        <v>0</v>
      </c>
      <c r="B2" t="inlineStr">
        <is>
          <t>p28-8715</t>
        </is>
      </c>
      <c r="C2" t="n">
        <v>41.1444369347698</v>
      </c>
      <c r="D2" t="n">
        <v>-30.2891308227147</v>
      </c>
      <c r="E2" t="inlineStr">
        <is>
          <t>leaf pulverized</t>
        </is>
      </c>
      <c r="F2" t="n">
        <v>0.015008298</v>
      </c>
      <c r="G2" t="n">
        <v>0.478611059</v>
      </c>
      <c r="H2" t="n">
        <v>-1.398878787878791</v>
      </c>
      <c r="I2" t="n">
        <v>-32.71591049840934</v>
      </c>
      <c r="J2" t="n">
        <v>2025</v>
      </c>
      <c r="K2" t="n">
        <v>8715</v>
      </c>
      <c r="L2" t="inlineStr"/>
      <c r="M2" t="inlineStr"/>
      <c r="N2" t="n">
        <v>28</v>
      </c>
      <c r="O2" t="inlineStr"/>
      <c r="P2" t="inlineStr">
        <is>
          <t>Rubiaceae</t>
        </is>
      </c>
      <c r="Q2" t="inlineStr"/>
      <c r="R2" t="inlineStr">
        <is>
          <t>Rubi28</t>
        </is>
      </c>
      <c r="S2" t="inlineStr"/>
    </row>
    <row r="3">
      <c r="A3" s="1" t="n">
        <v>1</v>
      </c>
      <c r="B3" t="inlineStr">
        <is>
          <t>p28-8726</t>
        </is>
      </c>
      <c r="C3" t="n">
        <v>43.9438583086035</v>
      </c>
      <c r="D3" t="n">
        <v>-29.1445559259646</v>
      </c>
      <c r="E3" t="inlineStr">
        <is>
          <t>leaf pulverized</t>
        </is>
      </c>
      <c r="F3" t="n">
        <v>0.012930682</v>
      </c>
      <c r="G3" t="n">
        <v>0.45821732</v>
      </c>
      <c r="H3" t="n">
        <v>-0.8156515151515178</v>
      </c>
      <c r="I3" t="n">
        <v>-31.40620784729586</v>
      </c>
      <c r="J3" t="n">
        <v>2025</v>
      </c>
      <c r="K3" t="n">
        <v>8726</v>
      </c>
      <c r="L3" t="inlineStr"/>
      <c r="M3" t="inlineStr"/>
      <c r="N3" t="n">
        <v>28</v>
      </c>
      <c r="O3" t="n">
        <v>739</v>
      </c>
      <c r="P3" t="inlineStr">
        <is>
          <t>Rubiaceae</t>
        </is>
      </c>
      <c r="Q3" t="inlineStr">
        <is>
          <t>3581</t>
        </is>
      </c>
      <c r="R3" t="inlineStr">
        <is>
          <t>Elaeagia</t>
        </is>
      </c>
      <c r="S3" t="inlineStr">
        <is>
          <t>mariae</t>
        </is>
      </c>
    </row>
    <row r="4">
      <c r="A4" s="1" t="n">
        <v>2</v>
      </c>
      <c r="B4" t="inlineStr">
        <is>
          <t>p28-8735</t>
        </is>
      </c>
      <c r="C4" t="n">
        <v>43.0530253219559</v>
      </c>
      <c r="D4" t="n">
        <v>-30.4450094992612</v>
      </c>
      <c r="E4" t="inlineStr">
        <is>
          <t>leaf pulverized</t>
        </is>
      </c>
      <c r="F4" t="n">
        <v>0.022495804</v>
      </c>
      <c r="G4" t="n">
        <v>0.444235226</v>
      </c>
      <c r="H4" t="n">
        <v>-0.6968459595959623</v>
      </c>
      <c r="I4" t="n">
        <v>-32.54059597030753</v>
      </c>
      <c r="J4" t="n">
        <v>2025</v>
      </c>
      <c r="K4" t="n">
        <v>8735</v>
      </c>
      <c r="L4" t="inlineStr"/>
      <c r="M4" t="inlineStr"/>
      <c r="N4" t="n">
        <v>28</v>
      </c>
      <c r="O4" t="n">
        <v>719</v>
      </c>
      <c r="P4" t="inlineStr">
        <is>
          <t>Fabaceae</t>
        </is>
      </c>
      <c r="Q4" t="inlineStr">
        <is>
          <t>3579,2295</t>
        </is>
      </c>
      <c r="R4" t="inlineStr">
        <is>
          <t>Diplotropis</t>
        </is>
      </c>
      <c r="S4" t="inlineStr">
        <is>
          <t>aff purpurea</t>
        </is>
      </c>
    </row>
    <row r="5">
      <c r="A5" s="1" t="n">
        <v>3</v>
      </c>
      <c r="B5" t="inlineStr">
        <is>
          <t>p28-8718</t>
        </is>
      </c>
      <c r="C5" t="n">
        <v>48.1950414439901</v>
      </c>
      <c r="D5" t="n">
        <v>-30.343796248292</v>
      </c>
      <c r="E5" t="inlineStr">
        <is>
          <t>leaf pulverized</t>
        </is>
      </c>
      <c r="F5" t="n">
        <v>0.02316809</v>
      </c>
      <c r="G5" t="n">
        <v>0.498854583</v>
      </c>
      <c r="H5" t="n">
        <v>-0.437633838383841</v>
      </c>
      <c r="I5" t="n">
        <v>-31.94246405090138</v>
      </c>
      <c r="J5" t="n">
        <v>2025</v>
      </c>
      <c r="K5" t="n">
        <v>8718</v>
      </c>
      <c r="L5" t="inlineStr"/>
      <c r="M5" t="inlineStr"/>
      <c r="N5" t="n">
        <v>28</v>
      </c>
      <c r="O5" t="n">
        <v>746</v>
      </c>
      <c r="P5" t="inlineStr">
        <is>
          <t>Myristicaceae</t>
        </is>
      </c>
      <c r="Q5">
        <f>3578</f>
        <v/>
      </c>
      <c r="R5" t="inlineStr">
        <is>
          <t>Virola</t>
        </is>
      </c>
      <c r="S5" t="inlineStr">
        <is>
          <t>obovata</t>
        </is>
      </c>
    </row>
    <row r="6">
      <c r="A6" s="1" t="n">
        <v>4</v>
      </c>
      <c r="B6" t="inlineStr">
        <is>
          <t>p28-8733</t>
        </is>
      </c>
      <c r="C6" t="n">
        <v>46.3938398732814</v>
      </c>
      <c r="D6" t="n">
        <v>-29.1034967823109</v>
      </c>
      <c r="E6" t="inlineStr">
        <is>
          <t>leaf pulverized</t>
        </is>
      </c>
      <c r="F6" t="n">
        <v>0.016560271</v>
      </c>
      <c r="G6" t="n">
        <v>0.503014387</v>
      </c>
      <c r="H6" t="n">
        <v>-0.6212424242424268</v>
      </c>
      <c r="I6" t="n">
        <v>-31.08651664899258</v>
      </c>
      <c r="J6" t="n">
        <v>2025</v>
      </c>
      <c r="K6" t="n">
        <v>8733</v>
      </c>
      <c r="L6" t="inlineStr"/>
      <c r="M6" t="inlineStr"/>
      <c r="N6" t="n">
        <v>28</v>
      </c>
      <c r="O6" t="n">
        <v>726</v>
      </c>
      <c r="P6" t="inlineStr">
        <is>
          <t>Sapotaceae</t>
        </is>
      </c>
      <c r="Q6" t="inlineStr">
        <is>
          <t>3601</t>
        </is>
      </c>
      <c r="R6" t="inlineStr">
        <is>
          <t>Sapo28</t>
        </is>
      </c>
      <c r="S6" t="inlineStr"/>
    </row>
    <row r="7">
      <c r="A7" s="1" t="n">
        <v>5</v>
      </c>
      <c r="B7" t="inlineStr">
        <is>
          <t>p28-8708</t>
        </is>
      </c>
      <c r="C7" t="n">
        <v>44.7140793737736</v>
      </c>
      <c r="D7" t="n">
        <v>-30.2890504456658</v>
      </c>
      <c r="E7" t="inlineStr">
        <is>
          <t>leaf pulverized</t>
        </is>
      </c>
      <c r="F7" t="n">
        <v>0.013334221</v>
      </c>
      <c r="G7" t="n">
        <v>0.487449718</v>
      </c>
      <c r="H7" t="n">
        <v>0.04838888888888647</v>
      </c>
      <c r="I7" t="n">
        <v>-31.73621166489926</v>
      </c>
      <c r="J7" t="n">
        <v>2025</v>
      </c>
      <c r="K7" t="n">
        <v>8708</v>
      </c>
      <c r="L7" t="inlineStr"/>
      <c r="M7" t="inlineStr"/>
      <c r="N7" t="n">
        <v>28</v>
      </c>
      <c r="O7" t="n">
        <v>755</v>
      </c>
      <c r="P7" t="inlineStr">
        <is>
          <t>Lauraceae</t>
        </is>
      </c>
      <c r="Q7" t="inlineStr">
        <is>
          <t>3582</t>
        </is>
      </c>
      <c r="R7" t="inlineStr">
        <is>
          <t>Ocotea</t>
        </is>
      </c>
      <c r="S7" t="inlineStr">
        <is>
          <t>subrutilans</t>
        </is>
      </c>
    </row>
    <row r="8">
      <c r="A8" s="1" t="n">
        <v>6</v>
      </c>
      <c r="B8" t="inlineStr">
        <is>
          <t>p23-8976</t>
        </is>
      </c>
      <c r="C8" t="n">
        <v>43.330252490663</v>
      </c>
      <c r="D8" t="n">
        <v>-31.0694918492985</v>
      </c>
      <c r="E8" t="inlineStr">
        <is>
          <t>leaf pulverized</t>
        </is>
      </c>
      <c r="F8" t="n">
        <v>0.016808389</v>
      </c>
      <c r="G8" t="n">
        <v>0.392860231</v>
      </c>
      <c r="H8" t="n">
        <v>2.316494949494948</v>
      </c>
      <c r="I8" t="n">
        <v>-32.53028335100743</v>
      </c>
      <c r="J8" t="n">
        <v>2025</v>
      </c>
      <c r="K8" t="n">
        <v>8976</v>
      </c>
      <c r="L8" t="inlineStr"/>
      <c r="M8" t="inlineStr"/>
      <c r="N8" t="n">
        <v>23</v>
      </c>
      <c r="O8" t="n">
        <v>561</v>
      </c>
      <c r="P8" t="inlineStr">
        <is>
          <t>Rubiaceae</t>
        </is>
      </c>
      <c r="Q8" t="inlineStr">
        <is>
          <t>2022</t>
        </is>
      </c>
      <c r="R8" t="inlineStr">
        <is>
          <t>Faramea</t>
        </is>
      </c>
      <c r="S8" t="inlineStr">
        <is>
          <t>multiflora</t>
        </is>
      </c>
    </row>
    <row r="9">
      <c r="A9" s="1" t="n">
        <v>7</v>
      </c>
      <c r="B9" t="inlineStr">
        <is>
          <t>p28-8721</t>
        </is>
      </c>
      <c r="C9" t="n">
        <v>43.5912375771325</v>
      </c>
      <c r="D9" t="n">
        <v>-30.9151158293839</v>
      </c>
      <c r="E9" t="inlineStr">
        <is>
          <t>leaf pulverized</t>
        </is>
      </c>
      <c r="F9" t="n">
        <v>0.027895579</v>
      </c>
      <c r="G9" t="n">
        <v>0.414849194</v>
      </c>
      <c r="H9" t="n">
        <v>1.225643939393937</v>
      </c>
      <c r="I9" t="n">
        <v>-32.16934167550372</v>
      </c>
      <c r="J9" t="n">
        <v>2025</v>
      </c>
      <c r="K9" t="n">
        <v>8721</v>
      </c>
      <c r="L9" t="inlineStr"/>
      <c r="M9" t="inlineStr"/>
      <c r="N9" t="n">
        <v>28</v>
      </c>
      <c r="O9" t="n">
        <v>737</v>
      </c>
      <c r="P9" t="inlineStr">
        <is>
          <t>Moraceae</t>
        </is>
      </c>
      <c r="Q9" t="inlineStr">
        <is>
          <t>2311</t>
        </is>
      </c>
      <c r="R9" t="inlineStr">
        <is>
          <t>Helicostylis</t>
        </is>
      </c>
      <c r="S9" t="inlineStr">
        <is>
          <t>tovariensis</t>
        </is>
      </c>
    </row>
    <row r="10">
      <c r="A10" s="1" t="n">
        <v>8</v>
      </c>
      <c r="B10" t="inlineStr">
        <is>
          <t>p28-8721</t>
        </is>
      </c>
      <c r="C10" t="n">
        <v>43.5912375771325</v>
      </c>
      <c r="D10" t="n">
        <v>-30.9151158293839</v>
      </c>
      <c r="E10" t="inlineStr">
        <is>
          <t>leaf pulverized</t>
        </is>
      </c>
      <c r="F10" t="n">
        <v>0.027895579</v>
      </c>
      <c r="G10" t="n">
        <v>0.414849194</v>
      </c>
      <c r="H10" t="n">
        <v>1.225643939393937</v>
      </c>
      <c r="I10" t="n">
        <v>-32.16934167550372</v>
      </c>
      <c r="J10" t="n">
        <v>2025</v>
      </c>
      <c r="K10" t="n">
        <v>8721</v>
      </c>
      <c r="L10" t="inlineStr"/>
      <c r="M10" t="inlineStr"/>
      <c r="N10" t="n">
        <v>28</v>
      </c>
      <c r="O10" t="inlineStr"/>
      <c r="P10" t="inlineStr">
        <is>
          <t>Chrysobalanaceae</t>
        </is>
      </c>
      <c r="Q10" t="inlineStr"/>
      <c r="R10" t="inlineStr"/>
      <c r="S10" t="inlineStr"/>
    </row>
    <row r="11">
      <c r="A11" s="1" t="n">
        <v>9</v>
      </c>
      <c r="B11" t="inlineStr">
        <is>
          <t>p28-8716</t>
        </is>
      </c>
      <c r="C11" t="n">
        <v>44.4568875907566</v>
      </c>
      <c r="D11" t="n">
        <v>-28.6232503275406</v>
      </c>
      <c r="E11" t="inlineStr">
        <is>
          <t>leaf pulverized</t>
        </is>
      </c>
      <c r="F11" t="n">
        <v>0.011539571</v>
      </c>
      <c r="G11" t="n">
        <v>0.454169737</v>
      </c>
      <c r="H11" t="n">
        <v>-4.04500252525253</v>
      </c>
      <c r="I11" t="n">
        <v>-30.37494591728526</v>
      </c>
      <c r="J11" t="n">
        <v>2025</v>
      </c>
      <c r="K11" t="n">
        <v>8716</v>
      </c>
      <c r="L11" t="inlineStr"/>
      <c r="M11" t="inlineStr"/>
      <c r="N11" t="n">
        <v>28</v>
      </c>
      <c r="O11" t="n">
        <v>740</v>
      </c>
      <c r="P11" t="inlineStr">
        <is>
          <t>Theaceae</t>
        </is>
      </c>
      <c r="Q11" t="inlineStr">
        <is>
          <t>2296</t>
        </is>
      </c>
      <c r="R11" t="inlineStr">
        <is>
          <t>Gordonia</t>
        </is>
      </c>
      <c r="S11" t="inlineStr">
        <is>
          <t>fruticosa</t>
        </is>
      </c>
    </row>
    <row r="12">
      <c r="A12" s="1" t="n">
        <v>10</v>
      </c>
      <c r="B12" t="inlineStr">
        <is>
          <t>p23-8974</t>
        </is>
      </c>
      <c r="C12" t="n">
        <v>37.2296106855743</v>
      </c>
      <c r="D12" t="n">
        <v>-29.1951021508777</v>
      </c>
      <c r="E12" t="inlineStr">
        <is>
          <t>leaf pulverized</t>
        </is>
      </c>
      <c r="F12" t="n">
        <v>0.032737523</v>
      </c>
      <c r="G12" t="n">
        <v>0.446083019</v>
      </c>
      <c r="H12" t="n">
        <v>1.344449494949493</v>
      </c>
      <c r="I12" t="n">
        <v>-30.52963520678685</v>
      </c>
      <c r="J12" t="n">
        <v>2025</v>
      </c>
      <c r="K12" t="n">
        <v>8974</v>
      </c>
      <c r="L12" t="inlineStr"/>
      <c r="M12" t="inlineStr"/>
      <c r="N12" t="n">
        <v>23</v>
      </c>
      <c r="O12" t="n">
        <v>564</v>
      </c>
      <c r="P12" t="inlineStr">
        <is>
          <t>Sapotaceae</t>
        </is>
      </c>
      <c r="Q12" t="inlineStr">
        <is>
          <t>3745</t>
        </is>
      </c>
      <c r="R12" t="inlineStr">
        <is>
          <t>Cornuella</t>
        </is>
      </c>
      <c r="S12" t="inlineStr">
        <is>
          <t>venezuelanense</t>
        </is>
      </c>
    </row>
    <row r="13">
      <c r="A13" s="1" t="n">
        <v>11</v>
      </c>
      <c r="B13" t="inlineStr">
        <is>
          <t>p23-8980</t>
        </is>
      </c>
      <c r="C13" t="n">
        <v>29.235018235055</v>
      </c>
      <c r="D13" t="n">
        <v>-27.2953083375885</v>
      </c>
      <c r="E13" t="inlineStr">
        <is>
          <t>leaf pulverized</t>
        </is>
      </c>
      <c r="F13" t="n">
        <v>0.018465962</v>
      </c>
      <c r="G13" t="n">
        <v>0.389815017</v>
      </c>
      <c r="H13" t="n">
        <v>1.852073232323231</v>
      </c>
      <c r="I13" t="n">
        <v>-30.23056924708378</v>
      </c>
      <c r="J13" t="n">
        <v>2025</v>
      </c>
      <c r="K13" t="n">
        <v>8980</v>
      </c>
      <c r="L13" t="inlineStr"/>
      <c r="M13" t="inlineStr"/>
      <c r="N13" t="n">
        <v>23</v>
      </c>
      <c r="O13" t="n">
        <v>570</v>
      </c>
      <c r="P13" t="inlineStr">
        <is>
          <t>Moraceae</t>
        </is>
      </c>
      <c r="Q13" t="inlineStr">
        <is>
          <t>2034</t>
        </is>
      </c>
      <c r="R13" t="inlineStr">
        <is>
          <t>Sorocea</t>
        </is>
      </c>
      <c r="S13" t="inlineStr">
        <is>
          <t>trophoides</t>
        </is>
      </c>
    </row>
    <row r="14">
      <c r="A14" s="1" t="n">
        <v>12</v>
      </c>
      <c r="B14" t="inlineStr">
        <is>
          <t>p23-8986</t>
        </is>
      </c>
      <c r="C14" t="n">
        <v>41.159136443641</v>
      </c>
      <c r="D14" t="n">
        <v>-29.4525475567856</v>
      </c>
      <c r="E14" t="inlineStr">
        <is>
          <t>leaf pulverized</t>
        </is>
      </c>
      <c r="F14" t="n">
        <v>0.040569896</v>
      </c>
      <c r="G14" t="n">
        <v>0.4512003</v>
      </c>
      <c r="H14" t="n">
        <v>0.1347929292929269</v>
      </c>
      <c r="I14" t="n">
        <v>-30.33369544008483</v>
      </c>
      <c r="J14" t="n">
        <v>2025</v>
      </c>
      <c r="K14" t="n">
        <v>8986</v>
      </c>
      <c r="L14" t="inlineStr"/>
      <c r="M14" t="inlineStr"/>
      <c r="N14" t="n">
        <v>23</v>
      </c>
      <c r="O14" t="n">
        <v>553</v>
      </c>
      <c r="P14" t="inlineStr">
        <is>
          <t>Fabaceae</t>
        </is>
      </c>
      <c r="Q14" t="inlineStr">
        <is>
          <t>3736</t>
        </is>
      </c>
      <c r="R14" t="inlineStr">
        <is>
          <t>Inga</t>
        </is>
      </c>
      <c r="S14" t="inlineStr">
        <is>
          <t>marginata</t>
        </is>
      </c>
    </row>
    <row r="15">
      <c r="A15" s="1" t="n">
        <v>13</v>
      </c>
      <c r="B15" t="inlineStr">
        <is>
          <t>p23-8983</t>
        </is>
      </c>
      <c r="C15" t="n">
        <v>42.337351793583</v>
      </c>
      <c r="D15" t="n">
        <v>-29.0008888885468</v>
      </c>
      <c r="E15" t="inlineStr">
        <is>
          <t>leaf pulverized</t>
        </is>
      </c>
      <c r="F15" t="n">
        <v>0.011074035</v>
      </c>
      <c r="G15" t="n">
        <v>0.422318473</v>
      </c>
      <c r="H15" t="n">
        <v>0.7396212121212099</v>
      </c>
      <c r="I15" t="n">
        <v>-30.57088568398727</v>
      </c>
      <c r="J15" t="n">
        <v>2025</v>
      </c>
      <c r="K15" t="n">
        <v>8983</v>
      </c>
      <c r="L15" t="inlineStr"/>
      <c r="M15" t="inlineStr"/>
      <c r="N15" t="n">
        <v>23</v>
      </c>
      <c r="O15" t="n">
        <v>559</v>
      </c>
      <c r="P15" t="inlineStr">
        <is>
          <t>Lecythidaceae</t>
        </is>
      </c>
      <c r="Q15" t="inlineStr">
        <is>
          <t>3739</t>
        </is>
      </c>
      <c r="R15" t="inlineStr">
        <is>
          <t>Grias</t>
        </is>
      </c>
      <c r="S15" t="inlineStr">
        <is>
          <t>peruviana</t>
        </is>
      </c>
    </row>
    <row r="16">
      <c r="A16" s="1" t="n">
        <v>14</v>
      </c>
      <c r="B16" t="inlineStr">
        <is>
          <t>p23-8975</t>
        </is>
      </c>
      <c r="C16" t="n">
        <v>41.5303356058943</v>
      </c>
      <c r="D16" t="n">
        <v>-29.7107721724254</v>
      </c>
      <c r="E16" t="inlineStr">
        <is>
          <t>leaf pulverized</t>
        </is>
      </c>
      <c r="F16" t="n">
        <v>0.029246209</v>
      </c>
      <c r="G16" t="n">
        <v>0.444560767</v>
      </c>
      <c r="H16" t="n">
        <v>-1.064063131313134</v>
      </c>
      <c r="I16" t="n">
        <v>-31.6330854718982</v>
      </c>
      <c r="J16" t="n">
        <v>2025</v>
      </c>
      <c r="K16" t="n">
        <v>8975</v>
      </c>
      <c r="L16" t="inlineStr"/>
      <c r="M16" t="inlineStr"/>
      <c r="N16" t="n">
        <v>23</v>
      </c>
      <c r="O16" t="n">
        <v>563</v>
      </c>
      <c r="P16" t="inlineStr">
        <is>
          <t>Fabaceae</t>
        </is>
      </c>
      <c r="Q16" t="inlineStr">
        <is>
          <t>3744</t>
        </is>
      </c>
      <c r="R16" t="inlineStr">
        <is>
          <t>Inga</t>
        </is>
      </c>
      <c r="S16" t="inlineStr">
        <is>
          <t>capitata</t>
        </is>
      </c>
    </row>
    <row r="17">
      <c r="A17" s="1" t="n">
        <v>15</v>
      </c>
      <c r="B17" t="inlineStr">
        <is>
          <t>p23-8985</t>
        </is>
      </c>
      <c r="C17" t="n">
        <v>41.6439967715565</v>
      </c>
      <c r="D17" t="n">
        <v>-29.519304007414</v>
      </c>
      <c r="E17" t="inlineStr">
        <is>
          <t>leaf pulverized</t>
        </is>
      </c>
      <c r="F17" t="n">
        <v>0.02287387</v>
      </c>
      <c r="G17" t="n">
        <v>0.495707737</v>
      </c>
      <c r="H17" t="n">
        <v>2.629709595959595</v>
      </c>
      <c r="I17" t="n">
        <v>-31.89090095440085</v>
      </c>
      <c r="J17" t="n">
        <v>2025</v>
      </c>
      <c r="K17" t="n">
        <v>8985</v>
      </c>
      <c r="L17" t="inlineStr"/>
      <c r="M17" t="inlineStr"/>
      <c r="N17" t="n">
        <v>23</v>
      </c>
      <c r="O17" t="inlineStr"/>
      <c r="P17" t="inlineStr">
        <is>
          <t>Rubiaceae</t>
        </is>
      </c>
      <c r="Q17" t="inlineStr"/>
      <c r="R17" t="inlineStr"/>
      <c r="S17" t="inlineStr"/>
    </row>
    <row r="18">
      <c r="A18" s="1" t="n">
        <v>16</v>
      </c>
      <c r="B18" t="inlineStr">
        <is>
          <t>p23-8989</t>
        </is>
      </c>
      <c r="C18" t="n">
        <v>45.4857606024444</v>
      </c>
      <c r="D18" t="n">
        <v>-29.3396028599395</v>
      </c>
      <c r="E18" t="inlineStr">
        <is>
          <t>leaf pulverized</t>
        </is>
      </c>
      <c r="F18" t="n">
        <v>0.018643937</v>
      </c>
      <c r="G18" t="n">
        <v>0.460285072</v>
      </c>
      <c r="H18" t="n">
        <v>2.132886363636362</v>
      </c>
      <c r="I18" t="n">
        <v>-30.85963902439025</v>
      </c>
      <c r="J18" t="n">
        <v>2025</v>
      </c>
      <c r="K18" t="n">
        <v>8989</v>
      </c>
      <c r="L18" t="inlineStr"/>
      <c r="M18" t="inlineStr"/>
      <c r="N18" t="n">
        <v>23</v>
      </c>
      <c r="O18" t="n">
        <v>558</v>
      </c>
      <c r="P18" t="inlineStr">
        <is>
          <t>Fabaceae</t>
        </is>
      </c>
      <c r="Q18" t="inlineStr">
        <is>
          <t>3738</t>
        </is>
      </c>
      <c r="R18" t="inlineStr">
        <is>
          <t>Tachigali</t>
        </is>
      </c>
      <c r="S18" t="inlineStr"/>
    </row>
    <row r="19">
      <c r="A19" s="1" t="n">
        <v>17</v>
      </c>
      <c r="B19" t="inlineStr">
        <is>
          <t>p28-8702</t>
        </is>
      </c>
      <c r="C19" t="n">
        <v>42.5086207928534</v>
      </c>
      <c r="D19" t="n">
        <v>-31.1912963223841</v>
      </c>
      <c r="E19" t="inlineStr">
        <is>
          <t>leaf pulverized</t>
        </is>
      </c>
      <c r="F19" t="n">
        <v>0.010451804</v>
      </c>
      <c r="G19" t="n">
        <v>0.348523842</v>
      </c>
      <c r="H19" t="n">
        <v>1.528058080808079</v>
      </c>
      <c r="I19" t="n">
        <v>-32.58184644750796</v>
      </c>
      <c r="J19" t="n">
        <v>2025</v>
      </c>
      <c r="K19" t="n">
        <v>8702</v>
      </c>
      <c r="L19" t="inlineStr"/>
      <c r="M19" t="inlineStr"/>
      <c r="N19" t="n">
        <v>28</v>
      </c>
      <c r="O19" t="n">
        <v>757</v>
      </c>
      <c r="P19" t="inlineStr">
        <is>
          <t>Peraceae</t>
        </is>
      </c>
      <c r="Q19" t="inlineStr">
        <is>
          <t>3580</t>
        </is>
      </c>
      <c r="R19" t="inlineStr">
        <is>
          <t>Chaetocarpus</t>
        </is>
      </c>
      <c r="S19" t="inlineStr"/>
    </row>
    <row r="20">
      <c r="A20" s="1" t="n">
        <v>18</v>
      </c>
      <c r="B20" t="inlineStr">
        <is>
          <t>p28-8713</t>
        </is>
      </c>
      <c r="C20" t="n">
        <v>41.4838720382917</v>
      </c>
      <c r="D20" t="n">
        <v>-30.3984872633766</v>
      </c>
      <c r="E20" t="inlineStr">
        <is>
          <t>leaf pulverized</t>
        </is>
      </c>
      <c r="F20" t="n">
        <v>0.018573859</v>
      </c>
      <c r="G20" t="n">
        <v>0.446465811</v>
      </c>
      <c r="H20" t="n">
        <v>0.4480075757575734</v>
      </c>
      <c r="I20" t="n">
        <v>-32.6437221633086</v>
      </c>
      <c r="J20" t="n">
        <v>2025</v>
      </c>
      <c r="K20" t="n">
        <v>8713</v>
      </c>
      <c r="L20" t="inlineStr"/>
      <c r="M20" t="inlineStr"/>
      <c r="N20" t="n">
        <v>28</v>
      </c>
      <c r="O20" t="inlineStr"/>
      <c r="P20" t="inlineStr">
        <is>
          <t>Urticaceae</t>
        </is>
      </c>
      <c r="Q20" t="inlineStr"/>
      <c r="R20" t="inlineStr">
        <is>
          <t>Pourouma</t>
        </is>
      </c>
      <c r="S20" t="inlineStr">
        <is>
          <t>minor</t>
        </is>
      </c>
    </row>
    <row r="21">
      <c r="A21" s="1" t="n">
        <v>19</v>
      </c>
      <c r="B21" t="inlineStr">
        <is>
          <t>p28-8711</t>
        </is>
      </c>
      <c r="C21" t="n">
        <v>43.6843747584017</v>
      </c>
      <c r="D21" t="n">
        <v>-29.8149753765473</v>
      </c>
      <c r="E21" t="inlineStr">
        <is>
          <t>leaf pulverized</t>
        </is>
      </c>
      <c r="F21" t="n">
        <v>0.025007091</v>
      </c>
      <c r="G21" t="n">
        <v>0.469511845</v>
      </c>
      <c r="H21" t="n">
        <v>-0.7292474747474775</v>
      </c>
      <c r="I21" t="n">
        <v>-31.36495737009544</v>
      </c>
      <c r="J21" t="n">
        <v>2025</v>
      </c>
      <c r="K21" t="n">
        <v>8711</v>
      </c>
      <c r="L21" t="inlineStr"/>
      <c r="M21" t="inlineStr"/>
      <c r="N21" t="n">
        <v>28</v>
      </c>
      <c r="O21" t="n">
        <v>748</v>
      </c>
      <c r="P21" t="inlineStr">
        <is>
          <t>Fabaceae</t>
        </is>
      </c>
      <c r="Q21">
        <f>3579</f>
        <v/>
      </c>
      <c r="R21" t="inlineStr">
        <is>
          <t>Diplotropis</t>
        </is>
      </c>
      <c r="S21" t="inlineStr">
        <is>
          <t>aff purpurea</t>
        </is>
      </c>
    </row>
    <row r="22">
      <c r="A22" s="1" t="n">
        <v>20</v>
      </c>
      <c r="B22" t="inlineStr">
        <is>
          <t>p23-8982</t>
        </is>
      </c>
      <c r="C22" t="n">
        <v>42.6094512384768</v>
      </c>
      <c r="D22" t="n">
        <v>-29.4398007961879</v>
      </c>
      <c r="E22" t="inlineStr">
        <is>
          <t>leaf pulverized</t>
        </is>
      </c>
      <c r="F22" t="n">
        <v>0.018394413</v>
      </c>
      <c r="G22" t="n">
        <v>0.439969982</v>
      </c>
      <c r="H22" t="n">
        <v>2.996926767676766</v>
      </c>
      <c r="I22" t="n">
        <v>-31.47839618239661</v>
      </c>
      <c r="J22" t="n">
        <v>2025</v>
      </c>
      <c r="K22" t="n">
        <v>8982</v>
      </c>
      <c r="L22" t="inlineStr"/>
      <c r="M22" t="inlineStr"/>
      <c r="N22" t="n">
        <v>23</v>
      </c>
      <c r="O22" t="n">
        <v>560</v>
      </c>
      <c r="P22" t="inlineStr">
        <is>
          <t>Sapotaceae</t>
        </is>
      </c>
      <c r="Q22" t="inlineStr">
        <is>
          <t>3740</t>
        </is>
      </c>
      <c r="R22" t="inlineStr">
        <is>
          <t>Lucuma</t>
        </is>
      </c>
      <c r="S22" t="inlineStr">
        <is>
          <t>multiflora</t>
        </is>
      </c>
    </row>
    <row r="23">
      <c r="A23" s="1" t="n">
        <v>21</v>
      </c>
      <c r="B23" t="inlineStr">
        <is>
          <t>p22-8962</t>
        </is>
      </c>
      <c r="C23" t="n">
        <v>41.2453944867987</v>
      </c>
      <c r="D23" t="n">
        <v>-31.6435901264917</v>
      </c>
      <c r="E23" t="inlineStr">
        <is>
          <t>leaf pulverized</t>
        </is>
      </c>
      <c r="F23" t="n">
        <v>0.029902414</v>
      </c>
      <c r="G23" t="n">
        <v>0.447937109</v>
      </c>
      <c r="H23" t="n">
        <v>0.05918939393939154</v>
      </c>
      <c r="I23" t="n">
        <v>-33.57185790031813</v>
      </c>
      <c r="J23" t="n">
        <v>2025</v>
      </c>
      <c r="K23" t="n">
        <v>8962</v>
      </c>
      <c r="L23" t="inlineStr"/>
      <c r="M23" t="inlineStr"/>
      <c r="N23" t="n">
        <v>22</v>
      </c>
      <c r="O23" t="n">
        <v>543</v>
      </c>
      <c r="P23" t="inlineStr">
        <is>
          <t>Fabaceae</t>
        </is>
      </c>
      <c r="Q23" t="n">
        <v>2037</v>
      </c>
      <c r="R23" t="inlineStr">
        <is>
          <t>Jupunba</t>
        </is>
      </c>
      <c r="S23" t="inlineStr">
        <is>
          <t>trapezifolia var. micradenia</t>
        </is>
      </c>
    </row>
    <row r="24">
      <c r="A24" s="1" t="n">
        <v>22</v>
      </c>
      <c r="B24" t="inlineStr">
        <is>
          <t>p22-8966</t>
        </is>
      </c>
      <c r="C24" t="n">
        <v>45.2066695761991</v>
      </c>
      <c r="D24" t="n">
        <v>-33.4635486186094</v>
      </c>
      <c r="E24" t="inlineStr">
        <is>
          <t>leaf pulverized</t>
        </is>
      </c>
      <c r="F24" t="n">
        <v>0.023312172</v>
      </c>
      <c r="G24" t="n">
        <v>0.473049903</v>
      </c>
      <c r="H24" t="n">
        <v>2.100484848484847</v>
      </c>
      <c r="I24" t="n">
        <v>-34.51030625662779</v>
      </c>
      <c r="J24" t="n">
        <v>2025</v>
      </c>
      <c r="K24" t="n">
        <v>8966</v>
      </c>
      <c r="L24" t="inlineStr"/>
      <c r="M24" t="inlineStr"/>
      <c r="N24" t="n">
        <v>22</v>
      </c>
      <c r="O24" t="inlineStr"/>
      <c r="P24" t="inlineStr">
        <is>
          <t>Myristicaceae</t>
        </is>
      </c>
      <c r="Q24" t="inlineStr"/>
      <c r="R24" t="inlineStr"/>
      <c r="S24" t="inlineStr"/>
    </row>
    <row r="25">
      <c r="A25" s="1" t="n">
        <v>23</v>
      </c>
      <c r="B25" t="inlineStr">
        <is>
          <t>p22-8961</t>
        </is>
      </c>
      <c r="C25" t="n">
        <v>42.9734858344922</v>
      </c>
      <c r="D25" t="n">
        <v>-30.0055722815965</v>
      </c>
      <c r="E25" t="inlineStr">
        <is>
          <t>leaf pulverized</t>
        </is>
      </c>
      <c r="F25" t="n">
        <v>0.027952579</v>
      </c>
      <c r="G25" t="n">
        <v>0.459607526</v>
      </c>
      <c r="H25" t="n">
        <v>1.484856060606059</v>
      </c>
      <c r="I25" t="n">
        <v>-32.3137183457052</v>
      </c>
      <c r="J25" t="n">
        <v>2025</v>
      </c>
      <c r="K25" t="n">
        <v>8961</v>
      </c>
      <c r="L25" t="inlineStr"/>
      <c r="M25" t="inlineStr"/>
      <c r="N25" t="n">
        <v>22</v>
      </c>
      <c r="O25" t="n">
        <v>531</v>
      </c>
      <c r="P25" t="inlineStr">
        <is>
          <t>Fabaceae</t>
        </is>
      </c>
      <c r="Q25" t="n">
        <v>2062</v>
      </c>
      <c r="R25" t="inlineStr">
        <is>
          <t>Inga</t>
        </is>
      </c>
      <c r="S25" t="inlineStr">
        <is>
          <t>laevigata</t>
        </is>
      </c>
    </row>
    <row r="26">
      <c r="A26" s="1" t="n">
        <v>24</v>
      </c>
      <c r="B26" t="inlineStr">
        <is>
          <t>p28-8878</t>
        </is>
      </c>
      <c r="C26" t="n">
        <v>41.9588020834581</v>
      </c>
      <c r="D26" t="n">
        <v>-32.5768790499547</v>
      </c>
      <c r="E26" t="inlineStr">
        <is>
          <t>leaf pulverized</t>
        </is>
      </c>
      <c r="F26" t="inlineStr"/>
      <c r="G26" t="inlineStr"/>
      <c r="H26" t="inlineStr"/>
      <c r="I26" t="inlineStr"/>
      <c r="J26" t="n">
        <v>2025</v>
      </c>
      <c r="K26" t="n">
        <v>8878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s="1" t="n">
        <v>25</v>
      </c>
      <c r="B27" t="inlineStr">
        <is>
          <t>p22-8965</t>
        </is>
      </c>
      <c r="C27" t="n">
        <v>44.2499966869261</v>
      </c>
      <c r="D27" t="n">
        <v>-31.980242911481</v>
      </c>
      <c r="E27" t="inlineStr">
        <is>
          <t>leaf pulverized</t>
        </is>
      </c>
      <c r="F27" t="n">
        <v>0.020303437</v>
      </c>
      <c r="G27" t="n">
        <v>0.357138371</v>
      </c>
      <c r="H27" t="n">
        <v>3.720560606060605</v>
      </c>
      <c r="I27" t="n">
        <v>-32.98403860021209</v>
      </c>
      <c r="J27" t="n">
        <v>2025</v>
      </c>
      <c r="K27" t="n">
        <v>8965</v>
      </c>
      <c r="L27" t="inlineStr"/>
      <c r="M27" t="inlineStr"/>
      <c r="N27" t="n">
        <v>22</v>
      </c>
      <c r="O27" t="inlineStr"/>
      <c r="P27" t="inlineStr">
        <is>
          <t>Melastomataceae</t>
        </is>
      </c>
      <c r="Q27" t="inlineStr"/>
      <c r="R27" t="inlineStr"/>
      <c r="S27" t="inlineStr"/>
    </row>
    <row r="28">
      <c r="A28" s="1" t="n">
        <v>26</v>
      </c>
      <c r="B28" t="inlineStr">
        <is>
          <t>p22-8968</t>
        </is>
      </c>
      <c r="C28" t="n">
        <v>43.9651545875486</v>
      </c>
      <c r="D28" t="n">
        <v>-25.8864785486152</v>
      </c>
      <c r="E28" t="inlineStr">
        <is>
          <t>leaf pulverized</t>
        </is>
      </c>
      <c r="F28" t="n">
        <v>0.032576278</v>
      </c>
      <c r="G28" t="n">
        <v>0.471324392</v>
      </c>
      <c r="H28" t="n">
        <v>2.003280303030301</v>
      </c>
      <c r="I28" t="n">
        <v>-27.78647847295865</v>
      </c>
      <c r="J28" t="n">
        <v>2025</v>
      </c>
      <c r="K28" t="n">
        <v>8968</v>
      </c>
      <c r="L28" t="inlineStr"/>
      <c r="M28" t="inlineStr"/>
      <c r="N28" t="n">
        <v>22</v>
      </c>
      <c r="O28" t="n">
        <v>547</v>
      </c>
      <c r="P28" t="inlineStr">
        <is>
          <t>Myristicaceae</t>
        </is>
      </c>
      <c r="Q28" t="n">
        <v>3782</v>
      </c>
      <c r="R28" t="inlineStr">
        <is>
          <t>Virola</t>
        </is>
      </c>
      <c r="S28" t="inlineStr">
        <is>
          <t>pavonis</t>
        </is>
      </c>
    </row>
    <row r="29">
      <c r="A29" s="1" t="n">
        <v>27</v>
      </c>
      <c r="B29" t="inlineStr">
        <is>
          <t>p22-8957</t>
        </is>
      </c>
      <c r="C29" t="n">
        <v>40.6982427243902</v>
      </c>
      <c r="D29" t="n">
        <v>-30.5903662612624</v>
      </c>
      <c r="E29" t="inlineStr">
        <is>
          <t>leaf pulverized</t>
        </is>
      </c>
      <c r="F29" t="n">
        <v>0.020112342</v>
      </c>
      <c r="G29" t="n">
        <v>0.479522005</v>
      </c>
      <c r="H29" t="n">
        <v>-2.241318181818185</v>
      </c>
      <c r="I29" t="n">
        <v>-33.55123266171793</v>
      </c>
      <c r="J29" t="n">
        <v>2025</v>
      </c>
      <c r="K29" t="n">
        <v>8957</v>
      </c>
      <c r="L29" t="inlineStr"/>
      <c r="M29" t="inlineStr"/>
      <c r="N29" t="n">
        <v>22</v>
      </c>
      <c r="O29" t="n">
        <v>537</v>
      </c>
      <c r="P29" t="inlineStr">
        <is>
          <t>Lauraceae</t>
        </is>
      </c>
      <c r="Q29" t="n">
        <v>2047</v>
      </c>
      <c r="R29" t="inlineStr">
        <is>
          <t>Ocotea</t>
        </is>
      </c>
      <c r="S29" t="inlineStr">
        <is>
          <t>oblonga</t>
        </is>
      </c>
    </row>
    <row r="30">
      <c r="A30" s="1" t="n">
        <v>28</v>
      </c>
      <c r="B30" t="inlineStr">
        <is>
          <t>p22-8955</t>
        </is>
      </c>
      <c r="C30" t="n">
        <v>45.6439322011342</v>
      </c>
      <c r="D30" t="n">
        <v>-33.0767664672718</v>
      </c>
      <c r="E30" t="inlineStr">
        <is>
          <t>leaf pulverized</t>
        </is>
      </c>
      <c r="F30" t="n">
        <v>0.01759832</v>
      </c>
      <c r="G30" t="n">
        <v>0.464610416</v>
      </c>
      <c r="H30" t="n">
        <v>2.348896464646463</v>
      </c>
      <c r="I30" t="n">
        <v>-34.29374125132556</v>
      </c>
      <c r="J30" t="n">
        <v>2025</v>
      </c>
      <c r="K30" t="n">
        <v>8955</v>
      </c>
      <c r="L30" t="inlineStr"/>
      <c r="M30" t="inlineStr"/>
      <c r="N30" t="n">
        <v>22</v>
      </c>
      <c r="O30" t="n">
        <v>535</v>
      </c>
      <c r="P30" t="inlineStr">
        <is>
          <t>Myristicaceae</t>
        </is>
      </c>
      <c r="Q30" t="n">
        <v>2045</v>
      </c>
      <c r="R30" t="inlineStr">
        <is>
          <t>Virola</t>
        </is>
      </c>
      <c r="S30" t="inlineStr">
        <is>
          <t>calophylla</t>
        </is>
      </c>
    </row>
    <row r="31">
      <c r="A31" s="1" t="n">
        <v>29</v>
      </c>
      <c r="B31" t="inlineStr">
        <is>
          <t>p22-8945</t>
        </is>
      </c>
      <c r="C31" t="n">
        <v>42.3964946066613</v>
      </c>
      <c r="D31" t="n">
        <v>-27.4993837776844</v>
      </c>
      <c r="E31" t="inlineStr">
        <is>
          <t>leaf pulverized</t>
        </is>
      </c>
      <c r="F31" t="n">
        <v>0.013777052</v>
      </c>
      <c r="G31" t="n">
        <v>0.455753591</v>
      </c>
      <c r="H31" t="n">
        <v>0.5344116161616138</v>
      </c>
      <c r="I31" t="n">
        <v>-29.99337900318134</v>
      </c>
      <c r="J31" t="n">
        <v>2025</v>
      </c>
      <c r="K31" t="n">
        <v>8945</v>
      </c>
      <c r="L31" t="inlineStr"/>
      <c r="M31" t="inlineStr"/>
      <c r="N31" t="n">
        <v>22</v>
      </c>
      <c r="O31" t="n">
        <v>521</v>
      </c>
      <c r="P31" t="inlineStr">
        <is>
          <t>Myristicaceae</t>
        </is>
      </c>
      <c r="Q31" t="n">
        <v>3715</v>
      </c>
      <c r="R31" t="inlineStr">
        <is>
          <t>Compsoneura</t>
        </is>
      </c>
      <c r="S31" t="inlineStr">
        <is>
          <t>capitellata</t>
        </is>
      </c>
    </row>
    <row r="32">
      <c r="A32" s="1" t="n">
        <v>30</v>
      </c>
      <c r="B32" t="inlineStr">
        <is>
          <t>p60-8766</t>
        </is>
      </c>
      <c r="C32" t="n">
        <v>44.8741459752896</v>
      </c>
      <c r="D32" t="n">
        <v>-32.4656005500957</v>
      </c>
      <c r="E32" t="inlineStr">
        <is>
          <t>leaf pulverized</t>
        </is>
      </c>
      <c r="F32" t="n">
        <v>0.012963235</v>
      </c>
      <c r="G32" t="n">
        <v>0.433789416</v>
      </c>
      <c r="H32" t="n">
        <v>-3.980199494949499</v>
      </c>
      <c r="I32" t="n">
        <v>-34.38655482502651</v>
      </c>
      <c r="J32" t="n">
        <v>2025</v>
      </c>
      <c r="K32" t="n">
        <v>8766</v>
      </c>
      <c r="L32" t="inlineStr"/>
      <c r="M32" t="inlineStr"/>
      <c r="N32" t="n">
        <v>60</v>
      </c>
      <c r="O32" t="n">
        <v>1812</v>
      </c>
      <c r="P32" t="inlineStr">
        <is>
          <t>Myrtaceae</t>
        </is>
      </c>
      <c r="Q32" t="inlineStr"/>
      <c r="R32" t="inlineStr"/>
      <c r="S32" t="inlineStr"/>
    </row>
    <row r="33">
      <c r="A33" s="1" t="n">
        <v>31</v>
      </c>
      <c r="B33" t="inlineStr">
        <is>
          <t>p60-8752</t>
        </is>
      </c>
      <c r="C33" t="n">
        <v>42.4102060321098</v>
      </c>
      <c r="D33" t="n">
        <v>-29.1399936400367</v>
      </c>
      <c r="E33" t="inlineStr">
        <is>
          <t>leaf pulverized</t>
        </is>
      </c>
      <c r="F33" t="n">
        <v>0.013743392</v>
      </c>
      <c r="G33" t="n">
        <v>0.501774224</v>
      </c>
      <c r="H33" t="n">
        <v>-6.647924242424247</v>
      </c>
      <c r="I33" t="n">
        <v>-31.91152619300106</v>
      </c>
      <c r="J33" t="n">
        <v>2025</v>
      </c>
      <c r="K33" t="n">
        <v>8752</v>
      </c>
      <c r="L33" t="inlineStr"/>
      <c r="M33" t="inlineStr"/>
      <c r="N33" t="n">
        <v>60</v>
      </c>
      <c r="O33" t="n">
        <v>1830</v>
      </c>
      <c r="P33" t="inlineStr">
        <is>
          <t>Lauraceae</t>
        </is>
      </c>
      <c r="Q33" t="n">
        <v>3660</v>
      </c>
      <c r="R33" t="inlineStr">
        <is>
          <t>Ocotea</t>
        </is>
      </c>
      <c r="S33" t="inlineStr">
        <is>
          <t>subrutilans</t>
        </is>
      </c>
    </row>
    <row r="34">
      <c r="A34" s="1" t="n">
        <v>32</v>
      </c>
      <c r="B34" t="inlineStr">
        <is>
          <t>p60-8776</t>
        </is>
      </c>
      <c r="C34" t="n">
        <v>44.2966355141506</v>
      </c>
      <c r="D34" t="n">
        <v>-30.2160572754191</v>
      </c>
      <c r="E34" t="inlineStr">
        <is>
          <t>leaf pulverized</t>
        </is>
      </c>
      <c r="F34" t="n">
        <v>0.014257494</v>
      </c>
      <c r="G34" t="n">
        <v>0.487097855</v>
      </c>
      <c r="H34" t="n">
        <v>-3.3429696969697</v>
      </c>
      <c r="I34" t="n">
        <v>-32.36528144220573</v>
      </c>
      <c r="J34" t="n">
        <v>2025</v>
      </c>
      <c r="K34" t="n">
        <v>8776</v>
      </c>
      <c r="L34" t="inlineStr"/>
      <c r="M34" t="inlineStr"/>
      <c r="N34" t="n">
        <v>60</v>
      </c>
      <c r="O34" t="n">
        <v>1803</v>
      </c>
      <c r="P34" t="inlineStr">
        <is>
          <t>Rubiaceae</t>
        </is>
      </c>
      <c r="Q34" t="n">
        <v>3611</v>
      </c>
      <c r="R34" t="inlineStr">
        <is>
          <t>Ladenbergia</t>
        </is>
      </c>
      <c r="S34" t="inlineStr">
        <is>
          <t>acutifolia</t>
        </is>
      </c>
    </row>
    <row r="35">
      <c r="A35" s="1" t="n">
        <v>33</v>
      </c>
      <c r="B35" t="inlineStr">
        <is>
          <t>p60-8743</t>
        </is>
      </c>
      <c r="C35" t="n">
        <v>43.9215008824832</v>
      </c>
      <c r="D35" t="n">
        <v>-30.4205716335254</v>
      </c>
      <c r="E35" t="inlineStr">
        <is>
          <t>leaf pulverized</t>
        </is>
      </c>
      <c r="F35" t="n">
        <v>0.015013997</v>
      </c>
      <c r="G35" t="n">
        <v>0.48018793</v>
      </c>
      <c r="H35" t="n">
        <v>-0.07041666666666911</v>
      </c>
      <c r="I35" t="n">
        <v>-32.04559024390244</v>
      </c>
      <c r="J35" t="n">
        <v>2025</v>
      </c>
      <c r="K35" t="n">
        <v>8743</v>
      </c>
      <c r="L35" t="inlineStr"/>
      <c r="M35" t="inlineStr"/>
      <c r="N35" t="n">
        <v>60</v>
      </c>
      <c r="O35" t="n">
        <v>1806</v>
      </c>
      <c r="P35" t="inlineStr">
        <is>
          <t>Calophyllaceae</t>
        </is>
      </c>
      <c r="Q35" t="inlineStr">
        <is>
          <t>3662, =2512</t>
        </is>
      </c>
      <c r="R35" t="inlineStr">
        <is>
          <t>Marila</t>
        </is>
      </c>
      <c r="S35" t="inlineStr"/>
    </row>
    <row r="36">
      <c r="A36" s="1" t="n">
        <v>34</v>
      </c>
      <c r="B36" t="inlineStr">
        <is>
          <t>p60-8744</t>
        </is>
      </c>
      <c r="C36" t="n">
        <v>44.8352868834149</v>
      </c>
      <c r="D36" t="n">
        <v>-29.1690486954253</v>
      </c>
      <c r="E36" t="inlineStr">
        <is>
          <t>leaf pulverized</t>
        </is>
      </c>
      <c r="F36" t="n">
        <v>0.044596189</v>
      </c>
      <c r="G36" t="n">
        <v>0.481715401</v>
      </c>
      <c r="H36" t="n">
        <v>0.7288207070707049</v>
      </c>
      <c r="I36" t="n">
        <v>-31.62277285259809</v>
      </c>
      <c r="J36" t="n">
        <v>2025</v>
      </c>
      <c r="K36" t="n">
        <v>8744</v>
      </c>
      <c r="L36" t="inlineStr"/>
      <c r="M36" t="inlineStr"/>
      <c r="N36" t="n">
        <v>60</v>
      </c>
      <c r="O36" t="n">
        <v>1833</v>
      </c>
      <c r="P36" t="inlineStr"/>
      <c r="Q36" t="n">
        <v>3658</v>
      </c>
      <c r="R36" t="inlineStr"/>
      <c r="S36" t="inlineStr"/>
    </row>
    <row r="37">
      <c r="A37" s="1" t="n">
        <v>35</v>
      </c>
      <c r="B37" t="inlineStr">
        <is>
          <t>p60-8769</t>
        </is>
      </c>
      <c r="C37" t="n">
        <v>41.977821520632</v>
      </c>
      <c r="D37" t="n">
        <v>-27.7086792381737</v>
      </c>
      <c r="E37" t="inlineStr">
        <is>
          <t>leaf pulverized</t>
        </is>
      </c>
      <c r="F37" t="n">
        <v>0.014747839</v>
      </c>
      <c r="G37" t="n">
        <v>0.429043863</v>
      </c>
      <c r="H37" t="n">
        <v>-1.074863636363639</v>
      </c>
      <c r="I37" t="n">
        <v>-29.70462566277837</v>
      </c>
      <c r="J37" t="n">
        <v>2025</v>
      </c>
      <c r="K37" t="n">
        <v>8769</v>
      </c>
      <c r="L37" t="inlineStr"/>
      <c r="M37" t="inlineStr"/>
      <c r="N37" t="n">
        <v>60</v>
      </c>
      <c r="O37" t="n">
        <v>1807</v>
      </c>
      <c r="P37" t="inlineStr">
        <is>
          <t>Peraceae</t>
        </is>
      </c>
      <c r="Q37" t="n">
        <v>2525</v>
      </c>
      <c r="R37" t="inlineStr">
        <is>
          <t>Chaetocarpus</t>
        </is>
      </c>
      <c r="S37" t="inlineStr"/>
    </row>
    <row r="38">
      <c r="A38" s="1" t="n">
        <v>36</v>
      </c>
      <c r="B38" t="inlineStr">
        <is>
          <t>p60-8777</t>
        </is>
      </c>
      <c r="C38" t="n">
        <v>42.9259704816289</v>
      </c>
      <c r="D38" t="n">
        <v>-32.2858487083775</v>
      </c>
      <c r="E38" t="inlineStr">
        <is>
          <t>leaf pulverized</t>
        </is>
      </c>
      <c r="F38" t="n">
        <v>0.019979472</v>
      </c>
      <c r="G38" t="n">
        <v>0.496829145</v>
      </c>
      <c r="H38" t="n">
        <v>-4.379818181818186</v>
      </c>
      <c r="I38" t="n">
        <v>-34.80937221633086</v>
      </c>
      <c r="J38" t="n">
        <v>2025</v>
      </c>
      <c r="K38" t="n">
        <v>8777</v>
      </c>
      <c r="L38" t="inlineStr"/>
      <c r="M38" t="inlineStr"/>
      <c r="N38" t="n">
        <v>60</v>
      </c>
      <c r="O38" t="n">
        <v>1804</v>
      </c>
      <c r="P38" t="inlineStr">
        <is>
          <t>Lauraceae</t>
        </is>
      </c>
      <c r="Q38" t="inlineStr">
        <is>
          <t>3659 und 2524</t>
        </is>
      </c>
      <c r="R38" t="inlineStr">
        <is>
          <t>Ocotea</t>
        </is>
      </c>
      <c r="S38" t="inlineStr"/>
    </row>
    <row r="39">
      <c r="A39" s="1" t="n">
        <v>37</v>
      </c>
      <c r="B39" t="inlineStr">
        <is>
          <t>p60-8760</t>
        </is>
      </c>
      <c r="C39" t="n">
        <v>42.4809951955718</v>
      </c>
      <c r="D39" t="n">
        <v>-30.8542060443791</v>
      </c>
      <c r="E39" t="inlineStr">
        <is>
          <t>leaf pulverized</t>
        </is>
      </c>
      <c r="F39" t="n">
        <v>0.013759967</v>
      </c>
      <c r="G39" t="n">
        <v>0.471447479</v>
      </c>
      <c r="H39" t="n">
        <v>-3.591381313131317</v>
      </c>
      <c r="I39" t="n">
        <v>-33.0046638388123</v>
      </c>
      <c r="J39" t="n">
        <v>2025</v>
      </c>
      <c r="K39" t="n">
        <v>8760</v>
      </c>
      <c r="L39" t="inlineStr"/>
      <c r="M39" t="inlineStr"/>
      <c r="N39" t="n">
        <v>60</v>
      </c>
      <c r="O39" t="n">
        <v>1815</v>
      </c>
      <c r="P39" t="inlineStr">
        <is>
          <t>Myrtaceae</t>
        </is>
      </c>
      <c r="Q39" t="inlineStr"/>
      <c r="R39" t="inlineStr"/>
      <c r="S39" t="inlineStr"/>
    </row>
    <row r="40">
      <c r="A40" s="1" t="n">
        <v>38</v>
      </c>
      <c r="B40" t="inlineStr">
        <is>
          <t>p60-8774</t>
        </is>
      </c>
      <c r="C40" t="n">
        <v>43.3265177052123</v>
      </c>
      <c r="D40" t="n">
        <v>-29.3334332956575</v>
      </c>
      <c r="E40" t="inlineStr">
        <is>
          <t>leaf pulverized</t>
        </is>
      </c>
      <c r="F40" t="n">
        <v>0.025687413</v>
      </c>
      <c r="G40" t="n">
        <v>0.41838771</v>
      </c>
      <c r="H40" t="n">
        <v>-0.2756262626262652</v>
      </c>
      <c r="I40" t="n">
        <v>-30.73588759278897</v>
      </c>
      <c r="J40" t="n">
        <v>2025</v>
      </c>
      <c r="K40" t="n">
        <v>8774</v>
      </c>
      <c r="L40" t="inlineStr"/>
      <c r="M40" t="inlineStr"/>
      <c r="N40" t="n">
        <v>60</v>
      </c>
      <c r="O40" t="n">
        <v>1802</v>
      </c>
      <c r="P40" t="inlineStr">
        <is>
          <t>Moraceae</t>
        </is>
      </c>
      <c r="Q40" t="n">
        <v>2523</v>
      </c>
      <c r="R40" t="inlineStr">
        <is>
          <t>Helicostylis</t>
        </is>
      </c>
      <c r="S40" t="inlineStr">
        <is>
          <t>tovariensis</t>
        </is>
      </c>
    </row>
    <row r="41">
      <c r="A41" s="1" t="n">
        <v>39</v>
      </c>
      <c r="B41" t="inlineStr">
        <is>
          <t>p60-8763</t>
        </is>
      </c>
      <c r="C41" t="n">
        <v>43.4781494563771</v>
      </c>
      <c r="D41" t="n">
        <v>-28.9019351063201</v>
      </c>
      <c r="E41" t="inlineStr">
        <is>
          <t>leaf pulverized</t>
        </is>
      </c>
      <c r="F41" t="n">
        <v>0.019263705</v>
      </c>
      <c r="G41" t="n">
        <v>0.48746175</v>
      </c>
      <c r="H41" t="n">
        <v>-1.960505050505054</v>
      </c>
      <c r="I41" t="n">
        <v>-31.76714952279958</v>
      </c>
      <c r="J41" t="n">
        <v>2025</v>
      </c>
      <c r="K41" t="n">
        <v>8763</v>
      </c>
      <c r="L41" t="inlineStr"/>
      <c r="M41" t="inlineStr"/>
      <c r="N41" t="n">
        <v>60</v>
      </c>
      <c r="O41" t="n">
        <v>1813</v>
      </c>
      <c r="P41" t="inlineStr">
        <is>
          <t>Lauraceae</t>
        </is>
      </c>
      <c r="Q41" t="n">
        <v>3657</v>
      </c>
      <c r="R41" t="inlineStr">
        <is>
          <t>Ocotea</t>
        </is>
      </c>
      <c r="S41" t="inlineStr"/>
    </row>
    <row r="42">
      <c r="A42" s="1" t="n">
        <v>40</v>
      </c>
      <c r="B42" t="inlineStr">
        <is>
          <t>p60-8751</t>
        </is>
      </c>
      <c r="C42" t="n">
        <v>43.9985520392265</v>
      </c>
      <c r="D42" t="n">
        <v>-27.7592202890675</v>
      </c>
      <c r="E42" t="inlineStr">
        <is>
          <t>leaf pulverized</t>
        </is>
      </c>
      <c r="F42" t="n">
        <v>0.028111833</v>
      </c>
      <c r="G42" t="n">
        <v>0.477432064</v>
      </c>
      <c r="H42" t="n">
        <v>1.268845959595958</v>
      </c>
      <c r="I42" t="n">
        <v>-30.73588759278897</v>
      </c>
      <c r="J42" t="n">
        <v>2025</v>
      </c>
      <c r="K42" t="n">
        <v>8751</v>
      </c>
      <c r="L42" t="inlineStr"/>
      <c r="M42" t="inlineStr"/>
      <c r="N42" t="n">
        <v>60</v>
      </c>
      <c r="O42" t="n">
        <v>1831</v>
      </c>
      <c r="P42" t="inlineStr">
        <is>
          <t>Lecythidaceae</t>
        </is>
      </c>
      <c r="Q42" t="n">
        <v>3670</v>
      </c>
      <c r="R42" t="inlineStr">
        <is>
          <t>Eschweilera</t>
        </is>
      </c>
      <c r="S42" t="inlineStr"/>
    </row>
    <row r="43">
      <c r="A43" s="1" t="n">
        <v>41</v>
      </c>
      <c r="B43" t="inlineStr">
        <is>
          <t>p28-8738</t>
        </is>
      </c>
      <c r="C43" t="n">
        <v>43.8414388746346</v>
      </c>
      <c r="D43" t="n">
        <v>-32.2611441649535</v>
      </c>
      <c r="E43" t="inlineStr">
        <is>
          <t>leaf pulverized</t>
        </is>
      </c>
      <c r="F43" t="n">
        <v>0.016373887</v>
      </c>
      <c r="G43" t="n">
        <v>0.458460268</v>
      </c>
      <c r="H43" t="n">
        <v>-0.9776590909090938</v>
      </c>
      <c r="I43" t="n">
        <v>-33.37591813361612</v>
      </c>
      <c r="J43" t="n">
        <v>2025</v>
      </c>
      <c r="K43" t="n">
        <v>8738</v>
      </c>
      <c r="L43" t="inlineStr"/>
      <c r="M43" t="inlineStr"/>
      <c r="N43" t="n">
        <v>28</v>
      </c>
      <c r="O43" t="n">
        <v>715</v>
      </c>
      <c r="P43" t="inlineStr">
        <is>
          <t>Rosaceae</t>
        </is>
      </c>
      <c r="Q43" t="inlineStr">
        <is>
          <t>3587</t>
        </is>
      </c>
      <c r="R43" t="inlineStr">
        <is>
          <t>Prunus</t>
        </is>
      </c>
      <c r="S43" t="inlineStr">
        <is>
          <t>opaca</t>
        </is>
      </c>
    </row>
    <row r="44">
      <c r="A44" s="1" t="n">
        <v>42</v>
      </c>
      <c r="B44" t="inlineStr">
        <is>
          <t>p60-8885</t>
        </is>
      </c>
      <c r="C44" t="n">
        <v>46.2252054795823</v>
      </c>
      <c r="D44" t="n">
        <v>-33.2532341567998</v>
      </c>
      <c r="E44" t="inlineStr">
        <is>
          <t>leaf pulverized</t>
        </is>
      </c>
      <c r="F44" t="inlineStr"/>
      <c r="G44" t="inlineStr"/>
      <c r="H44" t="inlineStr"/>
      <c r="I44" t="inlineStr"/>
      <c r="J44" t="n">
        <v>2025</v>
      </c>
      <c r="K44" t="n">
        <v>8885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s="1" t="n">
        <v>43</v>
      </c>
      <c r="B45" t="inlineStr">
        <is>
          <t>p48-8665</t>
        </is>
      </c>
      <c r="C45" t="n">
        <v>43.5494988819161</v>
      </c>
      <c r="D45" t="n">
        <v>-26.7460878984196</v>
      </c>
      <c r="E45" t="inlineStr">
        <is>
          <t>leaf pulverized</t>
        </is>
      </c>
      <c r="F45" t="inlineStr"/>
      <c r="G45" t="inlineStr"/>
      <c r="H45" t="inlineStr"/>
      <c r="I45" t="inlineStr"/>
      <c r="J45" t="n">
        <v>2025</v>
      </c>
      <c r="K45" t="n">
        <v>8665</v>
      </c>
      <c r="L45" t="inlineStr"/>
      <c r="M45" t="inlineStr"/>
      <c r="N45" t="n">
        <v>48</v>
      </c>
      <c r="O45" t="n">
        <v>1411</v>
      </c>
      <c r="P45" t="inlineStr">
        <is>
          <t>Moraceae</t>
        </is>
      </c>
      <c r="Q45" t="inlineStr">
        <is>
          <t>3696</t>
        </is>
      </c>
      <c r="R45" t="inlineStr">
        <is>
          <t>Helicostylis</t>
        </is>
      </c>
      <c r="S45" t="inlineStr">
        <is>
          <t>tomentosa</t>
        </is>
      </c>
    </row>
    <row r="46">
      <c r="A46" s="1" t="n">
        <v>44</v>
      </c>
      <c r="B46" t="inlineStr">
        <is>
          <t>p24-8639</t>
        </is>
      </c>
      <c r="C46" t="n">
        <v>44.0685383962201</v>
      </c>
      <c r="D46" t="n">
        <v>-32.1956835423096</v>
      </c>
      <c r="E46" t="inlineStr">
        <is>
          <t>leaf pulverized</t>
        </is>
      </c>
      <c r="F46" t="inlineStr"/>
      <c r="G46" t="inlineStr"/>
      <c r="H46" t="inlineStr"/>
      <c r="I46" t="inlineStr"/>
      <c r="J46" t="n">
        <v>2025</v>
      </c>
      <c r="K46" t="n">
        <v>8639</v>
      </c>
      <c r="L46" t="inlineStr"/>
      <c r="M46" t="inlineStr"/>
      <c r="N46" t="n">
        <v>24</v>
      </c>
      <c r="O46" t="n">
        <v>585</v>
      </c>
      <c r="P46" t="inlineStr">
        <is>
          <t>Lacistemataceae</t>
        </is>
      </c>
      <c r="Q46" t="n">
        <v>2083</v>
      </c>
      <c r="R46" t="inlineStr">
        <is>
          <t>Lozania</t>
        </is>
      </c>
      <c r="S46" t="inlineStr">
        <is>
          <t>klugii</t>
        </is>
      </c>
    </row>
    <row r="47">
      <c r="A47" s="1" t="n">
        <v>45</v>
      </c>
      <c r="B47" t="inlineStr">
        <is>
          <t>p62-8669</t>
        </is>
      </c>
      <c r="C47" t="n">
        <v>51.5501825647706</v>
      </c>
      <c r="D47" t="n">
        <v>-31.9686377599029</v>
      </c>
      <c r="E47" t="inlineStr">
        <is>
          <t>leaf pulverized</t>
        </is>
      </c>
      <c r="F47" t="inlineStr"/>
      <c r="G47" t="inlineStr"/>
      <c r="H47" t="inlineStr"/>
      <c r="I47" t="inlineStr"/>
      <c r="J47" t="n">
        <v>2025</v>
      </c>
      <c r="K47" t="n">
        <v>8669</v>
      </c>
      <c r="L47" t="inlineStr"/>
      <c r="M47" t="inlineStr"/>
      <c r="N47" t="n">
        <v>48</v>
      </c>
      <c r="O47" t="n">
        <v>1404</v>
      </c>
      <c r="P47" t="inlineStr">
        <is>
          <t>Apocynaceae</t>
        </is>
      </c>
      <c r="Q47" t="inlineStr">
        <is>
          <t>3697</t>
        </is>
      </c>
      <c r="R47" t="inlineStr">
        <is>
          <t>Lacmellea</t>
        </is>
      </c>
      <c r="S47" t="inlineStr">
        <is>
          <t>speciosa</t>
        </is>
      </c>
    </row>
    <row r="48">
      <c r="A48" s="1" t="n">
        <v>46</v>
      </c>
      <c r="B48" t="inlineStr">
        <is>
          <t>p48-8685</t>
        </is>
      </c>
      <c r="C48" t="n">
        <v>43.9914834104145</v>
      </c>
      <c r="D48" t="n">
        <v>-30.8479008876318</v>
      </c>
      <c r="E48" t="inlineStr">
        <is>
          <t>leaf pulverized</t>
        </is>
      </c>
      <c r="F48" t="inlineStr"/>
      <c r="G48" t="inlineStr"/>
      <c r="H48" t="inlineStr"/>
      <c r="I48" t="inlineStr"/>
      <c r="J48" t="n">
        <v>2025</v>
      </c>
      <c r="K48" t="n">
        <v>8685</v>
      </c>
      <c r="L48" t="inlineStr"/>
      <c r="M48" t="inlineStr"/>
      <c r="N48" t="n">
        <v>48</v>
      </c>
      <c r="O48" t="n">
        <v>1389</v>
      </c>
      <c r="P48" t="inlineStr">
        <is>
          <t>Chrysobalanaceae</t>
        </is>
      </c>
      <c r="Q48" t="inlineStr">
        <is>
          <t>3709,2455</t>
        </is>
      </c>
      <c r="R48" t="inlineStr">
        <is>
          <t>Parinari</t>
        </is>
      </c>
      <c r="S48" t="inlineStr">
        <is>
          <t>klugii</t>
        </is>
      </c>
    </row>
    <row r="49">
      <c r="A49" s="1" t="n">
        <v>47</v>
      </c>
      <c r="B49" t="inlineStr">
        <is>
          <t>p48-8678</t>
        </is>
      </c>
      <c r="C49" t="n">
        <v>44.9377877375942</v>
      </c>
      <c r="D49" t="n">
        <v>-30.2763099384598</v>
      </c>
      <c r="E49" t="inlineStr">
        <is>
          <t>leaf pulverized</t>
        </is>
      </c>
      <c r="F49" t="inlineStr"/>
      <c r="G49" t="inlineStr"/>
      <c r="H49" t="inlineStr"/>
      <c r="I49" t="inlineStr"/>
      <c r="J49" t="n">
        <v>2025</v>
      </c>
      <c r="K49" t="n">
        <v>8678</v>
      </c>
      <c r="L49" t="inlineStr"/>
      <c r="M49" t="inlineStr"/>
      <c r="N49" t="n">
        <v>48</v>
      </c>
      <c r="O49" t="n">
        <v>1398</v>
      </c>
      <c r="P49" t="inlineStr">
        <is>
          <t>Sapotaceae</t>
        </is>
      </c>
      <c r="Q49" t="inlineStr">
        <is>
          <t>3699,2460</t>
        </is>
      </c>
      <c r="R49" t="inlineStr">
        <is>
          <t>Ragala</t>
        </is>
      </c>
      <c r="S49" t="inlineStr">
        <is>
          <t>sanguinolenta</t>
        </is>
      </c>
    </row>
    <row r="50">
      <c r="A50" s="1" t="n">
        <v>48</v>
      </c>
      <c r="B50" t="inlineStr">
        <is>
          <t>p24-8656</t>
        </is>
      </c>
      <c r="C50" t="n">
        <v>42.851590238464</v>
      </c>
      <c r="D50" t="n">
        <v>-31.0041351007367</v>
      </c>
      <c r="E50" t="inlineStr">
        <is>
          <t>leaf pulverized</t>
        </is>
      </c>
      <c r="F50" t="inlineStr"/>
      <c r="G50" t="inlineStr"/>
      <c r="H50" t="inlineStr"/>
      <c r="I50" t="inlineStr"/>
      <c r="J50" t="n">
        <v>2025</v>
      </c>
      <c r="K50" t="n">
        <v>8656</v>
      </c>
      <c r="L50" t="inlineStr"/>
      <c r="M50" t="inlineStr"/>
      <c r="N50" t="n">
        <v>24</v>
      </c>
      <c r="O50" t="n">
        <v>592</v>
      </c>
      <c r="P50" t="inlineStr">
        <is>
          <t>Rubiaceae</t>
        </is>
      </c>
      <c r="Q50" t="n">
        <v>3686</v>
      </c>
      <c r="R50" t="inlineStr"/>
      <c r="S50" t="inlineStr"/>
    </row>
    <row r="51">
      <c r="A51" s="1" t="n">
        <v>49</v>
      </c>
      <c r="B51" t="inlineStr">
        <is>
          <t>p24-8641</t>
        </is>
      </c>
      <c r="C51" t="n">
        <v>45.6788402527187</v>
      </c>
      <c r="D51" t="n">
        <v>-29.3942934566527</v>
      </c>
      <c r="E51" t="inlineStr">
        <is>
          <t>leaf pulverized</t>
        </is>
      </c>
      <c r="F51" t="inlineStr"/>
      <c r="G51" t="inlineStr"/>
      <c r="H51" t="inlineStr"/>
      <c r="I51" t="inlineStr"/>
      <c r="J51" t="n">
        <v>2025</v>
      </c>
      <c r="K51" t="n">
        <v>8641</v>
      </c>
      <c r="L51" t="inlineStr"/>
      <c r="M51" t="inlineStr"/>
      <c r="N51" t="n">
        <v>24</v>
      </c>
      <c r="O51" t="n">
        <v>580</v>
      </c>
      <c r="P51" t="inlineStr">
        <is>
          <t>Moraceae</t>
        </is>
      </c>
      <c r="Q51" t="inlineStr"/>
      <c r="R51" t="inlineStr">
        <is>
          <t>Sorocea</t>
        </is>
      </c>
      <c r="S51" t="inlineStr">
        <is>
          <t>sp</t>
        </is>
      </c>
    </row>
    <row r="52">
      <c r="A52" s="1" t="n">
        <v>50</v>
      </c>
      <c r="B52" t="inlineStr">
        <is>
          <t>p48-8664</t>
        </is>
      </c>
      <c r="C52" t="n">
        <v>45.0237138290824</v>
      </c>
      <c r="D52" t="n">
        <v>-29.289136429301</v>
      </c>
      <c r="E52" t="inlineStr">
        <is>
          <t>leaf pulverized</t>
        </is>
      </c>
      <c r="F52" t="inlineStr"/>
      <c r="G52" t="inlineStr"/>
      <c r="H52" t="inlineStr"/>
      <c r="I52" t="inlineStr"/>
      <c r="J52" t="n">
        <v>2025</v>
      </c>
      <c r="K52" t="n">
        <v>8664</v>
      </c>
      <c r="L52" t="inlineStr"/>
      <c r="M52" t="inlineStr"/>
      <c r="N52" t="n">
        <v>48</v>
      </c>
      <c r="O52" t="n">
        <v>1414</v>
      </c>
      <c r="P52" t="inlineStr">
        <is>
          <t>Moraceae</t>
        </is>
      </c>
      <c r="Q52" t="inlineStr">
        <is>
          <t>3710</t>
        </is>
      </c>
      <c r="R52" t="inlineStr">
        <is>
          <t>Pseudolmedia</t>
        </is>
      </c>
      <c r="S52" t="inlineStr">
        <is>
          <t>laevis</t>
        </is>
      </c>
    </row>
    <row r="53">
      <c r="A53" s="1" t="n">
        <v>51</v>
      </c>
      <c r="B53" t="inlineStr">
        <is>
          <t>p50-8796</t>
        </is>
      </c>
      <c r="C53" t="n">
        <v>44.3525207133124</v>
      </c>
      <c r="D53" t="n">
        <v>-31.7096539307129</v>
      </c>
      <c r="E53" t="inlineStr">
        <is>
          <t>leaf pulverized</t>
        </is>
      </c>
      <c r="F53" t="inlineStr"/>
      <c r="G53" t="inlineStr"/>
      <c r="H53" t="inlineStr"/>
      <c r="I53" t="inlineStr"/>
      <c r="J53" t="n">
        <v>2025</v>
      </c>
      <c r="K53" t="n">
        <v>8796</v>
      </c>
      <c r="L53" t="inlineStr"/>
      <c r="M53" t="inlineStr"/>
      <c r="N53" t="n">
        <v>50</v>
      </c>
      <c r="O53" t="n">
        <v>1461</v>
      </c>
      <c r="P53" t="inlineStr">
        <is>
          <t>Chrysobalanaceae</t>
        </is>
      </c>
      <c r="Q53" t="inlineStr">
        <is>
          <t>3627</t>
        </is>
      </c>
      <c r="R53" t="inlineStr">
        <is>
          <t>Licania</t>
        </is>
      </c>
      <c r="S53" t="inlineStr">
        <is>
          <t>micrantha</t>
        </is>
      </c>
    </row>
    <row r="54">
      <c r="A54" s="1" t="n">
        <v>52</v>
      </c>
      <c r="B54" t="inlineStr">
        <is>
          <t>p50-8789</t>
        </is>
      </c>
      <c r="C54" t="n">
        <v>44.4600944308076</v>
      </c>
      <c r="D54" t="n">
        <v>-27.6119893186605</v>
      </c>
      <c r="E54" t="inlineStr">
        <is>
          <t>leaf pulverized</t>
        </is>
      </c>
      <c r="F54" t="inlineStr"/>
      <c r="G54" t="inlineStr"/>
      <c r="H54" t="inlineStr"/>
      <c r="I54" t="inlineStr"/>
      <c r="J54" t="n">
        <v>2025</v>
      </c>
      <c r="K54" t="n">
        <v>8789</v>
      </c>
      <c r="L54" t="inlineStr"/>
      <c r="M54" t="inlineStr"/>
      <c r="N54" t="n">
        <v>50</v>
      </c>
      <c r="O54" t="inlineStr"/>
      <c r="P54" t="inlineStr">
        <is>
          <t>Fabaceae</t>
        </is>
      </c>
      <c r="Q54" t="inlineStr"/>
      <c r="R54" t="inlineStr">
        <is>
          <t>Inga</t>
        </is>
      </c>
      <c r="S54" t="inlineStr"/>
    </row>
    <row r="55">
      <c r="A55" s="1" t="n">
        <v>53</v>
      </c>
      <c r="B55" t="inlineStr">
        <is>
          <t>p50-8609</t>
        </is>
      </c>
      <c r="C55" t="n">
        <v>44.4313352406064</v>
      </c>
      <c r="D55" t="n">
        <v>-28.7444017194557</v>
      </c>
      <c r="E55" t="inlineStr">
        <is>
          <t>leaf pulverized</t>
        </is>
      </c>
      <c r="F55" t="inlineStr"/>
      <c r="G55" t="inlineStr"/>
      <c r="H55" t="inlineStr"/>
      <c r="I55" t="inlineStr"/>
      <c r="J55" t="n">
        <v>2025</v>
      </c>
      <c r="K55" t="n">
        <v>8609</v>
      </c>
      <c r="L55" t="inlineStr"/>
      <c r="M55" t="inlineStr"/>
      <c r="N55" t="n">
        <v>50</v>
      </c>
      <c r="O55" t="n">
        <v>1495</v>
      </c>
      <c r="P55" t="inlineStr">
        <is>
          <t>Simaroubaceae</t>
        </is>
      </c>
      <c r="Q55" t="inlineStr">
        <is>
          <t>3623</t>
        </is>
      </c>
      <c r="R55" t="inlineStr">
        <is>
          <t>Simarouba</t>
        </is>
      </c>
      <c r="S55" t="inlineStr">
        <is>
          <t>amara</t>
        </is>
      </c>
    </row>
    <row r="56">
      <c r="A56" s="1" t="n">
        <v>54</v>
      </c>
      <c r="B56" t="inlineStr">
        <is>
          <t>p50-8778</t>
        </is>
      </c>
      <c r="C56" t="n">
        <v>46.6499858932052</v>
      </c>
      <c r="D56" t="n">
        <v>-30.8356062037384</v>
      </c>
      <c r="E56" t="inlineStr">
        <is>
          <t>leaf pulverized</t>
        </is>
      </c>
      <c r="F56" t="inlineStr"/>
      <c r="G56" t="inlineStr"/>
      <c r="H56" t="inlineStr"/>
      <c r="I56" t="inlineStr"/>
      <c r="J56" t="n">
        <v>2025</v>
      </c>
      <c r="K56" t="n">
        <v>8778</v>
      </c>
      <c r="L56" t="inlineStr"/>
      <c r="M56" t="inlineStr"/>
      <c r="N56" t="n">
        <v>50</v>
      </c>
      <c r="O56" t="n">
        <v>1465</v>
      </c>
      <c r="P56" t="inlineStr">
        <is>
          <t>Lauraceae</t>
        </is>
      </c>
      <c r="Q56" t="inlineStr">
        <is>
          <t>3621</t>
        </is>
      </c>
      <c r="R56" t="inlineStr">
        <is>
          <t>Persea</t>
        </is>
      </c>
      <c r="S56" t="inlineStr">
        <is>
          <t>aff. pseudofasciculata</t>
        </is>
      </c>
    </row>
    <row r="57">
      <c r="A57" s="1" t="n">
        <v>55</v>
      </c>
      <c r="B57" t="inlineStr">
        <is>
          <t>p50-8800</t>
        </is>
      </c>
      <c r="C57" t="n">
        <v>44.9796090135757</v>
      </c>
      <c r="D57" t="n">
        <v>-28.1255697789897</v>
      </c>
      <c r="E57" t="inlineStr">
        <is>
          <t>leaf pulverized</t>
        </is>
      </c>
      <c r="F57" t="inlineStr"/>
      <c r="G57" t="inlineStr"/>
      <c r="H57" t="inlineStr"/>
      <c r="I57" t="inlineStr"/>
      <c r="J57" t="n">
        <v>2025</v>
      </c>
      <c r="K57" t="n">
        <v>8800</v>
      </c>
      <c r="L57" t="inlineStr"/>
      <c r="M57" t="inlineStr"/>
      <c r="N57" t="n">
        <v>50</v>
      </c>
      <c r="O57" t="n">
        <v>1464</v>
      </c>
      <c r="P57" t="inlineStr">
        <is>
          <t>Euphorbiaceae</t>
        </is>
      </c>
      <c r="Q57" t="inlineStr">
        <is>
          <t>3625</t>
        </is>
      </c>
      <c r="R57" t="inlineStr">
        <is>
          <t>Alchornea</t>
        </is>
      </c>
      <c r="S57" t="inlineStr">
        <is>
          <t>triplinervia</t>
        </is>
      </c>
    </row>
    <row r="58">
      <c r="A58" s="1" t="n">
        <v>56</v>
      </c>
      <c r="B58" t="inlineStr">
        <is>
          <t>p50-8612</t>
        </is>
      </c>
      <c r="C58" t="n">
        <v>52.2157059447287</v>
      </c>
      <c r="D58" t="n">
        <v>-28.624586696603</v>
      </c>
      <c r="E58" t="inlineStr">
        <is>
          <t>leaf pulverized</t>
        </is>
      </c>
      <c r="F58" t="inlineStr"/>
      <c r="G58" t="inlineStr"/>
      <c r="H58" t="inlineStr"/>
      <c r="I58" t="inlineStr"/>
      <c r="J58" t="n">
        <v>2025</v>
      </c>
      <c r="K58" t="n">
        <v>8612</v>
      </c>
      <c r="L58" t="inlineStr"/>
      <c r="M58" t="inlineStr"/>
      <c r="N58" t="n">
        <v>50</v>
      </c>
      <c r="O58" t="n">
        <v>1490</v>
      </c>
      <c r="P58" t="inlineStr">
        <is>
          <t>Rutaceae</t>
        </is>
      </c>
      <c r="Q58">
        <f>3602</f>
        <v/>
      </c>
      <c r="R58" t="inlineStr">
        <is>
          <t>Zanthoxylum</t>
        </is>
      </c>
      <c r="S58" t="inlineStr">
        <is>
          <t>melanostictum</t>
        </is>
      </c>
    </row>
    <row r="59">
      <c r="A59" s="1" t="n">
        <v>57</v>
      </c>
      <c r="B59" t="inlineStr">
        <is>
          <t>p48-8658</t>
        </is>
      </c>
      <c r="C59" t="n">
        <v>43.8677361203235</v>
      </c>
      <c r="D59" t="n">
        <v>-30.0566551236913</v>
      </c>
      <c r="E59" t="inlineStr">
        <is>
          <t>leaf pulverized</t>
        </is>
      </c>
      <c r="F59" t="inlineStr"/>
      <c r="G59" t="inlineStr"/>
      <c r="H59" t="inlineStr"/>
      <c r="I59" t="inlineStr"/>
      <c r="J59" t="n">
        <v>2025</v>
      </c>
      <c r="K59" t="n">
        <v>8658</v>
      </c>
      <c r="L59" t="inlineStr"/>
      <c r="M59" t="inlineStr"/>
      <c r="N59" t="n">
        <v>48</v>
      </c>
      <c r="O59" t="n">
        <v>1417</v>
      </c>
      <c r="P59" t="inlineStr">
        <is>
          <t>Moraceae</t>
        </is>
      </c>
      <c r="Q59" t="inlineStr">
        <is>
          <t>3706</t>
        </is>
      </c>
      <c r="R59" t="inlineStr">
        <is>
          <t>Sorocea</t>
        </is>
      </c>
      <c r="S59" t="inlineStr">
        <is>
          <t>sp.</t>
        </is>
      </c>
    </row>
    <row r="60">
      <c r="A60" s="1" t="n">
        <v>58</v>
      </c>
      <c r="B60" t="inlineStr">
        <is>
          <t>p62-8909</t>
        </is>
      </c>
      <c r="C60" t="n">
        <v>45.7739986266509</v>
      </c>
      <c r="D60" t="n">
        <v>-31.0274126439091</v>
      </c>
      <c r="E60" t="inlineStr">
        <is>
          <t>leaf pulverized</t>
        </is>
      </c>
      <c r="F60" t="inlineStr"/>
      <c r="G60" t="inlineStr"/>
      <c r="H60" t="inlineStr"/>
      <c r="I60" t="inlineStr"/>
      <c r="J60" t="n">
        <v>2025</v>
      </c>
      <c r="K60" t="n">
        <v>8909</v>
      </c>
      <c r="L60" t="inlineStr"/>
      <c r="M60" t="inlineStr"/>
      <c r="N60" t="n">
        <v>62</v>
      </c>
      <c r="O60" t="n">
        <v>1882</v>
      </c>
      <c r="P60" t="inlineStr">
        <is>
          <t>Symplocaceae</t>
        </is>
      </c>
      <c r="Q60" t="inlineStr">
        <is>
          <t>3612,2529</t>
        </is>
      </c>
      <c r="R60" t="inlineStr">
        <is>
          <t>Symplocos</t>
        </is>
      </c>
      <c r="S60" t="inlineStr">
        <is>
          <t>cf guacamayensis</t>
        </is>
      </c>
    </row>
    <row r="61">
      <c r="A61" s="1" t="n">
        <v>59</v>
      </c>
      <c r="B61" t="inlineStr">
        <is>
          <t>p62-8920</t>
        </is>
      </c>
      <c r="C61" t="n">
        <v>45.2091672300969</v>
      </c>
      <c r="D61" t="n">
        <v>-28.4703948807835</v>
      </c>
      <c r="E61" t="inlineStr">
        <is>
          <t>leaf pulverized</t>
        </is>
      </c>
      <c r="F61" t="inlineStr"/>
      <c r="G61" t="inlineStr"/>
      <c r="H61" t="inlineStr"/>
      <c r="I61" t="inlineStr"/>
      <c r="J61" t="n">
        <v>2025</v>
      </c>
      <c r="K61" t="n">
        <v>8920</v>
      </c>
      <c r="L61" t="inlineStr"/>
      <c r="M61" t="inlineStr"/>
      <c r="N61" t="n">
        <v>62</v>
      </c>
      <c r="O61" t="n">
        <v>1872</v>
      </c>
      <c r="P61" t="inlineStr"/>
      <c r="Q61" t="inlineStr">
        <is>
          <t>3595</t>
        </is>
      </c>
      <c r="R61" t="inlineStr"/>
      <c r="S61" t="inlineStr"/>
    </row>
    <row r="62">
      <c r="A62" s="1" t="n">
        <v>60</v>
      </c>
      <c r="B62" t="inlineStr">
        <is>
          <t>p24-8640</t>
        </is>
      </c>
      <c r="C62" t="n">
        <v>48.3668109395467</v>
      </c>
      <c r="D62" t="n">
        <v>-28.089768184058</v>
      </c>
      <c r="E62" t="inlineStr">
        <is>
          <t>leaf pulverized</t>
        </is>
      </c>
      <c r="F62" t="inlineStr"/>
      <c r="G62" t="inlineStr"/>
      <c r="H62" t="inlineStr"/>
      <c r="I62" t="inlineStr"/>
      <c r="J62" t="n">
        <v>2025</v>
      </c>
      <c r="K62" t="n">
        <v>8640</v>
      </c>
      <c r="L62" t="inlineStr"/>
      <c r="M62" t="inlineStr"/>
      <c r="N62" t="n">
        <v>24</v>
      </c>
      <c r="O62" t="n">
        <v>584</v>
      </c>
      <c r="P62" t="inlineStr">
        <is>
          <t>Vochysiaceae</t>
        </is>
      </c>
      <c r="Q62" t="inlineStr"/>
      <c r="R62" t="inlineStr"/>
      <c r="S62" t="inlineStr"/>
    </row>
    <row r="63">
      <c r="A63" s="1" t="n">
        <v>61</v>
      </c>
      <c r="B63" t="inlineStr">
        <is>
          <t>p24-8644</t>
        </is>
      </c>
      <c r="C63" t="n">
        <v>45.3467710094455</v>
      </c>
      <c r="D63" t="n">
        <v>-30.6065220715266</v>
      </c>
      <c r="E63" t="inlineStr">
        <is>
          <t>leaf pulverized</t>
        </is>
      </c>
      <c r="F63" t="inlineStr"/>
      <c r="G63" t="inlineStr"/>
      <c r="H63" t="inlineStr"/>
      <c r="I63" t="inlineStr"/>
      <c r="J63" t="n">
        <v>2025</v>
      </c>
      <c r="K63" t="n">
        <v>8644</v>
      </c>
      <c r="L63" t="inlineStr"/>
      <c r="M63" t="inlineStr"/>
      <c r="N63" t="n">
        <v>24</v>
      </c>
      <c r="O63" t="n">
        <v>606</v>
      </c>
      <c r="P63" t="inlineStr">
        <is>
          <t>Phyllanthaceae</t>
        </is>
      </c>
      <c r="Q63" t="n">
        <v>3691</v>
      </c>
      <c r="R63" t="inlineStr">
        <is>
          <t>Hieronyma</t>
        </is>
      </c>
      <c r="S63" t="inlineStr">
        <is>
          <t>asperifolia</t>
        </is>
      </c>
    </row>
    <row r="64">
      <c r="A64" s="1" t="n">
        <v>62</v>
      </c>
      <c r="B64" t="inlineStr">
        <is>
          <t>p62-8911</t>
        </is>
      </c>
      <c r="C64" t="n">
        <v>44.4068661322818</v>
      </c>
      <c r="D64" t="n">
        <v>-28.4056669789391</v>
      </c>
      <c r="E64" t="inlineStr">
        <is>
          <t>leaf pulverized</t>
        </is>
      </c>
      <c r="F64" t="inlineStr"/>
      <c r="G64" t="inlineStr"/>
      <c r="H64" t="inlineStr"/>
      <c r="I64" t="inlineStr"/>
      <c r="J64" t="n">
        <v>2025</v>
      </c>
      <c r="K64" t="n">
        <v>8911</v>
      </c>
      <c r="L64" t="inlineStr"/>
      <c r="M64" t="inlineStr"/>
      <c r="N64" t="n">
        <v>62</v>
      </c>
      <c r="O64" t="n">
        <v>1906</v>
      </c>
      <c r="P64" t="inlineStr">
        <is>
          <t>Cunnoniaceae</t>
        </is>
      </c>
      <c r="Q64" t="inlineStr">
        <is>
          <t>3607</t>
        </is>
      </c>
      <c r="R64" t="inlineStr">
        <is>
          <t>Weinmannia</t>
        </is>
      </c>
      <c r="S64" t="inlineStr">
        <is>
          <t>pinnata</t>
        </is>
      </c>
    </row>
    <row r="65">
      <c r="A65" s="1" t="n">
        <v>63</v>
      </c>
      <c r="B65" t="inlineStr">
        <is>
          <t>p62-8913</t>
        </is>
      </c>
      <c r="C65" t="n">
        <v>44.0519869123762</v>
      </c>
      <c r="D65" t="n">
        <v>-28.2607410254784</v>
      </c>
      <c r="E65" t="inlineStr">
        <is>
          <t>leaf pulverized</t>
        </is>
      </c>
      <c r="F65" t="inlineStr"/>
      <c r="G65" t="inlineStr"/>
      <c r="H65" t="inlineStr"/>
      <c r="I65" t="inlineStr"/>
      <c r="J65" t="n">
        <v>2025</v>
      </c>
      <c r="K65" t="n">
        <v>8913</v>
      </c>
      <c r="L65" t="inlineStr"/>
      <c r="M65" t="inlineStr"/>
      <c r="N65" t="n">
        <v>62</v>
      </c>
      <c r="O65" t="n">
        <v>1905</v>
      </c>
      <c r="P65" t="inlineStr">
        <is>
          <t>Fabaceae</t>
        </is>
      </c>
      <c r="Q65">
        <f>3609</f>
        <v/>
      </c>
      <c r="R65" t="inlineStr">
        <is>
          <t>Inga</t>
        </is>
      </c>
      <c r="S65" t="inlineStr"/>
    </row>
    <row r="66">
      <c r="A66" s="1" t="n">
        <v>64</v>
      </c>
      <c r="B66" t="inlineStr">
        <is>
          <t>p24-8633</t>
        </is>
      </c>
      <c r="C66" t="n">
        <v>53.562366156364</v>
      </c>
      <c r="D66" t="n">
        <v>-32.5217284052814</v>
      </c>
      <c r="E66" t="inlineStr">
        <is>
          <t>leaf pulverized</t>
        </is>
      </c>
      <c r="F66" t="inlineStr"/>
      <c r="G66" t="inlineStr"/>
      <c r="H66" t="inlineStr"/>
      <c r="I66" t="inlineStr"/>
      <c r="J66" t="n">
        <v>2025</v>
      </c>
      <c r="K66" t="n">
        <v>8633</v>
      </c>
      <c r="L66" t="inlineStr"/>
      <c r="M66" t="inlineStr"/>
      <c r="N66" t="n">
        <v>24</v>
      </c>
      <c r="O66" t="n">
        <v>590</v>
      </c>
      <c r="P66" t="inlineStr">
        <is>
          <t>Clusiaceae</t>
        </is>
      </c>
      <c r="Q66" t="n">
        <v>2073</v>
      </c>
      <c r="R66" t="inlineStr">
        <is>
          <t>Garcinia</t>
        </is>
      </c>
      <c r="S66" t="inlineStr">
        <is>
          <t>madruno</t>
        </is>
      </c>
    </row>
    <row r="67">
      <c r="A67" s="1" t="n">
        <v>65</v>
      </c>
      <c r="B67" t="inlineStr">
        <is>
          <t>p62-8904</t>
        </is>
      </c>
      <c r="C67" t="n">
        <v>42.8829933778642</v>
      </c>
      <c r="D67" t="n">
        <v>-30.6824111939395</v>
      </c>
      <c r="E67" t="inlineStr">
        <is>
          <t>leaf pulverized</t>
        </is>
      </c>
      <c r="F67" t="inlineStr"/>
      <c r="G67" t="inlineStr"/>
      <c r="H67" t="inlineStr"/>
      <c r="I67" t="inlineStr"/>
      <c r="J67" t="n">
        <v>2025</v>
      </c>
      <c r="K67" t="n">
        <v>8904</v>
      </c>
      <c r="L67" t="inlineStr"/>
      <c r="M67" t="inlineStr"/>
      <c r="N67" t="n">
        <v>62</v>
      </c>
      <c r="O67" t="n">
        <v>1896</v>
      </c>
      <c r="P67" t="inlineStr">
        <is>
          <t>Phyllanthaceae</t>
        </is>
      </c>
      <c r="Q67" t="inlineStr">
        <is>
          <t>2531</t>
        </is>
      </c>
      <c r="R67" t="inlineStr">
        <is>
          <t>Hieronyma</t>
        </is>
      </c>
      <c r="S67" t="inlineStr">
        <is>
          <t>oblonga</t>
        </is>
      </c>
    </row>
    <row r="68">
      <c r="A68" s="1" t="n">
        <v>66</v>
      </c>
      <c r="B68" t="inlineStr">
        <is>
          <t>p24-8643</t>
        </is>
      </c>
      <c r="C68" t="n">
        <v>42.3291323522651</v>
      </c>
      <c r="D68" t="n">
        <v>-26.8604457873218</v>
      </c>
      <c r="E68" t="inlineStr">
        <is>
          <t>leaf pulverized</t>
        </is>
      </c>
      <c r="F68" t="inlineStr"/>
      <c r="G68" t="inlineStr"/>
      <c r="H68" t="inlineStr"/>
      <c r="I68" t="inlineStr"/>
      <c r="J68" t="n">
        <v>2025</v>
      </c>
      <c r="K68" t="n">
        <v>8643</v>
      </c>
      <c r="L68" t="inlineStr"/>
      <c r="M68" t="inlineStr"/>
      <c r="N68" t="n">
        <v>24</v>
      </c>
      <c r="O68" t="n">
        <v>611</v>
      </c>
      <c r="P68" t="inlineStr">
        <is>
          <t>Melastomataceae</t>
        </is>
      </c>
      <c r="Q68" t="n">
        <v>2067</v>
      </c>
      <c r="R68" t="inlineStr"/>
      <c r="S68" t="inlineStr"/>
    </row>
    <row r="69">
      <c r="A69" s="1" t="n">
        <v>67</v>
      </c>
      <c r="B69" t="inlineStr">
        <is>
          <t>p62-8935</t>
        </is>
      </c>
      <c r="C69" t="n">
        <v>47.7447902483846</v>
      </c>
      <c r="D69" t="n">
        <v>-27.1473256870557</v>
      </c>
      <c r="E69" t="inlineStr">
        <is>
          <t>leaf pulverized</t>
        </is>
      </c>
      <c r="F69" t="inlineStr"/>
      <c r="G69" t="inlineStr"/>
      <c r="H69" t="inlineStr"/>
      <c r="I69" t="inlineStr"/>
      <c r="J69" t="n">
        <v>2025</v>
      </c>
      <c r="K69" t="n">
        <v>8935</v>
      </c>
      <c r="L69" t="inlineStr"/>
      <c r="M69" t="inlineStr"/>
      <c r="N69" t="n">
        <v>62</v>
      </c>
      <c r="O69" t="inlineStr"/>
      <c r="P69" t="inlineStr">
        <is>
          <t>Clusiaceae</t>
        </is>
      </c>
      <c r="Q69" t="inlineStr"/>
      <c r="R69" t="inlineStr">
        <is>
          <t>Tovomita</t>
        </is>
      </c>
      <c r="S69" t="inlineStr"/>
    </row>
    <row r="70">
      <c r="A70" s="1" t="n">
        <v>68</v>
      </c>
      <c r="B70" t="inlineStr">
        <is>
          <t>p48-8667</t>
        </is>
      </c>
      <c r="C70" t="n">
        <v>43.6800233807908</v>
      </c>
      <c r="D70" t="n">
        <v>-31.2367170271732</v>
      </c>
      <c r="E70" t="inlineStr">
        <is>
          <t>leaf pulverized</t>
        </is>
      </c>
      <c r="F70" t="inlineStr"/>
      <c r="G70" t="inlineStr"/>
      <c r="H70" t="inlineStr"/>
      <c r="I70" t="inlineStr"/>
      <c r="J70" t="n">
        <v>2025</v>
      </c>
      <c r="K70" t="n">
        <v>8667</v>
      </c>
      <c r="L70" t="inlineStr"/>
      <c r="M70" t="inlineStr"/>
      <c r="N70" t="n">
        <v>48</v>
      </c>
      <c r="O70" t="n">
        <v>1407</v>
      </c>
      <c r="P70" t="inlineStr">
        <is>
          <t>Myrtaceae</t>
        </is>
      </c>
      <c r="Q70" t="inlineStr">
        <is>
          <t>3700</t>
        </is>
      </c>
      <c r="R70" t="inlineStr">
        <is>
          <t>Calyptranthes</t>
        </is>
      </c>
      <c r="S70" t="inlineStr"/>
    </row>
    <row r="71">
      <c r="A71" s="1" t="n">
        <v>69</v>
      </c>
      <c r="B71" t="inlineStr">
        <is>
          <t>p24-8654</t>
        </is>
      </c>
      <c r="C71" t="n">
        <v>45.0157176833454</v>
      </c>
      <c r="D71" t="n">
        <v>-31.481073004197</v>
      </c>
      <c r="E71" t="inlineStr">
        <is>
          <t>leaf pulverized</t>
        </is>
      </c>
      <c r="F71" t="inlineStr"/>
      <c r="G71" t="inlineStr"/>
      <c r="H71" t="inlineStr"/>
      <c r="I71" t="inlineStr"/>
      <c r="J71" t="n">
        <v>2025</v>
      </c>
      <c r="K71" t="n">
        <v>8654</v>
      </c>
      <c r="L71" t="inlineStr"/>
      <c r="M71" t="inlineStr"/>
      <c r="N71" t="n">
        <v>24</v>
      </c>
      <c r="O71" t="n">
        <v>595</v>
      </c>
      <c r="P71" t="inlineStr">
        <is>
          <t>Phyllanthaceae</t>
        </is>
      </c>
      <c r="Q71" t="n">
        <v>3689</v>
      </c>
      <c r="R71" t="inlineStr">
        <is>
          <t>Hieronyma</t>
        </is>
      </c>
      <c r="S71" t="inlineStr">
        <is>
          <t>oblonga</t>
        </is>
      </c>
    </row>
    <row r="72">
      <c r="A72" s="1" t="n">
        <v>70</v>
      </c>
      <c r="B72" t="inlineStr">
        <is>
          <t>p24-8649</t>
        </is>
      </c>
      <c r="C72" t="n">
        <v>44.5666577303445</v>
      </c>
      <c r="D72" t="n">
        <v>-28.841640962394</v>
      </c>
      <c r="E72" t="inlineStr">
        <is>
          <t>leaf pulverized</t>
        </is>
      </c>
      <c r="F72" t="inlineStr"/>
      <c r="G72" t="inlineStr"/>
      <c r="H72" t="inlineStr"/>
      <c r="I72" t="inlineStr"/>
      <c r="J72" t="n">
        <v>2025</v>
      </c>
      <c r="K72" t="n">
        <v>8649</v>
      </c>
      <c r="L72" t="inlineStr"/>
      <c r="M72" t="inlineStr"/>
      <c r="N72" t="n">
        <v>24</v>
      </c>
      <c r="O72" t="n">
        <v>600</v>
      </c>
      <c r="P72" t="inlineStr">
        <is>
          <t>Euphorbiaceae</t>
        </is>
      </c>
      <c r="Q72" t="n">
        <v>3665</v>
      </c>
      <c r="R72" t="inlineStr">
        <is>
          <t>Alchornea</t>
        </is>
      </c>
      <c r="S72" t="inlineStr"/>
    </row>
    <row r="73">
      <c r="A73" s="1" t="n">
        <v>71</v>
      </c>
      <c r="B73" t="inlineStr">
        <is>
          <t>p50-8780</t>
        </is>
      </c>
      <c r="C73" t="n">
        <v>46.6657515975042</v>
      </c>
      <c r="D73" t="n">
        <v>-32.2435355746779</v>
      </c>
      <c r="E73" t="inlineStr">
        <is>
          <t>leaf pulverized</t>
        </is>
      </c>
      <c r="F73" t="inlineStr"/>
      <c r="G73" t="inlineStr"/>
      <c r="H73" t="inlineStr"/>
      <c r="I73" t="inlineStr"/>
      <c r="J73" t="n">
        <v>2025</v>
      </c>
      <c r="K73" t="n">
        <v>8780</v>
      </c>
      <c r="L73" t="inlineStr"/>
      <c r="M73" t="inlineStr"/>
      <c r="N73" t="n">
        <v>50</v>
      </c>
      <c r="O73" t="n">
        <v>1470</v>
      </c>
      <c r="P73" t="inlineStr">
        <is>
          <t>Styracaceae</t>
        </is>
      </c>
      <c r="Q73" t="inlineStr">
        <is>
          <t>3617</t>
        </is>
      </c>
      <c r="R73" t="inlineStr">
        <is>
          <t>Styrax</t>
        </is>
      </c>
      <c r="S73" t="inlineStr">
        <is>
          <t>cordatus</t>
        </is>
      </c>
    </row>
    <row r="74">
      <c r="A74" s="1" t="n">
        <v>72</v>
      </c>
      <c r="B74" t="inlineStr">
        <is>
          <t>p50-8613</t>
        </is>
      </c>
      <c r="C74" t="n">
        <v>48.539882967714</v>
      </c>
      <c r="D74" t="n">
        <v>-32.0729824104926</v>
      </c>
      <c r="E74" t="inlineStr">
        <is>
          <t>leaf pulverized</t>
        </is>
      </c>
      <c r="F74" t="inlineStr"/>
      <c r="G74" t="inlineStr"/>
      <c r="H74" t="inlineStr"/>
      <c r="I74" t="inlineStr"/>
      <c r="J74" t="n">
        <v>2025</v>
      </c>
      <c r="K74" t="n">
        <v>8613</v>
      </c>
      <c r="L74" t="inlineStr"/>
      <c r="M74" t="inlineStr"/>
      <c r="N74" t="n">
        <v>50</v>
      </c>
      <c r="O74" t="inlineStr"/>
      <c r="P74" t="inlineStr">
        <is>
          <t>Apocynaceae</t>
        </is>
      </c>
      <c r="Q74" t="inlineStr"/>
      <c r="R74" t="inlineStr">
        <is>
          <t>Apo28</t>
        </is>
      </c>
      <c r="S74" t="inlineStr"/>
    </row>
    <row r="75">
      <c r="A75" s="1" t="n">
        <v>73</v>
      </c>
      <c r="B75" t="inlineStr">
        <is>
          <t>p50-8615</t>
        </is>
      </c>
      <c r="C75" t="n">
        <v>47.6661354350682</v>
      </c>
      <c r="D75" t="n">
        <v>-28.6791783933368</v>
      </c>
      <c r="E75" t="inlineStr">
        <is>
          <t>leaf pulverized</t>
        </is>
      </c>
      <c r="F75" t="inlineStr"/>
      <c r="G75" t="inlineStr"/>
      <c r="H75" t="inlineStr"/>
      <c r="I75" t="inlineStr"/>
      <c r="J75" t="n">
        <v>2025</v>
      </c>
      <c r="K75" t="n">
        <v>8615</v>
      </c>
      <c r="L75" t="inlineStr"/>
      <c r="M75" t="inlineStr"/>
      <c r="N75" t="n">
        <v>50</v>
      </c>
      <c r="O75" t="n">
        <v>1486</v>
      </c>
      <c r="P75" t="inlineStr">
        <is>
          <t>Lauraceae</t>
        </is>
      </c>
      <c r="Q75" t="inlineStr">
        <is>
          <t>3620</t>
        </is>
      </c>
      <c r="R75" t="inlineStr">
        <is>
          <t>Ocotea</t>
        </is>
      </c>
      <c r="S75" t="inlineStr">
        <is>
          <t xml:space="preserve"> cf. longifolia</t>
        </is>
      </c>
    </row>
    <row r="76">
      <c r="A76" s="1" t="n">
        <v>74</v>
      </c>
      <c r="B76" t="inlineStr">
        <is>
          <t>p24-8642</t>
        </is>
      </c>
      <c r="C76" t="n">
        <v>48.3415836866317</v>
      </c>
      <c r="D76" t="n">
        <v>-32.3566034758169</v>
      </c>
      <c r="E76" t="inlineStr">
        <is>
          <t>leaf pulverized</t>
        </is>
      </c>
      <c r="F76" t="inlineStr"/>
      <c r="G76" t="inlineStr"/>
      <c r="H76" t="inlineStr"/>
      <c r="I76" t="inlineStr"/>
      <c r="J76" t="n">
        <v>2025</v>
      </c>
      <c r="K76" t="n">
        <v>8642</v>
      </c>
      <c r="L76" t="inlineStr"/>
      <c r="M76" t="inlineStr"/>
      <c r="N76" t="n">
        <v>24</v>
      </c>
      <c r="O76" t="n">
        <v>579</v>
      </c>
      <c r="P76" t="inlineStr">
        <is>
          <t>Lecythidaceae</t>
        </is>
      </c>
      <c r="Q76" t="n">
        <v>2081</v>
      </c>
      <c r="R76" t="inlineStr">
        <is>
          <t>Eschweilera</t>
        </is>
      </c>
      <c r="S76" t="inlineStr">
        <is>
          <t>caudiculata</t>
        </is>
      </c>
    </row>
    <row r="77">
      <c r="A77" s="1" t="n">
        <v>75</v>
      </c>
      <c r="B77" t="inlineStr">
        <is>
          <t>p50-8786</t>
        </is>
      </c>
      <c r="C77" t="n">
        <v>44.107567233824</v>
      </c>
      <c r="D77" t="n">
        <v>-28.7987617301663</v>
      </c>
      <c r="E77" t="inlineStr">
        <is>
          <t>leaf pulverized</t>
        </is>
      </c>
      <c r="F77" t="inlineStr"/>
      <c r="G77" t="inlineStr"/>
      <c r="H77" t="inlineStr"/>
      <c r="I77" t="inlineStr"/>
      <c r="J77" t="n">
        <v>2025</v>
      </c>
      <c r="K77" t="n">
        <v>8786</v>
      </c>
      <c r="L77" t="inlineStr"/>
      <c r="M77" t="inlineStr"/>
      <c r="N77" t="n">
        <v>50</v>
      </c>
      <c r="O77" t="n">
        <v>1459</v>
      </c>
      <c r="P77" t="inlineStr">
        <is>
          <t>Melastomataceae</t>
        </is>
      </c>
      <c r="Q77" t="inlineStr">
        <is>
          <t>3624</t>
        </is>
      </c>
      <c r="R77" t="inlineStr">
        <is>
          <t>Ossaea</t>
        </is>
      </c>
      <c r="S77" t="inlineStr">
        <is>
          <t>laxivenula</t>
        </is>
      </c>
    </row>
    <row r="78">
      <c r="A78" s="1" t="n">
        <v>76</v>
      </c>
      <c r="B78" t="inlineStr">
        <is>
          <t>p24-8651</t>
        </is>
      </c>
      <c r="C78" t="n">
        <v>44.2197495682497</v>
      </c>
      <c r="D78" t="n">
        <v>-29.1780436768037</v>
      </c>
      <c r="E78" t="inlineStr">
        <is>
          <t>leaf pulverized</t>
        </is>
      </c>
      <c r="F78" t="inlineStr"/>
      <c r="G78" t="inlineStr"/>
      <c r="H78" t="inlineStr"/>
      <c r="I78" t="inlineStr"/>
      <c r="J78" t="n">
        <v>2025</v>
      </c>
      <c r="K78" t="n">
        <v>8651</v>
      </c>
      <c r="L78" t="inlineStr"/>
      <c r="M78" t="inlineStr"/>
      <c r="N78" t="n">
        <v>24</v>
      </c>
      <c r="O78" t="n">
        <v>598</v>
      </c>
      <c r="P78" t="inlineStr">
        <is>
          <t>Caryocaraceae</t>
        </is>
      </c>
      <c r="Q78" t="n">
        <v>2069</v>
      </c>
      <c r="R78" t="inlineStr">
        <is>
          <t>Caryocar</t>
        </is>
      </c>
      <c r="S78" t="inlineStr">
        <is>
          <t>glabrum</t>
        </is>
      </c>
    </row>
    <row r="79">
      <c r="A79" s="1" t="n">
        <v>77</v>
      </c>
      <c r="B79" t="inlineStr">
        <is>
          <t>p48-8686</t>
        </is>
      </c>
      <c r="C79" t="n">
        <v>44.844345018092</v>
      </c>
      <c r="D79" t="n">
        <v>-31.552590652176</v>
      </c>
      <c r="E79" t="inlineStr">
        <is>
          <t>leaf pulverized</t>
        </is>
      </c>
      <c r="F79" t="inlineStr"/>
      <c r="G79" t="inlineStr"/>
      <c r="H79" t="inlineStr"/>
      <c r="I79" t="inlineStr"/>
      <c r="J79" t="n">
        <v>2025</v>
      </c>
      <c r="K79" t="n">
        <v>8686</v>
      </c>
      <c r="L79" t="inlineStr"/>
      <c r="M79" t="inlineStr"/>
      <c r="N79" t="n">
        <v>48</v>
      </c>
      <c r="O79" t="n">
        <v>1390</v>
      </c>
      <c r="P79" t="inlineStr">
        <is>
          <t>Annonaceae</t>
        </is>
      </c>
      <c r="Q79" t="inlineStr">
        <is>
          <t>3707,2456</t>
        </is>
      </c>
      <c r="R79" t="inlineStr">
        <is>
          <t>Guatteria</t>
        </is>
      </c>
      <c r="S79" t="inlineStr">
        <is>
          <t>gentryi</t>
        </is>
      </c>
    </row>
    <row r="80">
      <c r="A80" s="1" t="n">
        <v>78</v>
      </c>
      <c r="B80" t="inlineStr">
        <is>
          <t>p48-8663</t>
        </is>
      </c>
      <c r="C80" t="n">
        <v>44.2462096729894</v>
      </c>
      <c r="D80" t="n">
        <v>-32.7004934252271</v>
      </c>
      <c r="E80" t="inlineStr">
        <is>
          <t>leaf pulverized</t>
        </is>
      </c>
      <c r="F80" t="inlineStr"/>
      <c r="G80" t="inlineStr"/>
      <c r="H80" t="inlineStr"/>
      <c r="I80" t="inlineStr"/>
      <c r="J80" t="n">
        <v>2025</v>
      </c>
      <c r="K80" t="n">
        <v>8663</v>
      </c>
      <c r="L80" t="inlineStr"/>
      <c r="M80" t="inlineStr"/>
      <c r="N80" t="n">
        <v>48</v>
      </c>
      <c r="O80" t="n">
        <v>1413</v>
      </c>
      <c r="P80" t="inlineStr">
        <is>
          <t>Annonaceae</t>
        </is>
      </c>
      <c r="Q80" t="inlineStr">
        <is>
          <t>3705</t>
        </is>
      </c>
      <c r="R80" t="inlineStr"/>
      <c r="S80" t="inlineStr"/>
    </row>
    <row r="81">
      <c r="A81" s="1" t="n">
        <v>79</v>
      </c>
      <c r="B81" t="inlineStr">
        <is>
          <t>p48-8672</t>
        </is>
      </c>
      <c r="C81" t="n">
        <v>45.141287351169</v>
      </c>
      <c r="D81" t="n">
        <v>-27.0372808201266</v>
      </c>
      <c r="E81" t="inlineStr">
        <is>
          <t>leaf pulverized</t>
        </is>
      </c>
      <c r="F81" t="inlineStr"/>
      <c r="G81" t="inlineStr"/>
      <c r="H81" t="inlineStr"/>
      <c r="I81" t="inlineStr"/>
      <c r="J81" t="n">
        <v>2025</v>
      </c>
      <c r="K81" t="n">
        <v>8672</v>
      </c>
      <c r="L81" t="inlineStr"/>
      <c r="M81" t="inlineStr"/>
      <c r="N81" t="n">
        <v>48</v>
      </c>
      <c r="O81" t="n">
        <v>1400</v>
      </c>
      <c r="P81" t="inlineStr">
        <is>
          <t>Moraceae</t>
        </is>
      </c>
      <c r="Q81" t="inlineStr">
        <is>
          <t>3698</t>
        </is>
      </c>
      <c r="R81" t="inlineStr">
        <is>
          <t>Naucleopsis</t>
        </is>
      </c>
      <c r="S81" t="inlineStr">
        <is>
          <t>ulei</t>
        </is>
      </c>
    </row>
    <row r="82">
      <c r="A82" s="1" t="n">
        <v>80</v>
      </c>
      <c r="B82" t="inlineStr">
        <is>
          <t>p48-8666</t>
        </is>
      </c>
      <c r="C82" t="n">
        <v>0.4249</v>
      </c>
      <c r="D82" t="n">
        <v>-31.49</v>
      </c>
      <c r="E82" t="inlineStr">
        <is>
          <t>leaf pulverized</t>
        </is>
      </c>
      <c r="F82" t="inlineStr"/>
      <c r="G82" t="inlineStr"/>
      <c r="H82" t="inlineStr"/>
      <c r="I82" t="inlineStr"/>
      <c r="J82" t="n">
        <v>2025</v>
      </c>
      <c r="K82" t="n">
        <v>8666</v>
      </c>
      <c r="L82" t="inlineStr"/>
      <c r="M82" t="inlineStr"/>
      <c r="N82" t="n">
        <v>48</v>
      </c>
      <c r="O82" t="n">
        <v>1406</v>
      </c>
      <c r="P82" t="inlineStr">
        <is>
          <t>Malpighiaceae</t>
        </is>
      </c>
      <c r="Q82" t="inlineStr">
        <is>
          <t>3703, 2461</t>
        </is>
      </c>
      <c r="R82" t="inlineStr">
        <is>
          <t>Byrsonima</t>
        </is>
      </c>
      <c r="S82" t="inlineStr"/>
    </row>
    <row r="83">
      <c r="A83" s="1" t="n">
        <v>81</v>
      </c>
      <c r="B83" t="inlineStr">
        <is>
          <t>p48-3698</t>
        </is>
      </c>
      <c r="C83" t="n">
        <v>0.4193</v>
      </c>
      <c r="D83" t="n">
        <v>-27.79</v>
      </c>
      <c r="E83" t="inlineStr">
        <is>
          <t>leaf pulverized</t>
        </is>
      </c>
      <c r="F83" t="inlineStr"/>
      <c r="G83" t="inlineStr"/>
      <c r="H83" t="inlineStr"/>
      <c r="I83" t="inlineStr"/>
      <c r="J83" t="n">
        <v>2025</v>
      </c>
      <c r="K83" t="n">
        <v>3698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s="1" t="n">
        <v>82</v>
      </c>
      <c r="B84" t="inlineStr">
        <is>
          <t>p23-8980</t>
        </is>
      </c>
      <c r="C84" t="n">
        <v>0.2728</v>
      </c>
      <c r="D84" t="n">
        <v>-28.17</v>
      </c>
      <c r="E84" t="inlineStr">
        <is>
          <t>leaf pulverized</t>
        </is>
      </c>
      <c r="F84" t="inlineStr"/>
      <c r="G84" t="inlineStr"/>
      <c r="H84" t="inlineStr"/>
      <c r="I84" t="inlineStr"/>
      <c r="J84" t="n">
        <v>2025</v>
      </c>
      <c r="K84" t="n">
        <v>8980</v>
      </c>
      <c r="L84" t="inlineStr"/>
      <c r="M84" t="inlineStr"/>
      <c r="N84" t="n">
        <v>23</v>
      </c>
      <c r="O84" t="n">
        <v>570</v>
      </c>
      <c r="P84" t="inlineStr">
        <is>
          <t>Moraceae</t>
        </is>
      </c>
      <c r="Q84" t="inlineStr">
        <is>
          <t>2034</t>
        </is>
      </c>
      <c r="R84" t="inlineStr">
        <is>
          <t>Sorocea</t>
        </is>
      </c>
      <c r="S84" t="inlineStr">
        <is>
          <t>trophoides</t>
        </is>
      </c>
    </row>
    <row r="85">
      <c r="A85" s="1" t="n">
        <v>83</v>
      </c>
      <c r="B85" t="inlineStr">
        <is>
          <t>p28-8974</t>
        </is>
      </c>
      <c r="C85" t="n">
        <v>0.4054</v>
      </c>
      <c r="D85" t="n">
        <v>-29.37</v>
      </c>
      <c r="E85" t="inlineStr">
        <is>
          <t>leaf pulverized</t>
        </is>
      </c>
      <c r="F85" t="inlineStr"/>
      <c r="G85" t="inlineStr"/>
      <c r="H85" t="inlineStr"/>
      <c r="I85" t="inlineStr"/>
      <c r="J85" t="n">
        <v>2025</v>
      </c>
      <c r="K85" t="n">
        <v>8974</v>
      </c>
      <c r="L85" t="inlineStr"/>
      <c r="M85" t="inlineStr"/>
      <c r="N85" t="n">
        <v>23</v>
      </c>
      <c r="O85" t="n">
        <v>564</v>
      </c>
      <c r="P85" t="inlineStr">
        <is>
          <t>Sapotaceae</t>
        </is>
      </c>
      <c r="Q85" t="inlineStr">
        <is>
          <t>3745</t>
        </is>
      </c>
      <c r="R85" t="inlineStr">
        <is>
          <t>Cornuella</t>
        </is>
      </c>
      <c r="S85" t="inlineStr">
        <is>
          <t>venezuelanense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2026-09-30T20:14:02Z</dcterms:created>
  <dcterms:modified xmlns:dcterms="http://purl.org/dc/terms/" xmlns:xsi="http://www.w3.org/2001/XMLSchema-instance" xsi:type="dcterms:W3CDTF">2026-09-30T20:14:02Z</dcterms:modified>
</cp:coreProperties>
</file>
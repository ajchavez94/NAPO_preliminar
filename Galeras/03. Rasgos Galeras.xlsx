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Galeras\"/>
    </mc:Choice>
  </mc:AlternateContent>
  <bookViews>
    <workbookView xWindow="0" yWindow="0" windowWidth="24000" windowHeight="8640"/>
  </bookViews>
  <sheets>
    <sheet name="Hoja 1" sheetId="1" r:id="rId1"/>
  </sheets>
  <definedNames>
    <definedName name="_xlnm._FilterDatabase" localSheetId="0" hidden="1">'Hoja 1'!$A$1:$Y$79</definedName>
  </definedNames>
  <calcPr calcId="162913"/>
  <extLst>
    <ext uri="GoogleSheetsCustomDataVersion2">
      <go:sheetsCustomData xmlns:go="http://customooxmlschemas.google.com/" r:id="rId5" roundtripDataChecksum="hHXMIcwkjk3m70q166pDyxVzmL7H0tQyLNRF/o7uuuY="/>
    </ext>
  </extLst>
</workbook>
</file>

<file path=xl/calcChain.xml><?xml version="1.0" encoding="utf-8"?>
<calcChain xmlns="http://schemas.openxmlformats.org/spreadsheetml/2006/main">
  <c r="Y77" i="1" l="1"/>
  <c r="Y79" i="1"/>
  <c r="T79" i="1"/>
  <c r="Y78" i="1"/>
  <c r="T78" i="1"/>
  <c r="T77" i="1"/>
  <c r="Y76" i="1"/>
  <c r="T76" i="1"/>
  <c r="Y75" i="1"/>
  <c r="T75" i="1"/>
  <c r="Y74" i="1"/>
  <c r="T74" i="1"/>
  <c r="Y73" i="1"/>
  <c r="T73" i="1"/>
  <c r="Y72" i="1"/>
  <c r="T72" i="1"/>
  <c r="Y71" i="1"/>
  <c r="T71" i="1"/>
  <c r="Y70" i="1"/>
  <c r="T70" i="1"/>
  <c r="Y69" i="1"/>
  <c r="T69" i="1"/>
  <c r="Y68" i="1"/>
  <c r="T68" i="1"/>
  <c r="Y67" i="1"/>
  <c r="T67" i="1"/>
  <c r="Y66" i="1"/>
  <c r="T66" i="1"/>
  <c r="Y65" i="1"/>
  <c r="T65" i="1"/>
  <c r="Y64" i="1"/>
  <c r="T64" i="1"/>
  <c r="Y63" i="1"/>
  <c r="T63" i="1"/>
  <c r="Y62" i="1"/>
  <c r="T62" i="1"/>
  <c r="Y61" i="1"/>
  <c r="T61" i="1"/>
  <c r="Y60" i="1"/>
  <c r="T60" i="1"/>
  <c r="Y59" i="1"/>
  <c r="T59" i="1"/>
  <c r="Y58" i="1"/>
  <c r="T58" i="1"/>
  <c r="Y57" i="1"/>
  <c r="T57" i="1"/>
  <c r="Y56" i="1"/>
  <c r="T56" i="1"/>
  <c r="Y55" i="1"/>
  <c r="T55" i="1"/>
  <c r="Y54" i="1"/>
  <c r="T54" i="1"/>
  <c r="Y53" i="1"/>
  <c r="T53" i="1"/>
  <c r="Y52" i="1"/>
  <c r="T52" i="1"/>
  <c r="Y51" i="1"/>
  <c r="T51" i="1"/>
  <c r="Y50" i="1"/>
  <c r="T50" i="1"/>
  <c r="Y49" i="1"/>
  <c r="T49" i="1"/>
  <c r="Y48" i="1"/>
  <c r="T48" i="1"/>
  <c r="Y47" i="1"/>
  <c r="T47" i="1"/>
  <c r="Y46" i="1"/>
  <c r="T46" i="1"/>
  <c r="Y45" i="1"/>
  <c r="T45" i="1"/>
  <c r="Y44" i="1"/>
  <c r="T44" i="1"/>
  <c r="Y43" i="1"/>
  <c r="T43" i="1"/>
  <c r="Y42" i="1"/>
  <c r="T42" i="1"/>
  <c r="Y41" i="1"/>
  <c r="T41" i="1"/>
  <c r="Y40" i="1"/>
  <c r="T40" i="1"/>
  <c r="Y39" i="1"/>
  <c r="T39" i="1"/>
  <c r="Y38" i="1"/>
  <c r="T38" i="1"/>
  <c r="Y37" i="1"/>
  <c r="T37" i="1"/>
  <c r="Y36" i="1"/>
  <c r="T36" i="1"/>
  <c r="Y35" i="1"/>
  <c r="T35" i="1"/>
  <c r="Y34" i="1"/>
  <c r="T34" i="1"/>
  <c r="Y33" i="1"/>
  <c r="T33" i="1"/>
  <c r="Y32" i="1"/>
  <c r="T32" i="1"/>
  <c r="Y31" i="1"/>
  <c r="T31" i="1"/>
  <c r="Y30" i="1"/>
  <c r="T30" i="1"/>
  <c r="Y29" i="1"/>
  <c r="T29" i="1"/>
  <c r="Y28" i="1"/>
  <c r="T28" i="1"/>
  <c r="Y27" i="1"/>
  <c r="T27" i="1"/>
  <c r="Y26" i="1"/>
  <c r="T26" i="1"/>
  <c r="Y25" i="1"/>
  <c r="T25" i="1"/>
  <c r="Y24" i="1"/>
  <c r="T24" i="1"/>
  <c r="Y23" i="1"/>
  <c r="T23" i="1"/>
  <c r="Y22" i="1"/>
  <c r="T22" i="1"/>
  <c r="Y21" i="1"/>
  <c r="T21" i="1"/>
  <c r="Y20" i="1"/>
  <c r="T20" i="1"/>
  <c r="Y19" i="1"/>
  <c r="T19" i="1"/>
  <c r="Y18" i="1"/>
  <c r="T18" i="1"/>
  <c r="Y17" i="1"/>
  <c r="T17" i="1"/>
  <c r="Y16" i="1"/>
  <c r="T16" i="1"/>
  <c r="Y15" i="1"/>
  <c r="T15" i="1"/>
  <c r="Y14" i="1"/>
  <c r="T14" i="1"/>
  <c r="Y13" i="1"/>
  <c r="T13" i="1"/>
  <c r="Y12" i="1"/>
  <c r="Y11" i="1"/>
  <c r="T11" i="1"/>
  <c r="Y10" i="1"/>
  <c r="T10" i="1"/>
  <c r="Y9" i="1"/>
  <c r="T9" i="1"/>
  <c r="Y8" i="1"/>
  <c r="T8" i="1"/>
  <c r="Y7" i="1"/>
  <c r="T7" i="1"/>
  <c r="Y6" i="1"/>
  <c r="T6" i="1"/>
  <c r="Y5" i="1"/>
  <c r="T5" i="1"/>
  <c r="Y4" i="1"/>
  <c r="T4" i="1"/>
  <c r="Y3" i="1"/>
  <c r="T3" i="1"/>
  <c r="Y2" i="1"/>
  <c r="T2" i="1"/>
</calcChain>
</file>

<file path=xl/comments1.xml><?xml version="1.0" encoding="utf-8"?>
<comments xmlns="http://schemas.openxmlformats.org/spreadsheetml/2006/main">
  <authors>
    <author/>
  </authors>
  <commentList>
    <comment ref="X44" authorId="0" shapeId="0">
      <text>
        <r>
          <rPr>
            <sz val="10"/>
            <color rgb="FF000000"/>
            <rFont val="Arial"/>
            <scheme val="minor"/>
          </rPr>
          <t>======
ID#AAABnQjnRq0
Andrea Janine Chavez Pacheco    (2025-07-10 18:37:58)
de las 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8qbyHSD6FaWK5mOVdoTZJMDnDg=="/>
    </ext>
  </extLst>
</comments>
</file>

<file path=xl/sharedStrings.xml><?xml version="1.0" encoding="utf-8"?>
<sst xmlns="http://schemas.openxmlformats.org/spreadsheetml/2006/main" count="422" uniqueCount="177">
  <si>
    <t>#</t>
  </si>
  <si>
    <t>Site</t>
  </si>
  <si>
    <t>Plot_code</t>
  </si>
  <si>
    <t>Sub</t>
  </si>
  <si>
    <t xml:space="preserve">Date </t>
  </si>
  <si>
    <t>TreeID_2025</t>
  </si>
  <si>
    <t>Family</t>
  </si>
  <si>
    <t>genus</t>
  </si>
  <si>
    <t>specie</t>
  </si>
  <si>
    <t>altitude</t>
  </si>
  <si>
    <t>leaf 1, thickn 1</t>
  </si>
  <si>
    <t>leaf 1, thickn 2</t>
  </si>
  <si>
    <t>leaf 1, thickn 3</t>
  </si>
  <si>
    <t>leaf 2, thickn 1</t>
  </si>
  <si>
    <t>leaf 2, thickn 2</t>
  </si>
  <si>
    <t>leaf 2, thickn 3</t>
  </si>
  <si>
    <t>leaf 3, thickn 1</t>
  </si>
  <si>
    <t>leaf 3, thickn 2</t>
  </si>
  <si>
    <t>leaf 3, thickn 3</t>
  </si>
  <si>
    <t>mean_thickness_(mm)</t>
  </si>
  <si>
    <t># leaves scan</t>
  </si>
  <si>
    <t>compound</t>
  </si>
  <si>
    <t>Leaf dry weight (g)</t>
  </si>
  <si>
    <t>Leaf area (cm²)</t>
  </si>
  <si>
    <t>SLA</t>
  </si>
  <si>
    <t>Comment</t>
  </si>
  <si>
    <t>wood characteristics</t>
  </si>
  <si>
    <t>crust thickness</t>
  </si>
  <si>
    <t>wet lenght cm</t>
  </si>
  <si>
    <t>wet wood weight</t>
  </si>
  <si>
    <t>dry wood weight</t>
  </si>
  <si>
    <t>Galeras</t>
  </si>
  <si>
    <t>GAL_24</t>
  </si>
  <si>
    <t>A</t>
  </si>
  <si>
    <t>Clusiaceae</t>
  </si>
  <si>
    <t>Garcinia</t>
  </si>
  <si>
    <t>madruno</t>
  </si>
  <si>
    <t>B</t>
  </si>
  <si>
    <t>Lacistemataceae</t>
  </si>
  <si>
    <t>Lozania</t>
  </si>
  <si>
    <t>klugii</t>
  </si>
  <si>
    <t>indet</t>
  </si>
  <si>
    <t>mas 10 Nutrientes</t>
  </si>
  <si>
    <t>Moraceae</t>
  </si>
  <si>
    <t>Clarisia</t>
  </si>
  <si>
    <t>biflora</t>
  </si>
  <si>
    <t>Lecythidaceae</t>
  </si>
  <si>
    <t>Eschweilera</t>
  </si>
  <si>
    <t>caudiculata</t>
  </si>
  <si>
    <t>C</t>
  </si>
  <si>
    <t>Melastomataceae</t>
  </si>
  <si>
    <t>Phyllanthaceae</t>
  </si>
  <si>
    <t>Hieronyma</t>
  </si>
  <si>
    <t>asperifolia</t>
  </si>
  <si>
    <t>Elaeocarpaceae</t>
  </si>
  <si>
    <t>Sloanea</t>
  </si>
  <si>
    <t>grandiflora</t>
  </si>
  <si>
    <t>Caryocaraceae</t>
  </si>
  <si>
    <t>Caryocar</t>
  </si>
  <si>
    <t>glabrum</t>
  </si>
  <si>
    <t>D</t>
  </si>
  <si>
    <t>oblonga</t>
  </si>
  <si>
    <t>Rubiaceae</t>
  </si>
  <si>
    <t>GAL_48</t>
  </si>
  <si>
    <t>Brosimum</t>
  </si>
  <si>
    <t>lactescens</t>
  </si>
  <si>
    <t>Pseudolmedia</t>
  </si>
  <si>
    <t>laevis</t>
  </si>
  <si>
    <t>Helicostylis</t>
  </si>
  <si>
    <t>tomentosa</t>
  </si>
  <si>
    <t>Malpighiaceae</t>
  </si>
  <si>
    <t>Byrsonima</t>
  </si>
  <si>
    <t>Myrtaceae</t>
  </si>
  <si>
    <t>Calyptranthes</t>
  </si>
  <si>
    <t>Apocynaceae</t>
  </si>
  <si>
    <t>Lacmellea</t>
  </si>
  <si>
    <t>speciosa</t>
  </si>
  <si>
    <t>Naucleopsis</t>
  </si>
  <si>
    <t>ulei</t>
  </si>
  <si>
    <t>Sapotaceae</t>
  </si>
  <si>
    <t>Chrysophyllum</t>
  </si>
  <si>
    <t>sanguinolentum</t>
  </si>
  <si>
    <t>Chrysobalanaceae</t>
  </si>
  <si>
    <t>Parinari</t>
  </si>
  <si>
    <t>Annonaceae</t>
  </si>
  <si>
    <t>Guatteria</t>
  </si>
  <si>
    <t>gentryi</t>
  </si>
  <si>
    <t>GAL_22</t>
  </si>
  <si>
    <t>Myristicaceae</t>
  </si>
  <si>
    <t>Compsoneura</t>
  </si>
  <si>
    <t>capitellata</t>
  </si>
  <si>
    <t>Fabaceae</t>
  </si>
  <si>
    <t>Inga</t>
  </si>
  <si>
    <t>leiocalycina</t>
  </si>
  <si>
    <t>Virola</t>
  </si>
  <si>
    <t>calophylla</t>
  </si>
  <si>
    <t>Lauraceae</t>
  </si>
  <si>
    <t>Ocotea</t>
  </si>
  <si>
    <t>Abarema</t>
  </si>
  <si>
    <t>jupunba</t>
  </si>
  <si>
    <t>pavonis</t>
  </si>
  <si>
    <t>GAL_23</t>
  </si>
  <si>
    <t>marginata</t>
  </si>
  <si>
    <t>Tachigali</t>
  </si>
  <si>
    <t>Grias</t>
  </si>
  <si>
    <t>peruviana</t>
  </si>
  <si>
    <t>Pouteria</t>
  </si>
  <si>
    <t>multiflora</t>
  </si>
  <si>
    <t>Faramea</t>
  </si>
  <si>
    <t>phyllonomoides</t>
  </si>
  <si>
    <t>capitata</t>
  </si>
  <si>
    <t>venezuelanense</t>
  </si>
  <si>
    <t>Sorocea</t>
  </si>
  <si>
    <t>trophoides</t>
  </si>
  <si>
    <t>GAL_28</t>
  </si>
  <si>
    <t>Sapo 28</t>
  </si>
  <si>
    <t>sin escala</t>
  </si>
  <si>
    <t>Rosaceae</t>
  </si>
  <si>
    <t>Prunus</t>
  </si>
  <si>
    <t>opaca</t>
  </si>
  <si>
    <t>Diplotropis</t>
  </si>
  <si>
    <t>aff purpurea</t>
  </si>
  <si>
    <t>tovariensis</t>
  </si>
  <si>
    <t>20 pesadas, 22 escaneads</t>
  </si>
  <si>
    <t>Elaeagia</t>
  </si>
  <si>
    <t>mariae</t>
  </si>
  <si>
    <t>1.9-2.7</t>
  </si>
  <si>
    <t>Theaceae</t>
  </si>
  <si>
    <t>Gordonia</t>
  </si>
  <si>
    <t>fruticosa</t>
  </si>
  <si>
    <t>obovata</t>
  </si>
  <si>
    <t>subrutilans</t>
  </si>
  <si>
    <t>2.1-2.6</t>
  </si>
  <si>
    <t>Euphorbiaceae</t>
  </si>
  <si>
    <t>Chaetocarpus</t>
  </si>
  <si>
    <t>Urticaceae</t>
  </si>
  <si>
    <t>Pourouma</t>
  </si>
  <si>
    <t>minor</t>
  </si>
  <si>
    <t>pesadas 20 pero escaneadas 18. Peso de 18 = 19,35</t>
  </si>
  <si>
    <t>Rubi28</t>
  </si>
  <si>
    <t>GAL_50</t>
  </si>
  <si>
    <t>Ossaea</t>
  </si>
  <si>
    <t>laxivenula</t>
  </si>
  <si>
    <t>Licania</t>
  </si>
  <si>
    <t>micrantha</t>
  </si>
  <si>
    <t>Alchornea</t>
  </si>
  <si>
    <t>triplinervia</t>
  </si>
  <si>
    <t>Persea</t>
  </si>
  <si>
    <t>aff. pseudofasciculata</t>
  </si>
  <si>
    <t>Styracaceae</t>
  </si>
  <si>
    <t>Styrax</t>
  </si>
  <si>
    <t>cordatus</t>
  </si>
  <si>
    <t xml:space="preserve"> cf. longifolia</t>
  </si>
  <si>
    <t>Rutaceae</t>
  </si>
  <si>
    <t>Zanthoxylum</t>
  </si>
  <si>
    <t>melanostictum</t>
  </si>
  <si>
    <t>Simaroubaceae</t>
  </si>
  <si>
    <t>Simarouba</t>
  </si>
  <si>
    <t>amara</t>
  </si>
  <si>
    <t>Apo28</t>
  </si>
  <si>
    <t>20-21 eliminar 1 de escaneados</t>
  </si>
  <si>
    <t>GAL_60</t>
  </si>
  <si>
    <t>Ladenbergia</t>
  </si>
  <si>
    <t>acutifolia</t>
  </si>
  <si>
    <t>20 pesadas, escaneadas 17- Peso 17=11,91</t>
  </si>
  <si>
    <t>Calophyllaceae</t>
  </si>
  <si>
    <t>Marila</t>
  </si>
  <si>
    <t>11 escaneadas, 20 pesadas 11h=6,36</t>
  </si>
  <si>
    <t>16. Eliminar 1 escaneado. 17 escaneadas</t>
  </si>
  <si>
    <t>GAL_62</t>
  </si>
  <si>
    <t>Symplocaceae</t>
  </si>
  <si>
    <t>Symplocos</t>
  </si>
  <si>
    <t>cf guacamayensis</t>
  </si>
  <si>
    <t>Cunnoniaceae</t>
  </si>
  <si>
    <t>Weinmannia</t>
  </si>
  <si>
    <t>pinnata</t>
  </si>
  <si>
    <t>Tovomita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</si>
</sst>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/m/yyyy"/>
    <numFmt numFmtId="165" formatCode="0.000"/>
    <numFmt numFmtId="166" formatCode="d\.m"/>
    <numFmt numFmtId="167" formatCode="#,##0.00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b/>
      <sz val="10"/>
      <color theme="1"/>
      <name val="Arial"/>
    </font>
    <font>
      <sz val="11"/>
      <color theme="1"/>
      <name val="Arial"/>
    </font>
    <font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/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3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right"/>
    </xf>
    <xf numFmtId="0" fontId="3" fillId="6" borderId="1" xfId="0" applyFont="1" applyFill="1" applyBorder="1" applyAlignment="1"/>
    <xf numFmtId="0" fontId="4" fillId="6" borderId="1" xfId="0" applyFont="1" applyFill="1" applyBorder="1" applyAlignment="1"/>
    <xf numFmtId="0" fontId="5" fillId="6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6" fillId="6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/>
    <xf numFmtId="0" fontId="8" fillId="6" borderId="0" xfId="0" applyFont="1" applyFill="1"/>
    <xf numFmtId="0" fontId="9" fillId="0" borderId="1" xfId="0" applyFont="1" applyBorder="1" applyAlignme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164" fontId="10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9" fillId="0" borderId="1" xfId="0" applyFont="1" applyBorder="1" applyAlignment="1"/>
    <xf numFmtId="0" fontId="7" fillId="0" borderId="1" xfId="0" applyFont="1" applyBorder="1"/>
    <xf numFmtId="166" fontId="3" fillId="0" borderId="1" xfId="0" applyNumberFormat="1" applyFont="1" applyBorder="1" applyAlignment="1"/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vertical="top"/>
    </xf>
    <xf numFmtId="1" fontId="3" fillId="6" borderId="1" xfId="0" applyNumberFormat="1" applyFont="1" applyFill="1" applyBorder="1" applyAlignment="1">
      <alignment horizontal="left" vertical="top"/>
    </xf>
    <xf numFmtId="0" fontId="9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horizontal="right"/>
    </xf>
    <xf numFmtId="0" fontId="9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9" fillId="6" borderId="1" xfId="0" applyFont="1" applyFill="1" applyBorder="1" applyAlignment="1"/>
    <xf numFmtId="0" fontId="9" fillId="6" borderId="1" xfId="0" applyFont="1" applyFill="1" applyBorder="1" applyAlignme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8" fillId="0" borderId="0" xfId="0" applyFont="1"/>
    <xf numFmtId="0" fontId="3" fillId="0" borderId="1" xfId="0" applyFont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left"/>
    </xf>
    <xf numFmtId="164" fontId="10" fillId="6" borderId="1" xfId="0" applyNumberFormat="1" applyFont="1" applyFill="1" applyBorder="1" applyAlignment="1">
      <alignment horizontal="center"/>
    </xf>
    <xf numFmtId="4" fontId="9" fillId="0" borderId="1" xfId="0" applyNumberFormat="1" applyFont="1" applyBorder="1" applyAlignment="1"/>
    <xf numFmtId="4" fontId="11" fillId="0" borderId="1" xfId="0" applyNumberFormat="1" applyFont="1" applyBorder="1" applyAlignment="1"/>
    <xf numFmtId="164" fontId="10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4" fontId="9" fillId="0" borderId="1" xfId="0" applyNumberFormat="1" applyFont="1" applyBorder="1" applyAlignment="1"/>
    <xf numFmtId="0" fontId="7" fillId="8" borderId="1" xfId="0" applyFont="1" applyFill="1" applyBorder="1" applyAlignment="1">
      <alignment horizontal="right"/>
    </xf>
    <xf numFmtId="4" fontId="4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/>
    <xf numFmtId="2" fontId="3" fillId="0" borderId="1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/>
    </xf>
    <xf numFmtId="2" fontId="9" fillId="0" borderId="1" xfId="0" applyNumberFormat="1" applyFont="1" applyBorder="1" applyAlignment="1"/>
    <xf numFmtId="165" fontId="3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right"/>
    </xf>
    <xf numFmtId="0" fontId="7" fillId="9" borderId="1" xfId="0" applyFont="1" applyFill="1" applyBorder="1" applyAlignment="1">
      <alignment horizontal="right"/>
    </xf>
    <xf numFmtId="0" fontId="8" fillId="0" borderId="1" xfId="0" applyFont="1" applyBorder="1"/>
    <xf numFmtId="0" fontId="3" fillId="0" borderId="1" xfId="0" applyFont="1" applyBorder="1" applyAlignment="1">
      <alignment horizontal="right"/>
    </xf>
    <xf numFmtId="0" fontId="9" fillId="0" borderId="1" xfId="0" applyFont="1" applyBorder="1" applyAlignment="1"/>
    <xf numFmtId="2" fontId="6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vertical="top"/>
    </xf>
    <xf numFmtId="167" fontId="7" fillId="0" borderId="1" xfId="0" applyNumberFormat="1" applyFont="1" applyBorder="1" applyAlignment="1">
      <alignment horizontal="right"/>
    </xf>
    <xf numFmtId="2" fontId="9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horizontal="right"/>
    </xf>
    <xf numFmtId="2" fontId="9" fillId="6" borderId="1" xfId="0" applyNumberFormat="1" applyFont="1" applyFill="1" applyBorder="1" applyAlignment="1">
      <alignment vertical="top"/>
    </xf>
    <xf numFmtId="165" fontId="3" fillId="6" borderId="1" xfId="0" applyNumberFormat="1" applyFont="1" applyFill="1" applyBorder="1" applyAlignment="1">
      <alignment horizontal="right" wrapText="1"/>
    </xf>
    <xf numFmtId="3" fontId="7" fillId="0" borderId="1" xfId="0" applyNumberFormat="1" applyFont="1" applyBorder="1" applyAlignment="1">
      <alignment horizontal="right"/>
    </xf>
    <xf numFmtId="2" fontId="9" fillId="6" borderId="1" xfId="0" applyNumberFormat="1" applyFont="1" applyFill="1" applyBorder="1" applyAlignment="1"/>
    <xf numFmtId="2" fontId="3" fillId="6" borderId="1" xfId="0" applyNumberFormat="1" applyFont="1" applyFill="1" applyBorder="1" applyAlignme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8" fillId="0" borderId="0" xfId="0" applyNumberFormat="1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4" fontId="8" fillId="0" borderId="0" xfId="0" applyNumberFormat="1" applyFont="1"/>
    <xf numFmtId="4" fontId="3" fillId="0" borderId="0" xfId="0" applyNumberFormat="1" applyFont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G989"/>
  <sheetViews>
    <sheetView tabSelected="1" workbookViewId="0">
      <pane xSplit="6" ySplit="1" topLeftCell="M2" activePane="bottomRight" state="frozen"/>
      <selection pane="topRight" activeCell="G1" sqref="G1"/>
      <selection pane="bottomLeft" activeCell="A2" sqref="A2"/>
      <selection pane="bottomRight" activeCell="V7" sqref="V7"/>
    </sheetView>
  </sheetViews>
  <sheetFormatPr baseColWidth="10" defaultColWidth="12.5703125" defaultRowHeight="15" customHeight="1" x14ac:dyDescent="0.2"/>
  <cols>
    <col min="1" max="1" width="7" customWidth="1"/>
    <col min="4" max="4" width="5.140625" customWidth="1"/>
    <col min="6" max="6" width="10.28515625" customWidth="1"/>
    <col min="7" max="7" width="16.140625" customWidth="1"/>
    <col min="8" max="8" width="16.7109375" customWidth="1"/>
    <col min="9" max="10" width="10.140625" customWidth="1"/>
    <col min="11" max="11" width="9.7109375" customWidth="1"/>
    <col min="12" max="12" width="10" customWidth="1"/>
    <col min="13" max="14" width="10.42578125" customWidth="1"/>
    <col min="15" max="15" width="10" customWidth="1"/>
    <col min="16" max="17" width="10.140625" customWidth="1"/>
    <col min="18" max="19" width="9.7109375" customWidth="1"/>
    <col min="22" max="22" width="12.85546875" customWidth="1"/>
    <col min="23" max="23" width="13.140625" customWidth="1"/>
    <col min="24" max="25" width="12.85546875" customWidth="1"/>
  </cols>
  <sheetData>
    <row r="1" spans="1:33" ht="30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8" t="s">
        <v>21</v>
      </c>
      <c r="W1" s="4" t="s">
        <v>22</v>
      </c>
      <c r="X1" s="9" t="s">
        <v>23</v>
      </c>
      <c r="Y1" s="10" t="s">
        <v>24</v>
      </c>
      <c r="AA1" s="1" t="s">
        <v>25</v>
      </c>
      <c r="AB1" s="11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3"/>
    </row>
    <row r="2" spans="1:33" ht="15.75" customHeight="1" x14ac:dyDescent="0.25">
      <c r="A2" s="14">
        <v>24</v>
      </c>
      <c r="B2" s="15" t="s">
        <v>31</v>
      </c>
      <c r="C2" s="16" t="s">
        <v>32</v>
      </c>
      <c r="D2" s="15" t="s">
        <v>33</v>
      </c>
      <c r="E2" s="17">
        <v>45665</v>
      </c>
      <c r="F2" s="18">
        <v>8633</v>
      </c>
      <c r="G2" s="19" t="s">
        <v>34</v>
      </c>
      <c r="H2" s="19" t="s">
        <v>35</v>
      </c>
      <c r="I2" s="19" t="s">
        <v>36</v>
      </c>
      <c r="J2" s="16">
        <v>1450</v>
      </c>
      <c r="K2" s="20">
        <v>0.3</v>
      </c>
      <c r="L2" s="20">
        <v>0.246</v>
      </c>
      <c r="M2" s="20">
        <v>0.23899999999999999</v>
      </c>
      <c r="N2" s="20">
        <v>0.251</v>
      </c>
      <c r="O2" s="20">
        <v>0.24399999999999999</v>
      </c>
      <c r="P2" s="20">
        <v>0.223</v>
      </c>
      <c r="Q2" s="20">
        <v>0.158</v>
      </c>
      <c r="R2" s="20">
        <v>0.14299999999999999</v>
      </c>
      <c r="S2" s="20">
        <v>0.158</v>
      </c>
      <c r="T2" s="21">
        <f t="shared" ref="T2:T11" si="0">AVERAGE(K2:R2)</f>
        <v>0.22550000000000001</v>
      </c>
      <c r="U2" s="21">
        <v>20</v>
      </c>
      <c r="V2" s="22"/>
      <c r="W2" s="21">
        <v>17.47</v>
      </c>
      <c r="X2" s="23">
        <v>1568.87</v>
      </c>
      <c r="Y2" s="22">
        <f t="shared" ref="Y2:Y79" si="1">X2/W2</f>
        <v>89.803663423010875</v>
      </c>
      <c r="AA2" s="24"/>
      <c r="AB2" s="25"/>
      <c r="AC2" s="26">
        <v>0.1</v>
      </c>
      <c r="AD2" s="26">
        <v>6.4</v>
      </c>
      <c r="AE2" s="26">
        <v>1.66</v>
      </c>
      <c r="AF2" s="26">
        <v>0.86</v>
      </c>
    </row>
    <row r="3" spans="1:33" ht="15.75" customHeight="1" x14ac:dyDescent="0.25">
      <c r="A3" s="14">
        <v>24</v>
      </c>
      <c r="B3" s="15" t="s">
        <v>31</v>
      </c>
      <c r="C3" s="16" t="s">
        <v>32</v>
      </c>
      <c r="D3" s="15" t="s">
        <v>37</v>
      </c>
      <c r="E3" s="17">
        <v>45665</v>
      </c>
      <c r="F3" s="18">
        <v>8639</v>
      </c>
      <c r="G3" s="19" t="s">
        <v>38</v>
      </c>
      <c r="H3" s="19" t="s">
        <v>39</v>
      </c>
      <c r="I3" s="19" t="s">
        <v>40</v>
      </c>
      <c r="J3" s="27">
        <v>1450</v>
      </c>
      <c r="K3" s="20">
        <v>0.129</v>
      </c>
      <c r="L3" s="20">
        <v>0.106</v>
      </c>
      <c r="M3" s="20">
        <v>7.3999999999999996E-2</v>
      </c>
      <c r="N3" s="20">
        <v>9.9000000000000005E-2</v>
      </c>
      <c r="O3" s="20">
        <v>7.3999999999999996E-2</v>
      </c>
      <c r="P3" s="20">
        <v>6.4000000000000001E-2</v>
      </c>
      <c r="Q3" s="20">
        <v>9.1999999999999998E-2</v>
      </c>
      <c r="R3" s="20">
        <v>9.8000000000000004E-2</v>
      </c>
      <c r="S3" s="20">
        <v>6.5000000000000002E-2</v>
      </c>
      <c r="T3" s="21">
        <f t="shared" si="0"/>
        <v>9.1999999999999998E-2</v>
      </c>
      <c r="U3" s="21">
        <v>20</v>
      </c>
      <c r="V3" s="22"/>
      <c r="W3" s="21">
        <v>10.220000000000001</v>
      </c>
      <c r="X3" s="23">
        <v>1594.462</v>
      </c>
      <c r="Y3" s="22">
        <f t="shared" si="1"/>
        <v>156.01389432485323</v>
      </c>
      <c r="AA3" s="24"/>
      <c r="AB3" s="25"/>
      <c r="AC3" s="26">
        <v>0.3</v>
      </c>
      <c r="AD3" s="26">
        <v>8.1</v>
      </c>
      <c r="AE3" s="26">
        <v>2.02</v>
      </c>
      <c r="AF3" s="26">
        <v>0.84</v>
      </c>
    </row>
    <row r="4" spans="1:33" ht="15.75" customHeight="1" x14ac:dyDescent="0.25">
      <c r="A4" s="14">
        <v>24</v>
      </c>
      <c r="B4" s="15" t="s">
        <v>31</v>
      </c>
      <c r="C4" s="16" t="s">
        <v>32</v>
      </c>
      <c r="D4" s="15" t="s">
        <v>37</v>
      </c>
      <c r="E4" s="17">
        <v>45665</v>
      </c>
      <c r="F4" s="18">
        <v>8640</v>
      </c>
      <c r="G4" s="15" t="s">
        <v>41</v>
      </c>
      <c r="H4" s="28"/>
      <c r="I4" s="28"/>
      <c r="J4" s="16">
        <v>1450</v>
      </c>
      <c r="K4" s="20">
        <v>0.14799999999999999</v>
      </c>
      <c r="L4" s="20">
        <v>0.14799999999999999</v>
      </c>
      <c r="M4" s="20">
        <v>0.13100000000000001</v>
      </c>
      <c r="N4" s="20">
        <v>0.14799999999999999</v>
      </c>
      <c r="O4" s="20">
        <v>0.14299999999999999</v>
      </c>
      <c r="P4" s="20">
        <v>0.158</v>
      </c>
      <c r="Q4" s="20">
        <v>0.17799999999999999</v>
      </c>
      <c r="R4" s="20">
        <v>0.16800000000000001</v>
      </c>
      <c r="S4" s="20">
        <v>0.13800000000000001</v>
      </c>
      <c r="T4" s="21">
        <f t="shared" si="0"/>
        <v>0.15275</v>
      </c>
      <c r="U4" s="21">
        <v>20</v>
      </c>
      <c r="V4" s="22"/>
      <c r="W4" s="21">
        <v>9.0299999999999994</v>
      </c>
      <c r="X4" s="23">
        <v>645.06399999999996</v>
      </c>
      <c r="Y4" s="22">
        <f t="shared" si="1"/>
        <v>71.435658914728677</v>
      </c>
      <c r="AA4" s="29" t="s">
        <v>42</v>
      </c>
      <c r="AB4" s="25"/>
      <c r="AC4" s="26">
        <v>0.2</v>
      </c>
      <c r="AD4" s="26">
        <v>5.4</v>
      </c>
      <c r="AE4" s="26">
        <v>1.25</v>
      </c>
      <c r="AF4" s="26">
        <v>0.42</v>
      </c>
    </row>
    <row r="5" spans="1:33" ht="15.75" customHeight="1" x14ac:dyDescent="0.25">
      <c r="A5" s="14">
        <v>24</v>
      </c>
      <c r="B5" s="15" t="s">
        <v>31</v>
      </c>
      <c r="C5" s="16" t="s">
        <v>32</v>
      </c>
      <c r="D5" s="15" t="s">
        <v>37</v>
      </c>
      <c r="E5" s="17">
        <v>45665</v>
      </c>
      <c r="F5" s="18">
        <v>8641</v>
      </c>
      <c r="G5" s="19" t="s">
        <v>43</v>
      </c>
      <c r="H5" s="19" t="s">
        <v>44</v>
      </c>
      <c r="I5" s="19" t="s">
        <v>45</v>
      </c>
      <c r="J5" s="27">
        <v>1450</v>
      </c>
      <c r="K5" s="20">
        <v>0.16</v>
      </c>
      <c r="L5" s="20">
        <v>0.17</v>
      </c>
      <c r="M5" s="20">
        <v>0.16</v>
      </c>
      <c r="N5" s="20">
        <v>0.18</v>
      </c>
      <c r="O5" s="20">
        <v>0.18</v>
      </c>
      <c r="P5" s="20">
        <v>0.19</v>
      </c>
      <c r="Q5" s="20">
        <v>0.18</v>
      </c>
      <c r="R5" s="20">
        <v>0.19</v>
      </c>
      <c r="S5" s="20">
        <v>0.18</v>
      </c>
      <c r="T5" s="21">
        <f t="shared" si="0"/>
        <v>0.17624999999999996</v>
      </c>
      <c r="U5" s="21">
        <v>20</v>
      </c>
      <c r="V5" s="22"/>
      <c r="W5" s="21">
        <v>11.94</v>
      </c>
      <c r="X5" s="23">
        <v>1402.9359999999999</v>
      </c>
      <c r="Y5" s="22">
        <f t="shared" si="1"/>
        <v>117.49882747068676</v>
      </c>
      <c r="AA5" s="24"/>
      <c r="AB5" s="25"/>
      <c r="AC5" s="26">
        <v>0.3</v>
      </c>
      <c r="AD5" s="26">
        <v>7.3</v>
      </c>
      <c r="AE5" s="26">
        <v>1.81</v>
      </c>
      <c r="AF5" s="26">
        <v>1</v>
      </c>
    </row>
    <row r="6" spans="1:33" ht="15.75" customHeight="1" x14ac:dyDescent="0.25">
      <c r="A6" s="14">
        <v>24</v>
      </c>
      <c r="B6" s="15" t="s">
        <v>31</v>
      </c>
      <c r="C6" s="16" t="s">
        <v>32</v>
      </c>
      <c r="D6" s="15" t="s">
        <v>37</v>
      </c>
      <c r="E6" s="17">
        <v>45665</v>
      </c>
      <c r="F6" s="18">
        <v>8642</v>
      </c>
      <c r="G6" s="19" t="s">
        <v>46</v>
      </c>
      <c r="H6" s="19" t="s">
        <v>47</v>
      </c>
      <c r="I6" s="19" t="s">
        <v>48</v>
      </c>
      <c r="J6" s="16">
        <v>1450</v>
      </c>
      <c r="K6" s="20">
        <v>0.17</v>
      </c>
      <c r="L6" s="20">
        <v>0.17</v>
      </c>
      <c r="M6" s="20">
        <v>0.17</v>
      </c>
      <c r="N6" s="20">
        <v>0.18</v>
      </c>
      <c r="O6" s="20">
        <v>0.18</v>
      </c>
      <c r="P6" s="20">
        <v>0.17</v>
      </c>
      <c r="Q6" s="20">
        <v>0.17</v>
      </c>
      <c r="R6" s="20">
        <v>0.18</v>
      </c>
      <c r="S6" s="20">
        <v>0.19</v>
      </c>
      <c r="T6" s="21">
        <f t="shared" si="0"/>
        <v>0.17374999999999996</v>
      </c>
      <c r="U6" s="21">
        <v>20</v>
      </c>
      <c r="V6" s="22"/>
      <c r="W6" s="21">
        <v>5.0599999999999996</v>
      </c>
      <c r="X6" s="23">
        <v>541.49400000000003</v>
      </c>
      <c r="Y6" s="22">
        <f t="shared" si="1"/>
        <v>107.01462450592886</v>
      </c>
      <c r="AA6" s="24"/>
      <c r="AB6" s="25"/>
      <c r="AC6" s="26">
        <v>0.5</v>
      </c>
      <c r="AD6" s="26">
        <v>7.7</v>
      </c>
      <c r="AE6" s="26">
        <v>2.04</v>
      </c>
      <c r="AF6" s="26">
        <v>1.1399999999999999</v>
      </c>
    </row>
    <row r="7" spans="1:33" ht="15.75" customHeight="1" x14ac:dyDescent="0.25">
      <c r="A7" s="14">
        <v>24</v>
      </c>
      <c r="B7" s="15" t="s">
        <v>31</v>
      </c>
      <c r="C7" s="16" t="s">
        <v>32</v>
      </c>
      <c r="D7" s="15" t="s">
        <v>49</v>
      </c>
      <c r="E7" s="17">
        <v>45665</v>
      </c>
      <c r="F7" s="18">
        <v>8643</v>
      </c>
      <c r="G7" s="30" t="s">
        <v>50</v>
      </c>
      <c r="H7" s="28"/>
      <c r="I7" s="28"/>
      <c r="J7" s="27">
        <v>1450</v>
      </c>
      <c r="K7" s="20">
        <v>0.28000000000000003</v>
      </c>
      <c r="L7" s="20">
        <v>0.3</v>
      </c>
      <c r="M7" s="20">
        <v>0.28000000000000003</v>
      </c>
      <c r="N7" s="20">
        <v>0.26</v>
      </c>
      <c r="O7" s="20">
        <v>0.27</v>
      </c>
      <c r="P7" s="20">
        <v>0.26</v>
      </c>
      <c r="Q7" s="20">
        <v>0.26</v>
      </c>
      <c r="R7" s="20">
        <v>0.23</v>
      </c>
      <c r="S7" s="20">
        <v>0.255</v>
      </c>
      <c r="T7" s="21">
        <f t="shared" si="0"/>
        <v>0.26750000000000002</v>
      </c>
      <c r="U7" s="21">
        <v>20</v>
      </c>
      <c r="V7" s="22"/>
      <c r="W7" s="21">
        <v>19.54</v>
      </c>
      <c r="X7" s="23">
        <v>1739.6310000000001</v>
      </c>
      <c r="Y7" s="22">
        <f t="shared" si="1"/>
        <v>89.029222108495404</v>
      </c>
      <c r="AA7" s="24"/>
      <c r="AB7" s="25"/>
      <c r="AC7" s="26">
        <v>0.4</v>
      </c>
      <c r="AD7" s="26">
        <v>7.8</v>
      </c>
      <c r="AE7" s="26">
        <v>2.09</v>
      </c>
      <c r="AF7" s="26">
        <v>0.9</v>
      </c>
    </row>
    <row r="8" spans="1:33" ht="15.75" customHeight="1" x14ac:dyDescent="0.25">
      <c r="A8" s="14">
        <v>24</v>
      </c>
      <c r="B8" s="15" t="s">
        <v>31</v>
      </c>
      <c r="C8" s="16" t="s">
        <v>32</v>
      </c>
      <c r="D8" s="15" t="s">
        <v>49</v>
      </c>
      <c r="E8" s="17">
        <v>45665</v>
      </c>
      <c r="F8" s="18">
        <v>8644</v>
      </c>
      <c r="G8" s="31" t="s">
        <v>51</v>
      </c>
      <c r="H8" s="19" t="s">
        <v>52</v>
      </c>
      <c r="I8" s="19" t="s">
        <v>53</v>
      </c>
      <c r="J8" s="16">
        <v>1450</v>
      </c>
      <c r="K8" s="20">
        <v>0.28000000000000003</v>
      </c>
      <c r="L8" s="20">
        <v>0.28000000000000003</v>
      </c>
      <c r="M8" s="20">
        <v>0.28999999999999998</v>
      </c>
      <c r="N8" s="20">
        <v>0.34</v>
      </c>
      <c r="O8" s="20">
        <v>0.34</v>
      </c>
      <c r="P8" s="20">
        <v>0.32</v>
      </c>
      <c r="Q8" s="20">
        <v>0.34</v>
      </c>
      <c r="R8" s="20">
        <v>0.34</v>
      </c>
      <c r="S8" s="20">
        <v>0.34</v>
      </c>
      <c r="T8" s="21">
        <f t="shared" si="0"/>
        <v>0.31625000000000003</v>
      </c>
      <c r="U8" s="21">
        <v>20</v>
      </c>
      <c r="V8" s="22"/>
      <c r="W8" s="21">
        <v>29.2</v>
      </c>
      <c r="X8" s="23">
        <v>2676.7910000000002</v>
      </c>
      <c r="Y8" s="22">
        <f t="shared" si="1"/>
        <v>91.670924657534258</v>
      </c>
      <c r="AA8" s="24"/>
      <c r="AB8" s="25"/>
      <c r="AC8" s="26">
        <v>0.4</v>
      </c>
      <c r="AD8" s="26">
        <v>6.9</v>
      </c>
      <c r="AE8" s="26">
        <v>1.67</v>
      </c>
      <c r="AF8" s="26">
        <v>0.88</v>
      </c>
    </row>
    <row r="9" spans="1:33" ht="15.75" customHeight="1" x14ac:dyDescent="0.25">
      <c r="A9" s="14">
        <v>24</v>
      </c>
      <c r="B9" s="15" t="s">
        <v>31</v>
      </c>
      <c r="C9" s="16" t="s">
        <v>32</v>
      </c>
      <c r="D9" s="15" t="s">
        <v>49</v>
      </c>
      <c r="E9" s="17">
        <v>45665</v>
      </c>
      <c r="F9" s="18">
        <v>8649</v>
      </c>
      <c r="G9" s="19" t="s">
        <v>54</v>
      </c>
      <c r="H9" s="19" t="s">
        <v>55</v>
      </c>
      <c r="I9" s="19" t="s">
        <v>56</v>
      </c>
      <c r="J9" s="27">
        <v>1450</v>
      </c>
      <c r="K9" s="20">
        <v>0.21</v>
      </c>
      <c r="L9" s="20">
        <v>0.21</v>
      </c>
      <c r="M9" s="20">
        <v>0.2</v>
      </c>
      <c r="N9" s="20">
        <v>0.23</v>
      </c>
      <c r="O9" s="20">
        <v>0.21</v>
      </c>
      <c r="P9" s="20">
        <v>0.2</v>
      </c>
      <c r="Q9" s="20">
        <v>0.21</v>
      </c>
      <c r="R9" s="20">
        <v>0.2</v>
      </c>
      <c r="S9" s="20">
        <v>0.21</v>
      </c>
      <c r="T9" s="21">
        <f t="shared" si="0"/>
        <v>0.20874999999999999</v>
      </c>
      <c r="U9" s="21">
        <v>20</v>
      </c>
      <c r="V9" s="22"/>
      <c r="W9" s="21">
        <v>15.44</v>
      </c>
      <c r="X9" s="23">
        <v>1617.663</v>
      </c>
      <c r="Y9" s="22">
        <f t="shared" si="1"/>
        <v>104.77091968911917</v>
      </c>
      <c r="AA9" s="24"/>
      <c r="AB9" s="25"/>
      <c r="AC9" s="26">
        <v>0.3</v>
      </c>
      <c r="AD9" s="26">
        <v>6.7</v>
      </c>
      <c r="AE9" s="26">
        <v>1.21</v>
      </c>
      <c r="AF9" s="26">
        <v>0.31</v>
      </c>
    </row>
    <row r="10" spans="1:33" ht="15.75" customHeight="1" x14ac:dyDescent="0.25">
      <c r="A10" s="14">
        <v>24</v>
      </c>
      <c r="B10" s="15" t="s">
        <v>31</v>
      </c>
      <c r="C10" s="16" t="s">
        <v>32</v>
      </c>
      <c r="D10" s="15" t="s">
        <v>49</v>
      </c>
      <c r="E10" s="17">
        <v>45665</v>
      </c>
      <c r="F10" s="18">
        <v>8651</v>
      </c>
      <c r="G10" s="19" t="s">
        <v>57</v>
      </c>
      <c r="H10" s="19" t="s">
        <v>58</v>
      </c>
      <c r="I10" s="19" t="s">
        <v>59</v>
      </c>
      <c r="J10" s="16">
        <v>1450</v>
      </c>
      <c r="K10" s="20">
        <v>0.14000000000000001</v>
      </c>
      <c r="L10" s="20">
        <v>0.14000000000000001</v>
      </c>
      <c r="M10" s="20">
        <v>0.12</v>
      </c>
      <c r="N10" s="20">
        <v>0.16</v>
      </c>
      <c r="O10" s="20">
        <v>0.15</v>
      </c>
      <c r="P10" s="20">
        <v>0.16</v>
      </c>
      <c r="Q10" s="20">
        <v>0.14000000000000001</v>
      </c>
      <c r="R10" s="20">
        <v>0.15</v>
      </c>
      <c r="S10" s="20">
        <v>0.17</v>
      </c>
      <c r="T10" s="21">
        <f t="shared" si="0"/>
        <v>0.14500000000000002</v>
      </c>
      <c r="U10" s="21">
        <v>11</v>
      </c>
      <c r="V10" s="22"/>
      <c r="W10" s="21">
        <v>30.3</v>
      </c>
      <c r="X10" s="23">
        <v>3745.9009999999998</v>
      </c>
      <c r="Y10" s="22">
        <f t="shared" si="1"/>
        <v>123.62709570957095</v>
      </c>
      <c r="AA10" s="24"/>
      <c r="AB10" s="25"/>
      <c r="AC10" s="26">
        <v>0.4</v>
      </c>
      <c r="AD10" s="26">
        <v>5.6</v>
      </c>
      <c r="AE10" s="26">
        <v>1.5</v>
      </c>
      <c r="AF10" s="26">
        <v>0.63</v>
      </c>
    </row>
    <row r="11" spans="1:33" ht="15.75" customHeight="1" x14ac:dyDescent="0.25">
      <c r="A11" s="14">
        <v>24</v>
      </c>
      <c r="B11" s="15" t="s">
        <v>31</v>
      </c>
      <c r="C11" s="16" t="s">
        <v>32</v>
      </c>
      <c r="D11" s="15" t="s">
        <v>60</v>
      </c>
      <c r="E11" s="17">
        <v>45665</v>
      </c>
      <c r="F11" s="18">
        <v>8654</v>
      </c>
      <c r="G11" s="31" t="s">
        <v>51</v>
      </c>
      <c r="H11" s="19" t="s">
        <v>52</v>
      </c>
      <c r="I11" s="19" t="s">
        <v>61</v>
      </c>
      <c r="J11" s="27">
        <v>1450</v>
      </c>
      <c r="K11" s="20">
        <v>0.14799999999999999</v>
      </c>
      <c r="L11" s="20">
        <v>0.129</v>
      </c>
      <c r="M11" s="20">
        <v>0.13900000000000001</v>
      </c>
      <c r="N11" s="20">
        <v>0.13800000000000001</v>
      </c>
      <c r="O11" s="20">
        <v>0.129</v>
      </c>
      <c r="P11" s="20">
        <v>0.13800000000000001</v>
      </c>
      <c r="Q11" s="20">
        <v>0.13</v>
      </c>
      <c r="R11" s="20">
        <v>0.125</v>
      </c>
      <c r="S11" s="20">
        <v>0.13300000000000001</v>
      </c>
      <c r="T11" s="21">
        <f t="shared" si="0"/>
        <v>0.13450000000000001</v>
      </c>
      <c r="U11" s="21">
        <v>20</v>
      </c>
      <c r="V11" s="22"/>
      <c r="W11" s="21">
        <v>7.59</v>
      </c>
      <c r="X11" s="23">
        <v>1200.875</v>
      </c>
      <c r="Y11" s="22">
        <f t="shared" si="1"/>
        <v>158.21805006587616</v>
      </c>
      <c r="AA11" s="24"/>
      <c r="AB11" s="25"/>
      <c r="AC11" s="26">
        <v>0.5</v>
      </c>
      <c r="AD11" s="26">
        <v>6.1</v>
      </c>
      <c r="AE11" s="26">
        <v>1.48</v>
      </c>
      <c r="AF11" s="26">
        <v>0.68</v>
      </c>
    </row>
    <row r="12" spans="1:33" ht="15.75" customHeight="1" x14ac:dyDescent="0.25">
      <c r="A12" s="32">
        <v>24</v>
      </c>
      <c r="B12" s="33" t="s">
        <v>31</v>
      </c>
      <c r="C12" s="34" t="s">
        <v>32</v>
      </c>
      <c r="D12" s="33" t="s">
        <v>60</v>
      </c>
      <c r="E12" s="17">
        <v>45665</v>
      </c>
      <c r="F12" s="35">
        <v>8656</v>
      </c>
      <c r="G12" s="33" t="s">
        <v>62</v>
      </c>
      <c r="H12" s="33" t="s">
        <v>41</v>
      </c>
      <c r="I12" s="36"/>
      <c r="J12" s="16">
        <v>1450</v>
      </c>
      <c r="K12" s="37"/>
      <c r="L12" s="37"/>
      <c r="M12" s="37"/>
      <c r="N12" s="37"/>
      <c r="O12" s="37"/>
      <c r="P12" s="37"/>
      <c r="Q12" s="37"/>
      <c r="R12" s="37"/>
      <c r="S12" s="37"/>
      <c r="T12" s="21"/>
      <c r="U12" s="38">
        <v>20</v>
      </c>
      <c r="V12" s="39"/>
      <c r="W12" s="38">
        <v>3.83</v>
      </c>
      <c r="X12" s="23">
        <v>1001.673</v>
      </c>
      <c r="Y12" s="22">
        <f t="shared" si="1"/>
        <v>261.53342036553522</v>
      </c>
      <c r="AA12" s="40"/>
      <c r="AB12" s="41"/>
      <c r="AC12" s="42">
        <v>0.2</v>
      </c>
      <c r="AD12" s="42">
        <v>6.5</v>
      </c>
      <c r="AE12" s="42">
        <v>1.75</v>
      </c>
      <c r="AF12" s="42">
        <v>0.9</v>
      </c>
      <c r="AG12" s="43"/>
    </row>
    <row r="13" spans="1:33" ht="15.75" customHeight="1" x14ac:dyDescent="0.25">
      <c r="A13" s="14">
        <v>48</v>
      </c>
      <c r="B13" s="15" t="s">
        <v>31</v>
      </c>
      <c r="C13" s="16" t="s">
        <v>63</v>
      </c>
      <c r="D13" s="15" t="s">
        <v>33</v>
      </c>
      <c r="E13" s="17">
        <v>45666</v>
      </c>
      <c r="F13" s="18">
        <v>8658</v>
      </c>
      <c r="G13" s="28" t="s">
        <v>43</v>
      </c>
      <c r="H13" s="28" t="s">
        <v>64</v>
      </c>
      <c r="I13" s="28" t="s">
        <v>65</v>
      </c>
      <c r="J13" s="16">
        <v>1130</v>
      </c>
      <c r="K13" s="20">
        <v>0.13400000000000001</v>
      </c>
      <c r="L13" s="20">
        <v>0.151</v>
      </c>
      <c r="M13" s="20">
        <v>0.13500000000000001</v>
      </c>
      <c r="N13" s="20">
        <v>0.126</v>
      </c>
      <c r="O13" s="20">
        <v>0.113</v>
      </c>
      <c r="P13" s="20">
        <v>0.10199999999999999</v>
      </c>
      <c r="Q13" s="20">
        <v>0.11899999999999999</v>
      </c>
      <c r="R13" s="20">
        <v>0.105</v>
      </c>
      <c r="S13" s="20">
        <v>0.11600000000000001</v>
      </c>
      <c r="T13" s="21">
        <f t="shared" ref="T13:T79" si="2">AVERAGE(K13:R13)</f>
        <v>0.123125</v>
      </c>
      <c r="U13" s="21">
        <v>20</v>
      </c>
      <c r="V13" s="44"/>
      <c r="W13" s="21">
        <v>11.74</v>
      </c>
      <c r="X13" s="23">
        <v>1401.106</v>
      </c>
      <c r="Y13" s="22">
        <f t="shared" si="1"/>
        <v>119.34463373083474</v>
      </c>
      <c r="AA13" s="24"/>
      <c r="AB13" s="25"/>
      <c r="AC13" s="26">
        <v>0.1</v>
      </c>
      <c r="AD13" s="26">
        <v>6.1</v>
      </c>
      <c r="AE13" s="26">
        <v>1.51</v>
      </c>
      <c r="AF13" s="26">
        <v>0.85</v>
      </c>
    </row>
    <row r="14" spans="1:33" ht="15.75" customHeight="1" x14ac:dyDescent="0.25">
      <c r="A14" s="14">
        <v>48</v>
      </c>
      <c r="B14" s="15" t="s">
        <v>31</v>
      </c>
      <c r="C14" s="45" t="s">
        <v>63</v>
      </c>
      <c r="D14" s="15" t="s">
        <v>33</v>
      </c>
      <c r="E14" s="17">
        <v>45666</v>
      </c>
      <c r="F14" s="18">
        <v>8663</v>
      </c>
      <c r="G14" s="15" t="s">
        <v>41</v>
      </c>
      <c r="H14" s="28"/>
      <c r="I14" s="28"/>
      <c r="J14" s="16">
        <v>1130</v>
      </c>
      <c r="K14" s="20">
        <v>0.15</v>
      </c>
      <c r="L14" s="20">
        <v>0.15</v>
      </c>
      <c r="M14" s="20">
        <v>0.15</v>
      </c>
      <c r="N14" s="20">
        <v>0.18</v>
      </c>
      <c r="O14" s="20">
        <v>0.18</v>
      </c>
      <c r="P14" s="20">
        <v>0.16</v>
      </c>
      <c r="Q14" s="20">
        <v>0.16</v>
      </c>
      <c r="R14" s="20">
        <v>0.16</v>
      </c>
      <c r="S14" s="20">
        <v>0.15</v>
      </c>
      <c r="T14" s="21">
        <f t="shared" si="2"/>
        <v>0.16124999999999998</v>
      </c>
      <c r="U14" s="21">
        <v>20</v>
      </c>
      <c r="V14" s="22"/>
      <c r="W14" s="21">
        <v>20.03</v>
      </c>
      <c r="X14" s="23">
        <v>3828.73</v>
      </c>
      <c r="Y14" s="22">
        <f t="shared" si="1"/>
        <v>191.14977533699451</v>
      </c>
      <c r="AA14" s="24"/>
      <c r="AB14" s="25"/>
      <c r="AC14" s="26">
        <v>0.4</v>
      </c>
      <c r="AD14" s="26">
        <v>5.0999999999999996</v>
      </c>
      <c r="AE14" s="26">
        <v>1.4</v>
      </c>
      <c r="AF14" s="26">
        <v>0.69</v>
      </c>
    </row>
    <row r="15" spans="1:33" ht="15.75" customHeight="1" x14ac:dyDescent="0.25">
      <c r="A15" s="14">
        <v>48</v>
      </c>
      <c r="B15" s="15" t="s">
        <v>31</v>
      </c>
      <c r="C15" s="16" t="s">
        <v>63</v>
      </c>
      <c r="D15" s="15" t="s">
        <v>33</v>
      </c>
      <c r="E15" s="17">
        <v>45666</v>
      </c>
      <c r="F15" s="18">
        <v>8664</v>
      </c>
      <c r="G15" s="28" t="s">
        <v>43</v>
      </c>
      <c r="H15" s="28" t="s">
        <v>66</v>
      </c>
      <c r="I15" s="28" t="s">
        <v>67</v>
      </c>
      <c r="J15" s="16">
        <v>1130</v>
      </c>
      <c r="K15" s="20">
        <v>0.18</v>
      </c>
      <c r="L15" s="20">
        <v>0.17</v>
      </c>
      <c r="M15" s="20">
        <v>0.18</v>
      </c>
      <c r="N15" s="20">
        <v>0.21</v>
      </c>
      <c r="O15" s="20">
        <v>0.21</v>
      </c>
      <c r="P15" s="20">
        <v>0.21</v>
      </c>
      <c r="Q15" s="20">
        <v>0.2</v>
      </c>
      <c r="R15" s="20">
        <v>0.19</v>
      </c>
      <c r="S15" s="20">
        <v>0.18</v>
      </c>
      <c r="T15" s="21">
        <f t="shared" si="2"/>
        <v>0.19374999999999998</v>
      </c>
      <c r="U15" s="21">
        <v>20</v>
      </c>
      <c r="V15" s="22"/>
      <c r="W15" s="21">
        <v>9</v>
      </c>
      <c r="X15" s="23">
        <v>991.73599999999999</v>
      </c>
      <c r="Y15" s="22">
        <f t="shared" si="1"/>
        <v>110.19288888888889</v>
      </c>
      <c r="AA15" s="24"/>
      <c r="AB15" s="25"/>
      <c r="AC15" s="26">
        <v>0.1</v>
      </c>
      <c r="AD15" s="26">
        <v>7.2</v>
      </c>
      <c r="AE15" s="26">
        <v>1.82</v>
      </c>
      <c r="AF15" s="26">
        <v>0.99</v>
      </c>
    </row>
    <row r="16" spans="1:33" ht="15.75" customHeight="1" x14ac:dyDescent="0.25">
      <c r="A16" s="14">
        <v>48</v>
      </c>
      <c r="B16" s="15" t="s">
        <v>31</v>
      </c>
      <c r="C16" s="45" t="s">
        <v>63</v>
      </c>
      <c r="D16" s="15" t="s">
        <v>33</v>
      </c>
      <c r="E16" s="17">
        <v>45666</v>
      </c>
      <c r="F16" s="18">
        <v>8665</v>
      </c>
      <c r="G16" s="28" t="s">
        <v>43</v>
      </c>
      <c r="H16" s="28" t="s">
        <v>68</v>
      </c>
      <c r="I16" s="28" t="s">
        <v>69</v>
      </c>
      <c r="J16" s="16">
        <v>1130</v>
      </c>
      <c r="K16" s="20">
        <v>0.26</v>
      </c>
      <c r="L16" s="20">
        <v>0.28000000000000003</v>
      </c>
      <c r="M16" s="20">
        <v>0.28000000000000003</v>
      </c>
      <c r="N16" s="20">
        <v>0.2</v>
      </c>
      <c r="O16" s="20">
        <v>0.21</v>
      </c>
      <c r="P16" s="20">
        <v>0.19</v>
      </c>
      <c r="Q16" s="20">
        <v>0.21</v>
      </c>
      <c r="R16" s="20">
        <v>0.21</v>
      </c>
      <c r="S16" s="20">
        <v>0.22</v>
      </c>
      <c r="T16" s="21">
        <f t="shared" si="2"/>
        <v>0.22999999999999998</v>
      </c>
      <c r="U16" s="21">
        <v>10</v>
      </c>
      <c r="V16" s="22"/>
      <c r="W16" s="21">
        <v>22.15</v>
      </c>
      <c r="X16" s="23">
        <v>2277.1619999999998</v>
      </c>
      <c r="Y16" s="22">
        <f t="shared" si="1"/>
        <v>102.80641083521445</v>
      </c>
      <c r="AA16" s="24"/>
      <c r="AB16" s="25"/>
      <c r="AC16" s="26">
        <v>0.1</v>
      </c>
      <c r="AD16" s="26">
        <v>8</v>
      </c>
      <c r="AE16" s="26">
        <v>1.8</v>
      </c>
      <c r="AF16" s="26">
        <v>1.1000000000000001</v>
      </c>
    </row>
    <row r="17" spans="1:33" ht="15.75" customHeight="1" x14ac:dyDescent="0.25">
      <c r="A17" s="14">
        <v>48</v>
      </c>
      <c r="B17" s="15" t="s">
        <v>31</v>
      </c>
      <c r="C17" s="16" t="s">
        <v>63</v>
      </c>
      <c r="D17" s="15" t="s">
        <v>33</v>
      </c>
      <c r="E17" s="17">
        <v>45666</v>
      </c>
      <c r="F17" s="18">
        <v>8666</v>
      </c>
      <c r="G17" s="28" t="s">
        <v>70</v>
      </c>
      <c r="H17" s="28" t="s">
        <v>71</v>
      </c>
      <c r="I17" s="28"/>
      <c r="J17" s="16">
        <v>1130</v>
      </c>
      <c r="K17" s="20">
        <v>0.16</v>
      </c>
      <c r="L17" s="20">
        <v>0.18</v>
      </c>
      <c r="M17" s="20">
        <v>0.17</v>
      </c>
      <c r="N17" s="20">
        <v>0.18</v>
      </c>
      <c r="O17" s="20">
        <v>0.19</v>
      </c>
      <c r="P17" s="20">
        <v>0.18</v>
      </c>
      <c r="Q17" s="20">
        <v>0.18</v>
      </c>
      <c r="R17" s="20">
        <v>0.18</v>
      </c>
      <c r="S17" s="20">
        <v>0.18</v>
      </c>
      <c r="T17" s="21">
        <f t="shared" si="2"/>
        <v>0.17749999999999996</v>
      </c>
      <c r="U17" s="21">
        <v>20</v>
      </c>
      <c r="V17" s="22"/>
      <c r="W17" s="21">
        <v>19.62</v>
      </c>
      <c r="X17" s="23">
        <v>1968.751</v>
      </c>
      <c r="Y17" s="22">
        <f t="shared" si="1"/>
        <v>100.34408766564729</v>
      </c>
      <c r="AA17" s="24"/>
      <c r="AB17" s="25"/>
      <c r="AC17" s="26">
        <v>0.2</v>
      </c>
      <c r="AD17" s="26">
        <v>5.2</v>
      </c>
      <c r="AE17" s="26">
        <v>1.26</v>
      </c>
      <c r="AF17" s="26">
        <v>0.72</v>
      </c>
    </row>
    <row r="18" spans="1:33" ht="15.75" customHeight="1" x14ac:dyDescent="0.25">
      <c r="A18" s="14">
        <v>48</v>
      </c>
      <c r="B18" s="15" t="s">
        <v>31</v>
      </c>
      <c r="C18" s="45" t="s">
        <v>63</v>
      </c>
      <c r="D18" s="15" t="s">
        <v>37</v>
      </c>
      <c r="E18" s="17">
        <v>45666</v>
      </c>
      <c r="F18" s="18">
        <v>8667</v>
      </c>
      <c r="G18" s="28" t="s">
        <v>72</v>
      </c>
      <c r="H18" s="28" t="s">
        <v>73</v>
      </c>
      <c r="I18" s="28"/>
      <c r="J18" s="16">
        <v>1130</v>
      </c>
      <c r="K18" s="20">
        <v>0.27</v>
      </c>
      <c r="L18" s="20">
        <v>0.27</v>
      </c>
      <c r="M18" s="20">
        <v>0.26</v>
      </c>
      <c r="N18" s="20">
        <v>0.23</v>
      </c>
      <c r="O18" s="20">
        <v>0.24</v>
      </c>
      <c r="P18" s="20">
        <v>0.24</v>
      </c>
      <c r="Q18" s="20">
        <v>0.26</v>
      </c>
      <c r="R18" s="20">
        <v>0.26</v>
      </c>
      <c r="S18" s="20">
        <v>0.25</v>
      </c>
      <c r="T18" s="21">
        <f t="shared" si="2"/>
        <v>0.25375000000000003</v>
      </c>
      <c r="U18" s="21">
        <v>20</v>
      </c>
      <c r="V18" s="22"/>
      <c r="W18" s="21">
        <v>7.25</v>
      </c>
      <c r="X18" s="23">
        <v>709.93700000000001</v>
      </c>
      <c r="Y18" s="22">
        <f t="shared" si="1"/>
        <v>97.922344827586215</v>
      </c>
      <c r="AA18" s="24"/>
      <c r="AB18" s="25"/>
      <c r="AC18" s="26">
        <v>0.1</v>
      </c>
      <c r="AD18" s="26">
        <v>7.2</v>
      </c>
      <c r="AE18" s="26">
        <v>1.98</v>
      </c>
      <c r="AF18" s="26">
        <v>1.238</v>
      </c>
    </row>
    <row r="19" spans="1:33" ht="15.75" customHeight="1" x14ac:dyDescent="0.25">
      <c r="A19" s="14">
        <v>48</v>
      </c>
      <c r="B19" s="15" t="s">
        <v>31</v>
      </c>
      <c r="C19" s="16" t="s">
        <v>63</v>
      </c>
      <c r="D19" s="15" t="s">
        <v>37</v>
      </c>
      <c r="E19" s="17">
        <v>45666</v>
      </c>
      <c r="F19" s="18">
        <v>8669</v>
      </c>
      <c r="G19" s="28" t="s">
        <v>74</v>
      </c>
      <c r="H19" s="28" t="s">
        <v>75</v>
      </c>
      <c r="I19" s="28" t="s">
        <v>76</v>
      </c>
      <c r="J19" s="16">
        <v>1130</v>
      </c>
      <c r="K19" s="20">
        <v>0.22</v>
      </c>
      <c r="L19" s="20">
        <v>0.27</v>
      </c>
      <c r="M19" s="20">
        <v>0.2</v>
      </c>
      <c r="N19" s="20">
        <v>0.24</v>
      </c>
      <c r="O19" s="20">
        <v>0.23</v>
      </c>
      <c r="P19" s="20">
        <v>0.19</v>
      </c>
      <c r="Q19" s="20">
        <v>0.24</v>
      </c>
      <c r="R19" s="20">
        <v>0.23</v>
      </c>
      <c r="S19" s="20">
        <v>0.22</v>
      </c>
      <c r="T19" s="21">
        <f t="shared" si="2"/>
        <v>0.22749999999999998</v>
      </c>
      <c r="U19" s="21">
        <v>19</v>
      </c>
      <c r="V19" s="44"/>
      <c r="W19" s="21">
        <v>8.91</v>
      </c>
      <c r="X19" s="23">
        <v>1315.547</v>
      </c>
      <c r="Y19" s="22">
        <f t="shared" si="1"/>
        <v>147.64837261503928</v>
      </c>
      <c r="AA19" s="24"/>
      <c r="AB19" s="25"/>
      <c r="AC19" s="26">
        <v>0.2</v>
      </c>
      <c r="AD19" s="26">
        <v>6.9</v>
      </c>
      <c r="AE19" s="26">
        <v>1.5</v>
      </c>
      <c r="AF19" s="26">
        <v>0.79</v>
      </c>
    </row>
    <row r="20" spans="1:33" ht="15.75" customHeight="1" x14ac:dyDescent="0.25">
      <c r="A20" s="14">
        <v>48</v>
      </c>
      <c r="B20" s="15" t="s">
        <v>31</v>
      </c>
      <c r="C20" s="45" t="s">
        <v>63</v>
      </c>
      <c r="D20" s="33" t="s">
        <v>33</v>
      </c>
      <c r="E20" s="17">
        <v>45666</v>
      </c>
      <c r="F20" s="18">
        <v>8672</v>
      </c>
      <c r="G20" s="28" t="s">
        <v>43</v>
      </c>
      <c r="H20" s="28" t="s">
        <v>77</v>
      </c>
      <c r="I20" s="28" t="s">
        <v>78</v>
      </c>
      <c r="J20" s="16">
        <v>1130</v>
      </c>
      <c r="K20" s="20">
        <v>0.27</v>
      </c>
      <c r="L20" s="20">
        <v>0.25</v>
      </c>
      <c r="M20" s="20">
        <v>0.24</v>
      </c>
      <c r="N20" s="20">
        <v>0.28000000000000003</v>
      </c>
      <c r="O20" s="20">
        <v>0.27</v>
      </c>
      <c r="P20" s="20">
        <v>0.3</v>
      </c>
      <c r="Q20" s="20">
        <v>0.28000000000000003</v>
      </c>
      <c r="R20" s="20">
        <v>0.27</v>
      </c>
      <c r="S20" s="20">
        <v>0.26</v>
      </c>
      <c r="T20" s="21">
        <f t="shared" si="2"/>
        <v>0.27</v>
      </c>
      <c r="U20" s="21">
        <v>10</v>
      </c>
      <c r="V20" s="44"/>
      <c r="W20" s="21">
        <v>24.47</v>
      </c>
      <c r="X20" s="23">
        <v>2256.6990000000001</v>
      </c>
      <c r="Y20" s="22">
        <f t="shared" si="1"/>
        <v>92.223089497343693</v>
      </c>
      <c r="AA20" s="24"/>
      <c r="AB20" s="25"/>
      <c r="AC20" s="26">
        <v>0.1</v>
      </c>
      <c r="AD20" s="26">
        <v>7.6</v>
      </c>
      <c r="AE20" s="26">
        <v>1.7</v>
      </c>
      <c r="AF20" s="26">
        <v>0.88</v>
      </c>
    </row>
    <row r="21" spans="1:33" ht="15.75" customHeight="1" x14ac:dyDescent="0.25">
      <c r="A21" s="14">
        <v>48</v>
      </c>
      <c r="B21" s="15" t="s">
        <v>31</v>
      </c>
      <c r="C21" s="16" t="s">
        <v>63</v>
      </c>
      <c r="D21" s="15" t="s">
        <v>49</v>
      </c>
      <c r="E21" s="17">
        <v>45666</v>
      </c>
      <c r="F21" s="18">
        <v>8678</v>
      </c>
      <c r="G21" s="28" t="s">
        <v>79</v>
      </c>
      <c r="H21" s="28" t="s">
        <v>80</v>
      </c>
      <c r="I21" s="28" t="s">
        <v>81</v>
      </c>
      <c r="J21" s="16">
        <v>1130</v>
      </c>
      <c r="K21" s="20">
        <v>0.15</v>
      </c>
      <c r="L21" s="20">
        <v>0.16</v>
      </c>
      <c r="M21" s="20">
        <v>0.17</v>
      </c>
      <c r="N21" s="20">
        <v>0.17</v>
      </c>
      <c r="O21" s="20">
        <v>0.18</v>
      </c>
      <c r="P21" s="20">
        <v>0.18</v>
      </c>
      <c r="Q21" s="20">
        <v>0.21</v>
      </c>
      <c r="R21" s="20">
        <v>0.2</v>
      </c>
      <c r="S21" s="20">
        <v>0.2</v>
      </c>
      <c r="T21" s="21">
        <f t="shared" si="2"/>
        <v>0.17749999999999999</v>
      </c>
      <c r="U21" s="21">
        <v>20</v>
      </c>
      <c r="V21" s="22"/>
      <c r="W21" s="21">
        <v>10</v>
      </c>
      <c r="X21" s="23">
        <v>1080.357</v>
      </c>
      <c r="Y21" s="22">
        <f t="shared" si="1"/>
        <v>108.03569999999999</v>
      </c>
      <c r="AA21" s="24"/>
      <c r="AB21" s="25"/>
      <c r="AC21" s="26">
        <v>0.2</v>
      </c>
      <c r="AD21" s="26">
        <v>5.4</v>
      </c>
      <c r="AE21" s="26">
        <v>1.29</v>
      </c>
      <c r="AF21" s="26">
        <v>0.83</v>
      </c>
    </row>
    <row r="22" spans="1:33" ht="15.75" customHeight="1" x14ac:dyDescent="0.25">
      <c r="A22" s="14">
        <v>48</v>
      </c>
      <c r="B22" s="15" t="s">
        <v>31</v>
      </c>
      <c r="C22" s="45" t="s">
        <v>63</v>
      </c>
      <c r="D22" s="15" t="s">
        <v>60</v>
      </c>
      <c r="E22" s="17">
        <v>45666</v>
      </c>
      <c r="F22" s="18">
        <v>8685</v>
      </c>
      <c r="G22" s="28" t="s">
        <v>82</v>
      </c>
      <c r="H22" s="28" t="s">
        <v>83</v>
      </c>
      <c r="I22" s="28" t="s">
        <v>40</v>
      </c>
      <c r="J22" s="16">
        <v>1130</v>
      </c>
      <c r="K22" s="20">
        <v>0.19</v>
      </c>
      <c r="L22" s="20">
        <v>0.2</v>
      </c>
      <c r="M22" s="20">
        <v>0.22</v>
      </c>
      <c r="N22" s="20">
        <v>0.21</v>
      </c>
      <c r="O22" s="20">
        <v>0.2</v>
      </c>
      <c r="P22" s="20">
        <v>0.2</v>
      </c>
      <c r="Q22" s="20">
        <v>0.19</v>
      </c>
      <c r="R22" s="20">
        <v>0.19</v>
      </c>
      <c r="S22" s="20">
        <v>0.19</v>
      </c>
      <c r="T22" s="21">
        <f t="shared" si="2"/>
        <v>0.19999999999999998</v>
      </c>
      <c r="U22" s="21">
        <v>20</v>
      </c>
      <c r="V22" s="22"/>
      <c r="W22" s="21">
        <v>9.11</v>
      </c>
      <c r="X22" s="23">
        <v>1212.83</v>
      </c>
      <c r="Y22" s="22">
        <f t="shared" si="1"/>
        <v>133.1317233809001</v>
      </c>
      <c r="AA22" s="25"/>
      <c r="AB22" s="25"/>
      <c r="AC22" s="26">
        <v>0.2</v>
      </c>
      <c r="AD22" s="26">
        <v>4.4000000000000004</v>
      </c>
      <c r="AE22" s="26">
        <v>1.0900000000000001</v>
      </c>
      <c r="AF22" s="26">
        <v>0.53</v>
      </c>
    </row>
    <row r="23" spans="1:33" ht="15.75" customHeight="1" x14ac:dyDescent="0.25">
      <c r="A23" s="14">
        <v>48</v>
      </c>
      <c r="B23" s="15" t="s">
        <v>31</v>
      </c>
      <c r="C23" s="16" t="s">
        <v>63</v>
      </c>
      <c r="D23" s="15" t="s">
        <v>60</v>
      </c>
      <c r="E23" s="17">
        <v>45666</v>
      </c>
      <c r="F23" s="18">
        <v>8686</v>
      </c>
      <c r="G23" s="28" t="s">
        <v>84</v>
      </c>
      <c r="H23" s="28" t="s">
        <v>85</v>
      </c>
      <c r="I23" s="28" t="s">
        <v>86</v>
      </c>
      <c r="J23" s="16">
        <v>1130</v>
      </c>
      <c r="K23" s="20">
        <v>0.22</v>
      </c>
      <c r="L23" s="20">
        <v>0.23</v>
      </c>
      <c r="M23" s="20">
        <v>0.22</v>
      </c>
      <c r="N23" s="20">
        <v>0.21</v>
      </c>
      <c r="O23" s="20">
        <v>0.21</v>
      </c>
      <c r="P23" s="20">
        <v>0.21</v>
      </c>
      <c r="Q23" s="20">
        <v>0.23</v>
      </c>
      <c r="R23" s="20">
        <v>0.22</v>
      </c>
      <c r="S23" s="20">
        <v>0.24</v>
      </c>
      <c r="T23" s="21">
        <f t="shared" si="2"/>
        <v>0.21875</v>
      </c>
      <c r="U23" s="21">
        <v>20</v>
      </c>
      <c r="V23" s="22"/>
      <c r="W23" s="21">
        <v>14.78</v>
      </c>
      <c r="X23" s="23">
        <v>1601.3340000000001</v>
      </c>
      <c r="Y23" s="22">
        <f t="shared" si="1"/>
        <v>108.34465493910692</v>
      </c>
      <c r="AA23" s="25"/>
      <c r="AB23" s="25"/>
      <c r="AC23" s="26">
        <v>0.3</v>
      </c>
      <c r="AD23" s="26">
        <v>6.8</v>
      </c>
      <c r="AE23" s="26">
        <v>1.53</v>
      </c>
      <c r="AF23" s="26">
        <v>0.83</v>
      </c>
    </row>
    <row r="24" spans="1:33" ht="15.75" customHeight="1" x14ac:dyDescent="0.25">
      <c r="A24" s="46">
        <v>22</v>
      </c>
      <c r="B24" s="19" t="s">
        <v>31</v>
      </c>
      <c r="C24" s="47" t="s">
        <v>87</v>
      </c>
      <c r="D24" s="48"/>
      <c r="E24" s="49">
        <v>45541</v>
      </c>
      <c r="F24" s="50">
        <v>8945</v>
      </c>
      <c r="G24" s="19" t="s">
        <v>88</v>
      </c>
      <c r="H24" s="19" t="s">
        <v>89</v>
      </c>
      <c r="I24" s="19" t="s">
        <v>90</v>
      </c>
      <c r="J24" s="16">
        <v>1060</v>
      </c>
      <c r="K24" s="51">
        <v>0.28000000000000003</v>
      </c>
      <c r="L24" s="51">
        <v>0.3</v>
      </c>
      <c r="M24" s="51">
        <v>0.27</v>
      </c>
      <c r="N24" s="51">
        <v>0.28000000000000003</v>
      </c>
      <c r="O24" s="51">
        <v>0.28999999999999998</v>
      </c>
      <c r="P24" s="51">
        <v>0.28999999999999998</v>
      </c>
      <c r="Q24" s="51">
        <v>0.3</v>
      </c>
      <c r="R24" s="51">
        <v>0.28999999999999998</v>
      </c>
      <c r="S24" s="51">
        <v>0.26</v>
      </c>
      <c r="T24" s="21">
        <f t="shared" si="2"/>
        <v>0.28750000000000003</v>
      </c>
      <c r="U24" s="52">
        <v>20</v>
      </c>
      <c r="V24" s="44"/>
      <c r="W24" s="22">
        <v>22.07</v>
      </c>
      <c r="X24" s="53">
        <v>1574.463</v>
      </c>
      <c r="Y24" s="22">
        <f t="shared" si="1"/>
        <v>71.339510647938368</v>
      </c>
      <c r="AA24" s="25"/>
      <c r="AB24" s="25"/>
      <c r="AC24" s="22">
        <v>1.2</v>
      </c>
      <c r="AD24" s="22">
        <v>3.7</v>
      </c>
      <c r="AE24" s="22">
        <v>0.84</v>
      </c>
      <c r="AF24" s="22">
        <v>0.43</v>
      </c>
    </row>
    <row r="25" spans="1:33" ht="15.75" customHeight="1" x14ac:dyDescent="0.25">
      <c r="A25" s="46">
        <v>22</v>
      </c>
      <c r="B25" s="19" t="s">
        <v>31</v>
      </c>
      <c r="C25" s="47" t="s">
        <v>87</v>
      </c>
      <c r="D25" s="49"/>
      <c r="E25" s="49">
        <v>45541</v>
      </c>
      <c r="F25" s="50">
        <v>8961</v>
      </c>
      <c r="G25" s="19" t="s">
        <v>91</v>
      </c>
      <c r="H25" s="19" t="s">
        <v>92</v>
      </c>
      <c r="I25" s="19" t="s">
        <v>93</v>
      </c>
      <c r="J25" s="16">
        <v>1060</v>
      </c>
      <c r="K25" s="51">
        <v>0.11</v>
      </c>
      <c r="L25" s="51">
        <v>0.09</v>
      </c>
      <c r="M25" s="51">
        <v>0.09</v>
      </c>
      <c r="N25" s="51">
        <v>0.09</v>
      </c>
      <c r="O25" s="51">
        <v>0.1</v>
      </c>
      <c r="P25" s="51">
        <v>0.09</v>
      </c>
      <c r="Q25" s="51">
        <v>0.12</v>
      </c>
      <c r="R25" s="51">
        <v>0.12</v>
      </c>
      <c r="S25" s="51">
        <v>0.1</v>
      </c>
      <c r="T25" s="21">
        <f t="shared" si="2"/>
        <v>0.10124999999999999</v>
      </c>
      <c r="U25" s="52">
        <v>10</v>
      </c>
      <c r="V25" s="44"/>
      <c r="W25" s="22">
        <v>9.49</v>
      </c>
      <c r="X25" s="14">
        <v>1398.9190000000001</v>
      </c>
      <c r="Y25" s="22">
        <f t="shared" si="1"/>
        <v>147.40979978925185</v>
      </c>
      <c r="AA25" s="54"/>
      <c r="AB25" s="25"/>
      <c r="AC25" s="22">
        <v>0.5</v>
      </c>
      <c r="AD25" s="22">
        <v>5.7</v>
      </c>
      <c r="AE25" s="22">
        <v>1.26</v>
      </c>
      <c r="AF25" s="22">
        <v>0.47</v>
      </c>
    </row>
    <row r="26" spans="1:33" ht="15.75" customHeight="1" x14ac:dyDescent="0.25">
      <c r="A26" s="46">
        <v>22</v>
      </c>
      <c r="B26" s="19" t="s">
        <v>31</v>
      </c>
      <c r="C26" s="47" t="s">
        <v>87</v>
      </c>
      <c r="D26" s="48"/>
      <c r="E26" s="49">
        <v>45541</v>
      </c>
      <c r="F26" s="50">
        <v>8955</v>
      </c>
      <c r="G26" s="19" t="s">
        <v>88</v>
      </c>
      <c r="H26" s="19" t="s">
        <v>94</v>
      </c>
      <c r="I26" s="19" t="s">
        <v>95</v>
      </c>
      <c r="J26" s="16">
        <v>1060</v>
      </c>
      <c r="K26" s="51">
        <v>0.14000000000000001</v>
      </c>
      <c r="L26" s="51">
        <v>0.16</v>
      </c>
      <c r="M26" s="51">
        <v>0.17</v>
      </c>
      <c r="N26" s="51">
        <v>0.13</v>
      </c>
      <c r="O26" s="51">
        <v>0.15</v>
      </c>
      <c r="P26" s="51">
        <v>0.16</v>
      </c>
      <c r="Q26" s="51">
        <v>0.17</v>
      </c>
      <c r="R26" s="51">
        <v>0.16</v>
      </c>
      <c r="S26" s="51">
        <v>0.17</v>
      </c>
      <c r="T26" s="21">
        <f t="shared" si="2"/>
        <v>0.155</v>
      </c>
      <c r="U26" s="52">
        <v>10</v>
      </c>
      <c r="V26" s="44"/>
      <c r="W26" s="22">
        <v>30.11</v>
      </c>
      <c r="X26" s="115">
        <v>3083.6759999999999</v>
      </c>
      <c r="Y26" s="22">
        <f t="shared" si="1"/>
        <v>102.41368316174028</v>
      </c>
      <c r="AA26" s="54"/>
      <c r="AB26" s="25"/>
      <c r="AC26" s="22">
        <v>1.1000000000000001</v>
      </c>
      <c r="AD26" s="22">
        <v>6.3</v>
      </c>
      <c r="AE26" s="22">
        <v>1.2</v>
      </c>
      <c r="AF26" s="22">
        <v>0.62</v>
      </c>
    </row>
    <row r="27" spans="1:33" ht="15.75" customHeight="1" x14ac:dyDescent="0.25">
      <c r="A27" s="46">
        <v>22</v>
      </c>
      <c r="B27" s="19" t="s">
        <v>31</v>
      </c>
      <c r="C27" s="47" t="s">
        <v>87</v>
      </c>
      <c r="D27" s="48"/>
      <c r="E27" s="49">
        <v>45541</v>
      </c>
      <c r="F27" s="50">
        <v>8957</v>
      </c>
      <c r="G27" s="19" t="s">
        <v>96</v>
      </c>
      <c r="H27" s="19" t="s">
        <v>97</v>
      </c>
      <c r="I27" s="19" t="s">
        <v>61</v>
      </c>
      <c r="J27" s="16">
        <v>1060</v>
      </c>
      <c r="K27" s="51">
        <v>0.15</v>
      </c>
      <c r="L27" s="51">
        <v>0.16</v>
      </c>
      <c r="M27" s="51">
        <v>0.16</v>
      </c>
      <c r="N27" s="51">
        <v>0.17</v>
      </c>
      <c r="O27" s="51">
        <v>0.16</v>
      </c>
      <c r="P27" s="51">
        <v>0.16</v>
      </c>
      <c r="Q27" s="51">
        <v>0.16</v>
      </c>
      <c r="R27" s="51">
        <v>0.15</v>
      </c>
      <c r="S27" s="51">
        <v>0.15</v>
      </c>
      <c r="T27" s="21">
        <f t="shared" si="2"/>
        <v>0.15875</v>
      </c>
      <c r="U27" s="52">
        <v>15</v>
      </c>
      <c r="V27" s="44"/>
      <c r="W27" s="22">
        <v>11.4</v>
      </c>
      <c r="X27" s="53">
        <v>1449.511</v>
      </c>
      <c r="Y27" s="22">
        <f t="shared" si="1"/>
        <v>127.15008771929824</v>
      </c>
      <c r="AA27" s="54"/>
      <c r="AB27" s="25"/>
      <c r="AC27" s="22">
        <v>0.7</v>
      </c>
      <c r="AD27" s="55">
        <v>45904</v>
      </c>
      <c r="AE27" s="22">
        <v>1.0900000000000001</v>
      </c>
      <c r="AF27" s="22">
        <v>0.42</v>
      </c>
    </row>
    <row r="28" spans="1:33" ht="15.75" customHeight="1" x14ac:dyDescent="0.2">
      <c r="A28" s="46">
        <v>22</v>
      </c>
      <c r="B28" s="19" t="s">
        <v>31</v>
      </c>
      <c r="C28" s="47" t="s">
        <v>87</v>
      </c>
      <c r="D28" s="48"/>
      <c r="E28" s="49">
        <v>45541</v>
      </c>
      <c r="F28" s="50">
        <v>8962</v>
      </c>
      <c r="G28" s="19" t="s">
        <v>91</v>
      </c>
      <c r="H28" s="19" t="s">
        <v>98</v>
      </c>
      <c r="I28" s="19" t="s">
        <v>99</v>
      </c>
      <c r="J28" s="16">
        <v>1060</v>
      </c>
      <c r="K28" s="51">
        <v>0.08</v>
      </c>
      <c r="L28" s="51">
        <v>0.09</v>
      </c>
      <c r="M28" s="51">
        <v>0.06</v>
      </c>
      <c r="N28" s="51">
        <v>7.0000000000000007E-2</v>
      </c>
      <c r="O28" s="51">
        <v>0.09</v>
      </c>
      <c r="P28" s="51">
        <v>0.08</v>
      </c>
      <c r="Q28" s="51">
        <v>0.08</v>
      </c>
      <c r="R28" s="51">
        <v>7.0000000000000007E-2</v>
      </c>
      <c r="S28" s="51">
        <v>0.08</v>
      </c>
      <c r="T28" s="21">
        <f t="shared" si="2"/>
        <v>7.7500000000000013E-2</v>
      </c>
      <c r="U28" s="52">
        <v>9</v>
      </c>
      <c r="V28" s="22"/>
      <c r="W28" s="22">
        <v>28.37</v>
      </c>
      <c r="X28" s="14">
        <v>4508.8810000000003</v>
      </c>
      <c r="Y28" s="22">
        <f t="shared" si="1"/>
        <v>158.93130066972154</v>
      </c>
      <c r="AA28" s="25"/>
      <c r="AB28" s="22">
        <v>4.0999999999999996</v>
      </c>
      <c r="AC28" s="22">
        <v>0.4</v>
      </c>
      <c r="AE28" s="22">
        <v>0.97</v>
      </c>
      <c r="AF28" s="22">
        <v>0.51</v>
      </c>
    </row>
    <row r="29" spans="1:33" ht="15.75" customHeight="1" x14ac:dyDescent="0.2">
      <c r="A29" s="46">
        <v>22</v>
      </c>
      <c r="B29" s="19" t="s">
        <v>31</v>
      </c>
      <c r="C29" s="47" t="s">
        <v>87</v>
      </c>
      <c r="D29" s="48"/>
      <c r="E29" s="49">
        <v>45541</v>
      </c>
      <c r="F29" s="50">
        <v>8968</v>
      </c>
      <c r="G29" s="19" t="s">
        <v>88</v>
      </c>
      <c r="H29" s="19" t="s">
        <v>94</v>
      </c>
      <c r="I29" s="19" t="s">
        <v>100</v>
      </c>
      <c r="J29" s="16">
        <v>1060</v>
      </c>
      <c r="K29" s="51">
        <v>0.15</v>
      </c>
      <c r="L29" s="51">
        <v>0.16</v>
      </c>
      <c r="M29" s="51">
        <v>0.15</v>
      </c>
      <c r="N29" s="51">
        <v>0.15</v>
      </c>
      <c r="O29" s="51">
        <v>0.16</v>
      </c>
      <c r="P29" s="51">
        <v>0.14000000000000001</v>
      </c>
      <c r="Q29" s="51">
        <v>0.16</v>
      </c>
      <c r="R29" s="51">
        <v>0.15</v>
      </c>
      <c r="S29" s="51">
        <v>0.15</v>
      </c>
      <c r="T29" s="21">
        <f t="shared" si="2"/>
        <v>0.1525</v>
      </c>
      <c r="U29" s="52">
        <v>10</v>
      </c>
      <c r="V29" s="22"/>
      <c r="W29" s="22">
        <v>2.63</v>
      </c>
      <c r="X29" s="14">
        <v>428.89600000000002</v>
      </c>
      <c r="Y29" s="22">
        <f t="shared" si="1"/>
        <v>163.07832699619772</v>
      </c>
      <c r="AA29" s="25"/>
      <c r="AB29" s="25"/>
      <c r="AC29" s="22">
        <v>1.5</v>
      </c>
      <c r="AD29" s="22">
        <v>6.3</v>
      </c>
      <c r="AE29" s="22">
        <v>1.42</v>
      </c>
      <c r="AF29" s="22">
        <v>0.74</v>
      </c>
    </row>
    <row r="30" spans="1:33" ht="15.75" customHeight="1" x14ac:dyDescent="0.2">
      <c r="A30" s="56">
        <v>22</v>
      </c>
      <c r="B30" s="57" t="s">
        <v>31</v>
      </c>
      <c r="C30" s="58" t="s">
        <v>87</v>
      </c>
      <c r="D30" s="59"/>
      <c r="E30" s="49">
        <v>45541</v>
      </c>
      <c r="F30" s="60">
        <v>8965</v>
      </c>
      <c r="G30" s="57" t="s">
        <v>50</v>
      </c>
      <c r="H30" s="61" t="s">
        <v>41</v>
      </c>
      <c r="I30" s="59"/>
      <c r="J30" s="16">
        <v>1060</v>
      </c>
      <c r="K30" s="62">
        <v>0.18</v>
      </c>
      <c r="L30" s="62">
        <v>0.16</v>
      </c>
      <c r="M30" s="62">
        <v>0.17</v>
      </c>
      <c r="N30" s="62">
        <v>0.15</v>
      </c>
      <c r="O30" s="62">
        <v>0.17</v>
      </c>
      <c r="P30" s="62">
        <v>0.17</v>
      </c>
      <c r="Q30" s="62">
        <v>0.14000000000000001</v>
      </c>
      <c r="R30" s="62">
        <v>0.15</v>
      </c>
      <c r="S30" s="62">
        <v>0.16</v>
      </c>
      <c r="T30" s="21">
        <f t="shared" si="2"/>
        <v>0.16125</v>
      </c>
      <c r="U30" s="63">
        <v>11</v>
      </c>
      <c r="V30" s="39"/>
      <c r="W30" s="39">
        <v>31.25</v>
      </c>
      <c r="X30" s="115">
        <v>4099.3900000000003</v>
      </c>
      <c r="Y30" s="22">
        <f t="shared" si="1"/>
        <v>131.18048000000002</v>
      </c>
      <c r="AA30" s="41"/>
      <c r="AB30" s="41"/>
      <c r="AC30" s="39">
        <v>0.8</v>
      </c>
      <c r="AD30" s="33">
        <v>3.1</v>
      </c>
      <c r="AE30" s="39">
        <v>0.76</v>
      </c>
      <c r="AF30" s="39">
        <v>0.38</v>
      </c>
      <c r="AG30" s="41"/>
    </row>
    <row r="31" spans="1:33" ht="15.75" customHeight="1" x14ac:dyDescent="0.25">
      <c r="A31" s="56">
        <v>22</v>
      </c>
      <c r="B31" s="57" t="s">
        <v>31</v>
      </c>
      <c r="C31" s="58" t="s">
        <v>87</v>
      </c>
      <c r="D31" s="59"/>
      <c r="E31" s="49">
        <v>45541</v>
      </c>
      <c r="F31" s="60">
        <v>8966</v>
      </c>
      <c r="G31" s="57" t="s">
        <v>88</v>
      </c>
      <c r="H31" s="61" t="s">
        <v>41</v>
      </c>
      <c r="I31" s="59"/>
      <c r="J31" s="16">
        <v>1060</v>
      </c>
      <c r="K31" s="62">
        <v>0.11</v>
      </c>
      <c r="L31" s="62">
        <v>0.13</v>
      </c>
      <c r="M31" s="62">
        <v>0.13</v>
      </c>
      <c r="N31" s="62">
        <v>0.14000000000000001</v>
      </c>
      <c r="O31" s="62">
        <v>0.15</v>
      </c>
      <c r="P31" s="62">
        <v>0.13</v>
      </c>
      <c r="Q31" s="62">
        <v>0.15</v>
      </c>
      <c r="R31" s="62">
        <v>0.13</v>
      </c>
      <c r="S31" s="62">
        <v>0.14000000000000001</v>
      </c>
      <c r="T31" s="21">
        <f t="shared" si="2"/>
        <v>0.13375000000000001</v>
      </c>
      <c r="U31" s="63">
        <v>14</v>
      </c>
      <c r="V31" s="64"/>
      <c r="W31" s="39">
        <v>9.39</v>
      </c>
      <c r="X31" s="65">
        <v>1423.84</v>
      </c>
      <c r="Y31" s="22">
        <f t="shared" si="1"/>
        <v>151.63365282215122</v>
      </c>
      <c r="AA31" s="41"/>
      <c r="AB31" s="41"/>
      <c r="AC31" s="39">
        <v>0.7</v>
      </c>
      <c r="AD31" s="33">
        <v>6.1</v>
      </c>
      <c r="AE31" s="39">
        <v>1.1499999999999999</v>
      </c>
      <c r="AF31" s="39">
        <v>0.56999999999999995</v>
      </c>
      <c r="AG31" s="41"/>
    </row>
    <row r="32" spans="1:33" ht="15.75" customHeight="1" x14ac:dyDescent="0.25">
      <c r="A32" s="66">
        <v>23</v>
      </c>
      <c r="B32" s="19" t="s">
        <v>31</v>
      </c>
      <c r="C32" s="67" t="s">
        <v>101</v>
      </c>
      <c r="D32" s="44"/>
      <c r="E32" s="49">
        <v>45541</v>
      </c>
      <c r="F32" s="50">
        <v>8986</v>
      </c>
      <c r="G32" s="28" t="s">
        <v>91</v>
      </c>
      <c r="H32" s="28" t="s">
        <v>92</v>
      </c>
      <c r="I32" s="28" t="s">
        <v>102</v>
      </c>
      <c r="J32" s="16">
        <v>1090</v>
      </c>
      <c r="K32" s="51">
        <v>0.14000000000000001</v>
      </c>
      <c r="L32" s="51">
        <v>0.13</v>
      </c>
      <c r="M32" s="51">
        <v>0.1</v>
      </c>
      <c r="N32" s="51">
        <v>0.12</v>
      </c>
      <c r="O32" s="51">
        <v>0.13</v>
      </c>
      <c r="P32" s="51">
        <v>0.15</v>
      </c>
      <c r="Q32" s="51">
        <v>0.13</v>
      </c>
      <c r="R32" s="51">
        <v>0.12</v>
      </c>
      <c r="S32" s="51">
        <v>0.14000000000000001</v>
      </c>
      <c r="T32" s="21">
        <f t="shared" si="2"/>
        <v>0.1275</v>
      </c>
      <c r="U32" s="68">
        <v>10</v>
      </c>
      <c r="V32" s="44"/>
      <c r="W32" s="22">
        <v>8.5</v>
      </c>
      <c r="X32" s="53">
        <v>1783.3140000000001</v>
      </c>
      <c r="Y32" s="22">
        <f t="shared" si="1"/>
        <v>209.80164705882353</v>
      </c>
      <c r="AA32" s="25"/>
      <c r="AB32" s="25"/>
      <c r="AC32" s="22">
        <v>0.4</v>
      </c>
      <c r="AD32" s="22">
        <v>5.6</v>
      </c>
      <c r="AE32" s="22">
        <v>1.33</v>
      </c>
      <c r="AF32" s="22">
        <v>0.76</v>
      </c>
      <c r="AG32" s="25"/>
    </row>
    <row r="33" spans="1:33" ht="15.75" customHeight="1" x14ac:dyDescent="0.25">
      <c r="A33" s="66">
        <v>23</v>
      </c>
      <c r="B33" s="19" t="s">
        <v>31</v>
      </c>
      <c r="C33" s="67" t="s">
        <v>101</v>
      </c>
      <c r="D33" s="44"/>
      <c r="E33" s="49">
        <v>45541</v>
      </c>
      <c r="F33" s="50">
        <v>8989</v>
      </c>
      <c r="G33" s="28" t="s">
        <v>91</v>
      </c>
      <c r="H33" s="28" t="s">
        <v>103</v>
      </c>
      <c r="I33" s="44"/>
      <c r="J33" s="16">
        <v>1090</v>
      </c>
      <c r="K33" s="51">
        <v>0.21</v>
      </c>
      <c r="L33" s="51">
        <v>0.19</v>
      </c>
      <c r="M33" s="51">
        <v>0.21</v>
      </c>
      <c r="N33" s="51">
        <v>0.23</v>
      </c>
      <c r="O33" s="51">
        <v>0.2</v>
      </c>
      <c r="P33" s="51">
        <v>0.21</v>
      </c>
      <c r="Q33" s="51">
        <v>0.2</v>
      </c>
      <c r="R33" s="51">
        <v>0.19</v>
      </c>
      <c r="S33" s="51">
        <v>0.18</v>
      </c>
      <c r="T33" s="21">
        <f t="shared" si="2"/>
        <v>0.20499999999999999</v>
      </c>
      <c r="U33" s="68">
        <v>3</v>
      </c>
      <c r="V33" s="44"/>
      <c r="W33" s="22">
        <v>30.44</v>
      </c>
      <c r="X33" s="53">
        <v>2274.6819999999998</v>
      </c>
      <c r="Y33" s="22">
        <f t="shared" si="1"/>
        <v>74.72674113009198</v>
      </c>
      <c r="AA33" s="25"/>
      <c r="AB33" s="25"/>
      <c r="AC33" s="22">
        <v>1.1000000000000001</v>
      </c>
      <c r="AD33" s="22">
        <v>6.2</v>
      </c>
      <c r="AE33" s="22">
        <v>1.57</v>
      </c>
      <c r="AF33" s="22">
        <v>0.83</v>
      </c>
      <c r="AG33" s="25"/>
    </row>
    <row r="34" spans="1:33" ht="15.75" customHeight="1" x14ac:dyDescent="0.25">
      <c r="A34" s="66">
        <v>23</v>
      </c>
      <c r="B34" s="19" t="s">
        <v>31</v>
      </c>
      <c r="C34" s="67" t="s">
        <v>101</v>
      </c>
      <c r="D34" s="44"/>
      <c r="E34" s="49">
        <v>45541</v>
      </c>
      <c r="F34" s="50">
        <v>8983</v>
      </c>
      <c r="G34" s="28" t="s">
        <v>46</v>
      </c>
      <c r="H34" s="28" t="s">
        <v>104</v>
      </c>
      <c r="I34" s="28" t="s">
        <v>105</v>
      </c>
      <c r="J34" s="16">
        <v>1090</v>
      </c>
      <c r="K34" s="51">
        <v>0.28999999999999998</v>
      </c>
      <c r="L34" s="51">
        <v>0.21</v>
      </c>
      <c r="M34" s="51">
        <v>0.21</v>
      </c>
      <c r="N34" s="51">
        <v>0.23</v>
      </c>
      <c r="O34" s="51">
        <v>0.21</v>
      </c>
      <c r="P34" s="51">
        <v>0.22</v>
      </c>
      <c r="Q34" s="51">
        <v>0.2</v>
      </c>
      <c r="R34" s="51">
        <v>0.21</v>
      </c>
      <c r="S34" s="51">
        <v>0.19</v>
      </c>
      <c r="T34" s="21">
        <f t="shared" si="2"/>
        <v>0.22249999999999998</v>
      </c>
      <c r="U34" s="68">
        <v>6</v>
      </c>
      <c r="V34" s="44"/>
      <c r="W34" s="22">
        <v>23.72</v>
      </c>
      <c r="X34" s="14">
        <v>1475.807</v>
      </c>
      <c r="Y34" s="22">
        <f t="shared" si="1"/>
        <v>62.217833052276561</v>
      </c>
      <c r="AA34" s="25"/>
      <c r="AB34" s="25"/>
      <c r="AC34" s="22">
        <v>1</v>
      </c>
      <c r="AD34" s="22">
        <v>5.2</v>
      </c>
      <c r="AE34" s="22">
        <v>1.3</v>
      </c>
      <c r="AF34" s="22">
        <v>0.72</v>
      </c>
      <c r="AG34" s="25"/>
    </row>
    <row r="35" spans="1:33" ht="15.75" customHeight="1" x14ac:dyDescent="0.25">
      <c r="A35" s="66">
        <v>23</v>
      </c>
      <c r="B35" s="19" t="s">
        <v>31</v>
      </c>
      <c r="C35" s="67" t="s">
        <v>101</v>
      </c>
      <c r="D35" s="44"/>
      <c r="E35" s="49">
        <v>45541</v>
      </c>
      <c r="F35" s="50">
        <v>8982</v>
      </c>
      <c r="G35" s="28" t="s">
        <v>79</v>
      </c>
      <c r="H35" s="28" t="s">
        <v>106</v>
      </c>
      <c r="I35" s="28" t="s">
        <v>107</v>
      </c>
      <c r="J35" s="16">
        <v>1090</v>
      </c>
      <c r="K35" s="51">
        <v>0.13</v>
      </c>
      <c r="L35" s="51">
        <v>0.15</v>
      </c>
      <c r="M35" s="51">
        <v>0.15</v>
      </c>
      <c r="N35" s="51">
        <v>0.13</v>
      </c>
      <c r="O35" s="51">
        <v>0.14000000000000001</v>
      </c>
      <c r="P35" s="51">
        <v>0.14000000000000001</v>
      </c>
      <c r="Q35" s="51">
        <v>0.15</v>
      </c>
      <c r="R35" s="51">
        <v>0.16</v>
      </c>
      <c r="S35" s="51">
        <v>0.17</v>
      </c>
      <c r="T35" s="21">
        <f t="shared" si="2"/>
        <v>0.14375000000000002</v>
      </c>
      <c r="U35" s="68">
        <v>15</v>
      </c>
      <c r="V35" s="44"/>
      <c r="W35" s="22">
        <v>32.520000000000003</v>
      </c>
      <c r="X35" s="14">
        <v>3417.2159999999999</v>
      </c>
      <c r="Y35" s="22">
        <f t="shared" si="1"/>
        <v>105.08044280442803</v>
      </c>
      <c r="AA35" s="25"/>
      <c r="AB35" s="25"/>
      <c r="AC35" s="22">
        <v>0.4</v>
      </c>
      <c r="AD35" s="22">
        <v>4.75</v>
      </c>
      <c r="AE35" s="22">
        <v>1.29</v>
      </c>
      <c r="AF35" s="22">
        <v>0.7</v>
      </c>
      <c r="AG35" s="25"/>
    </row>
    <row r="36" spans="1:33" ht="15.75" customHeight="1" x14ac:dyDescent="0.25">
      <c r="A36" s="66">
        <v>23</v>
      </c>
      <c r="B36" s="19" t="s">
        <v>31</v>
      </c>
      <c r="C36" s="67" t="s">
        <v>101</v>
      </c>
      <c r="D36" s="44"/>
      <c r="E36" s="49">
        <v>45541</v>
      </c>
      <c r="F36" s="50">
        <v>8976</v>
      </c>
      <c r="G36" s="28" t="s">
        <v>62</v>
      </c>
      <c r="H36" s="28" t="s">
        <v>108</v>
      </c>
      <c r="I36" s="28" t="s">
        <v>109</v>
      </c>
      <c r="J36" s="16">
        <v>1090</v>
      </c>
      <c r="K36" s="51">
        <v>0.13</v>
      </c>
      <c r="L36" s="51">
        <v>0.15</v>
      </c>
      <c r="M36" s="51">
        <v>0.14000000000000001</v>
      </c>
      <c r="N36" s="51">
        <v>0.16</v>
      </c>
      <c r="O36" s="51">
        <v>0.15</v>
      </c>
      <c r="P36" s="51">
        <v>0.14000000000000001</v>
      </c>
      <c r="Q36" s="51">
        <v>0.15</v>
      </c>
      <c r="R36" s="51">
        <v>0.14000000000000001</v>
      </c>
      <c r="S36" s="51">
        <v>0.13</v>
      </c>
      <c r="T36" s="21">
        <f t="shared" si="2"/>
        <v>0.14500000000000002</v>
      </c>
      <c r="U36" s="68">
        <v>20</v>
      </c>
      <c r="V36" s="44"/>
      <c r="W36" s="69">
        <v>1.82</v>
      </c>
      <c r="X36" s="14">
        <v>317.233</v>
      </c>
      <c r="Y36" s="22">
        <f t="shared" si="1"/>
        <v>174.30384615384614</v>
      </c>
      <c r="AA36" s="25"/>
      <c r="AB36" s="25"/>
      <c r="AC36" s="22">
        <v>0.7</v>
      </c>
      <c r="AD36" s="15">
        <v>3.8</v>
      </c>
      <c r="AE36" s="22">
        <v>1.03</v>
      </c>
      <c r="AF36" s="22">
        <v>0.48</v>
      </c>
      <c r="AG36" s="25"/>
    </row>
    <row r="37" spans="1:33" ht="15.75" customHeight="1" x14ac:dyDescent="0.25">
      <c r="A37" s="66">
        <v>23</v>
      </c>
      <c r="B37" s="19" t="s">
        <v>31</v>
      </c>
      <c r="C37" s="67" t="s">
        <v>101</v>
      </c>
      <c r="D37" s="44"/>
      <c r="E37" s="49">
        <v>45541</v>
      </c>
      <c r="F37" s="50">
        <v>8975</v>
      </c>
      <c r="G37" s="28" t="s">
        <v>91</v>
      </c>
      <c r="H37" s="28" t="s">
        <v>92</v>
      </c>
      <c r="I37" s="28" t="s">
        <v>110</v>
      </c>
      <c r="J37" s="16">
        <v>1090</v>
      </c>
      <c r="K37" s="51">
        <v>0.18</v>
      </c>
      <c r="L37" s="51">
        <v>0.17</v>
      </c>
      <c r="M37" s="51">
        <v>0.19</v>
      </c>
      <c r="N37" s="51">
        <v>0.18</v>
      </c>
      <c r="O37" s="51">
        <v>0.19</v>
      </c>
      <c r="P37" s="51">
        <v>0.18</v>
      </c>
      <c r="Q37" s="51">
        <v>0.16</v>
      </c>
      <c r="R37" s="51">
        <v>0.18</v>
      </c>
      <c r="S37" s="51">
        <v>0.18</v>
      </c>
      <c r="T37" s="21">
        <f t="shared" si="2"/>
        <v>0.17874999999999996</v>
      </c>
      <c r="U37" s="68">
        <v>3</v>
      </c>
      <c r="V37" s="44"/>
      <c r="W37" s="22">
        <v>28.09</v>
      </c>
      <c r="X37" s="14">
        <v>2381.19</v>
      </c>
      <c r="Y37" s="22">
        <f t="shared" si="1"/>
        <v>84.770024919900322</v>
      </c>
      <c r="AA37" s="25"/>
      <c r="AB37" s="25"/>
      <c r="AC37" s="22">
        <v>0.4</v>
      </c>
      <c r="AD37" s="22">
        <v>3.8</v>
      </c>
      <c r="AE37" s="22">
        <v>0.87</v>
      </c>
      <c r="AF37" s="22">
        <v>0.43</v>
      </c>
      <c r="AG37" s="25"/>
    </row>
    <row r="38" spans="1:33" ht="15.75" customHeight="1" x14ac:dyDescent="0.25">
      <c r="A38" s="66">
        <v>23</v>
      </c>
      <c r="B38" s="19" t="s">
        <v>31</v>
      </c>
      <c r="C38" s="67" t="s">
        <v>101</v>
      </c>
      <c r="D38" s="44"/>
      <c r="E38" s="49">
        <v>45541</v>
      </c>
      <c r="F38" s="50">
        <v>8974</v>
      </c>
      <c r="G38" s="70" t="s">
        <v>79</v>
      </c>
      <c r="H38" s="28" t="s">
        <v>80</v>
      </c>
      <c r="I38" s="28" t="s">
        <v>111</v>
      </c>
      <c r="J38" s="16">
        <v>1090</v>
      </c>
      <c r="K38" s="51">
        <v>0.16</v>
      </c>
      <c r="L38" s="51">
        <v>0.17</v>
      </c>
      <c r="M38" s="51">
        <v>0.15</v>
      </c>
      <c r="N38" s="51">
        <v>0.17</v>
      </c>
      <c r="O38" s="51">
        <v>0.18</v>
      </c>
      <c r="P38" s="51">
        <v>0.15</v>
      </c>
      <c r="Q38" s="51">
        <v>0.15</v>
      </c>
      <c r="R38" s="51">
        <v>0.17</v>
      </c>
      <c r="S38" s="51">
        <v>0.16</v>
      </c>
      <c r="T38" s="21">
        <f t="shared" si="2"/>
        <v>0.16250000000000001</v>
      </c>
      <c r="U38" s="68">
        <v>10</v>
      </c>
      <c r="V38" s="44"/>
      <c r="W38" s="22">
        <v>14.72</v>
      </c>
      <c r="X38" s="14">
        <v>1728.8589999999999</v>
      </c>
      <c r="Y38" s="22">
        <f t="shared" si="1"/>
        <v>117.44966032608694</v>
      </c>
      <c r="AA38" s="25"/>
      <c r="AB38" s="25"/>
      <c r="AC38" s="22">
        <v>1.3</v>
      </c>
      <c r="AD38" s="22">
        <v>6</v>
      </c>
      <c r="AE38" s="22">
        <v>1.33</v>
      </c>
      <c r="AF38" s="22">
        <v>0.68</v>
      </c>
      <c r="AG38" s="25"/>
    </row>
    <row r="39" spans="1:33" ht="15.75" customHeight="1" x14ac:dyDescent="0.25">
      <c r="A39" s="66">
        <v>23</v>
      </c>
      <c r="B39" s="19" t="s">
        <v>31</v>
      </c>
      <c r="C39" s="67" t="s">
        <v>101</v>
      </c>
      <c r="D39" s="44"/>
      <c r="E39" s="49">
        <v>45541</v>
      </c>
      <c r="F39" s="50">
        <v>8980</v>
      </c>
      <c r="G39" s="28" t="s">
        <v>43</v>
      </c>
      <c r="H39" s="28" t="s">
        <v>112</v>
      </c>
      <c r="I39" s="28" t="s">
        <v>113</v>
      </c>
      <c r="J39" s="16">
        <v>1090</v>
      </c>
      <c r="K39" s="51">
        <v>0.12</v>
      </c>
      <c r="L39" s="51">
        <v>0.13</v>
      </c>
      <c r="M39" s="51">
        <v>0.16</v>
      </c>
      <c r="N39" s="51">
        <v>0.11</v>
      </c>
      <c r="O39" s="51">
        <v>0.13</v>
      </c>
      <c r="P39" s="51">
        <v>0.12</v>
      </c>
      <c r="Q39" s="51">
        <v>0.13</v>
      </c>
      <c r="R39" s="51">
        <v>0.12</v>
      </c>
      <c r="S39" s="51">
        <v>0.13</v>
      </c>
      <c r="T39" s="21">
        <f t="shared" si="2"/>
        <v>0.1275</v>
      </c>
      <c r="U39" s="68">
        <v>20</v>
      </c>
      <c r="V39" s="44"/>
      <c r="W39" s="69">
        <v>9.1999999999999993</v>
      </c>
      <c r="X39" s="14">
        <v>1116.6099999999999</v>
      </c>
      <c r="Y39" s="22">
        <f t="shared" si="1"/>
        <v>121.37065217391304</v>
      </c>
      <c r="AA39" s="25"/>
      <c r="AB39" s="25"/>
      <c r="AC39" s="22">
        <v>0.5</v>
      </c>
      <c r="AD39" s="22">
        <v>6.4</v>
      </c>
      <c r="AE39" s="22">
        <v>1.66</v>
      </c>
      <c r="AF39" s="22">
        <v>0.94</v>
      </c>
      <c r="AG39" s="25"/>
    </row>
    <row r="40" spans="1:33" ht="15.75" customHeight="1" x14ac:dyDescent="0.25">
      <c r="A40" s="66">
        <v>23</v>
      </c>
      <c r="B40" s="19" t="s">
        <v>31</v>
      </c>
      <c r="C40" s="67" t="s">
        <v>101</v>
      </c>
      <c r="D40" s="44"/>
      <c r="E40" s="49">
        <v>45541</v>
      </c>
      <c r="F40" s="50">
        <v>8985</v>
      </c>
      <c r="G40" s="28" t="s">
        <v>62</v>
      </c>
      <c r="H40" s="44"/>
      <c r="I40" s="44"/>
      <c r="J40" s="16">
        <v>1090</v>
      </c>
      <c r="K40" s="71">
        <v>0.13</v>
      </c>
      <c r="L40" s="71">
        <v>0.11</v>
      </c>
      <c r="M40" s="71">
        <v>0.1</v>
      </c>
      <c r="N40" s="71">
        <v>0.09</v>
      </c>
      <c r="O40" s="71">
        <v>0.1</v>
      </c>
      <c r="P40" s="71">
        <v>0.09</v>
      </c>
      <c r="Q40" s="71">
        <v>0.1</v>
      </c>
      <c r="R40" s="71">
        <v>0.11</v>
      </c>
      <c r="S40" s="71">
        <v>0.1</v>
      </c>
      <c r="T40" s="21">
        <f t="shared" si="2"/>
        <v>0.10374999999999998</v>
      </c>
      <c r="U40" s="68">
        <v>20</v>
      </c>
      <c r="V40" s="44"/>
      <c r="W40" s="22">
        <v>7.3</v>
      </c>
      <c r="X40" s="14">
        <v>1401.5070000000001</v>
      </c>
      <c r="Y40" s="22">
        <f t="shared" si="1"/>
        <v>191.98726027397262</v>
      </c>
      <c r="AA40" s="25"/>
      <c r="AB40" s="25"/>
      <c r="AC40" s="44"/>
      <c r="AD40" s="44"/>
      <c r="AE40" s="44"/>
      <c r="AF40" s="44"/>
      <c r="AG40" s="25"/>
    </row>
    <row r="41" spans="1:33" ht="15.75" customHeight="1" x14ac:dyDescent="0.25">
      <c r="A41" s="72">
        <v>28</v>
      </c>
      <c r="B41" s="57" t="s">
        <v>31</v>
      </c>
      <c r="C41" s="73" t="s">
        <v>114</v>
      </c>
      <c r="D41" s="64"/>
      <c r="E41" s="74">
        <v>45537</v>
      </c>
      <c r="F41" s="60">
        <v>8733</v>
      </c>
      <c r="G41" s="36" t="s">
        <v>79</v>
      </c>
      <c r="H41" s="33" t="s">
        <v>115</v>
      </c>
      <c r="I41" s="64"/>
      <c r="J41" s="16">
        <v>1597</v>
      </c>
      <c r="K41" s="62">
        <v>0.28599999999999998</v>
      </c>
      <c r="L41" s="62">
        <v>0.29899999999999999</v>
      </c>
      <c r="M41" s="62">
        <v>0.29599999999999999</v>
      </c>
      <c r="N41" s="62">
        <v>0.23100000000000001</v>
      </c>
      <c r="O41" s="62">
        <v>0.22600000000000001</v>
      </c>
      <c r="P41" s="62">
        <v>0.22500000000000001</v>
      </c>
      <c r="Q41" s="62">
        <v>0.222</v>
      </c>
      <c r="R41" s="62">
        <v>0.214</v>
      </c>
      <c r="S41" s="62">
        <v>0.19600000000000001</v>
      </c>
      <c r="T41" s="21">
        <f t="shared" si="2"/>
        <v>0.24987500000000001</v>
      </c>
      <c r="U41" s="68">
        <v>20</v>
      </c>
      <c r="V41" s="75"/>
      <c r="W41" s="22">
        <v>7.55</v>
      </c>
      <c r="X41" s="76">
        <v>512.35</v>
      </c>
      <c r="Y41" s="22">
        <f t="shared" si="1"/>
        <v>67.860927152317885</v>
      </c>
      <c r="AA41" s="26" t="s">
        <v>116</v>
      </c>
      <c r="AB41" s="25"/>
      <c r="AC41" s="22">
        <v>1</v>
      </c>
      <c r="AD41" s="22">
        <v>4.4000000000000004</v>
      </c>
      <c r="AE41" s="22">
        <v>1.21</v>
      </c>
      <c r="AF41" s="22">
        <v>0.82</v>
      </c>
      <c r="AG41" s="25"/>
    </row>
    <row r="42" spans="1:33" ht="15.75" customHeight="1" x14ac:dyDescent="0.25">
      <c r="A42" s="66">
        <v>28</v>
      </c>
      <c r="B42" s="19" t="s">
        <v>31</v>
      </c>
      <c r="C42" s="67" t="s">
        <v>114</v>
      </c>
      <c r="D42" s="44"/>
      <c r="E42" s="77">
        <v>45537</v>
      </c>
      <c r="F42" s="50">
        <v>8738</v>
      </c>
      <c r="G42" s="28" t="s">
        <v>117</v>
      </c>
      <c r="H42" s="28" t="s">
        <v>118</v>
      </c>
      <c r="I42" s="28" t="s">
        <v>119</v>
      </c>
      <c r="J42" s="16">
        <v>1597</v>
      </c>
      <c r="K42" s="51">
        <v>0.14000000000000001</v>
      </c>
      <c r="L42" s="51">
        <v>0.16</v>
      </c>
      <c r="M42" s="51">
        <v>0.16</v>
      </c>
      <c r="N42" s="51">
        <v>0.17</v>
      </c>
      <c r="O42" s="51">
        <v>0.16</v>
      </c>
      <c r="P42" s="51">
        <v>0.18</v>
      </c>
      <c r="Q42" s="51">
        <v>0.21</v>
      </c>
      <c r="R42" s="51">
        <v>0.19</v>
      </c>
      <c r="S42" s="51">
        <v>0.21</v>
      </c>
      <c r="T42" s="21">
        <f t="shared" si="2"/>
        <v>0.17125000000000001</v>
      </c>
      <c r="U42" s="68">
        <v>20</v>
      </c>
      <c r="V42" s="78"/>
      <c r="W42" s="22">
        <v>6.56</v>
      </c>
      <c r="X42" s="115">
        <v>864.84799999999996</v>
      </c>
      <c r="Y42" s="22">
        <f t="shared" si="1"/>
        <v>131.83658536585367</v>
      </c>
      <c r="AA42" s="25"/>
      <c r="AB42" s="25"/>
      <c r="AC42" s="22">
        <v>1.3</v>
      </c>
      <c r="AD42" s="22">
        <v>4.0999999999999996</v>
      </c>
      <c r="AE42" s="22">
        <v>1.1100000000000001</v>
      </c>
      <c r="AF42" s="22">
        <v>0.7</v>
      </c>
      <c r="AG42" s="25"/>
    </row>
    <row r="43" spans="1:33" ht="15.75" customHeight="1" x14ac:dyDescent="0.25">
      <c r="A43" s="66">
        <v>28</v>
      </c>
      <c r="B43" s="19" t="s">
        <v>31</v>
      </c>
      <c r="C43" s="67" t="s">
        <v>114</v>
      </c>
      <c r="D43" s="44"/>
      <c r="E43" s="77">
        <v>45537</v>
      </c>
      <c r="F43" s="50">
        <v>8735</v>
      </c>
      <c r="G43" s="28" t="s">
        <v>91</v>
      </c>
      <c r="H43" s="28" t="s">
        <v>120</v>
      </c>
      <c r="I43" s="28" t="s">
        <v>121</v>
      </c>
      <c r="J43" s="16">
        <v>1597</v>
      </c>
      <c r="K43" s="51">
        <v>0.26</v>
      </c>
      <c r="L43" s="51">
        <v>0.24</v>
      </c>
      <c r="M43" s="51">
        <v>0.25</v>
      </c>
      <c r="N43" s="51">
        <v>0.24</v>
      </c>
      <c r="O43" s="51">
        <v>0.23</v>
      </c>
      <c r="P43" s="51">
        <v>0.22</v>
      </c>
      <c r="Q43" s="51">
        <v>0.26</v>
      </c>
      <c r="R43" s="51">
        <v>0.26</v>
      </c>
      <c r="S43" s="51">
        <v>0.25</v>
      </c>
      <c r="T43" s="21">
        <f t="shared" si="2"/>
        <v>0.245</v>
      </c>
      <c r="U43" s="68">
        <v>10</v>
      </c>
      <c r="V43" s="79"/>
      <c r="W43" s="22">
        <v>45.1</v>
      </c>
      <c r="X43" s="115">
        <v>4311.9653472</v>
      </c>
      <c r="Y43" s="22">
        <f t="shared" si="1"/>
        <v>95.608987742793786</v>
      </c>
      <c r="AA43" s="26" t="s">
        <v>116</v>
      </c>
      <c r="AB43" s="25"/>
      <c r="AC43" s="22">
        <v>1.1000000000000001</v>
      </c>
      <c r="AD43" s="22">
        <v>4.5999999999999996</v>
      </c>
      <c r="AE43" s="22">
        <v>1.25</v>
      </c>
      <c r="AF43" s="22">
        <v>0.73</v>
      </c>
      <c r="AG43" s="25"/>
    </row>
    <row r="44" spans="1:33" ht="15.75" customHeight="1" x14ac:dyDescent="0.25">
      <c r="A44" s="66">
        <v>28</v>
      </c>
      <c r="B44" s="19" t="s">
        <v>31</v>
      </c>
      <c r="C44" s="67" t="s">
        <v>114</v>
      </c>
      <c r="D44" s="44"/>
      <c r="E44" s="77">
        <v>45537</v>
      </c>
      <c r="F44" s="50">
        <v>8721</v>
      </c>
      <c r="G44" s="28" t="s">
        <v>43</v>
      </c>
      <c r="H44" s="28" t="s">
        <v>68</v>
      </c>
      <c r="I44" s="28" t="s">
        <v>122</v>
      </c>
      <c r="J44" s="16">
        <v>1597</v>
      </c>
      <c r="K44" s="51">
        <v>0.11</v>
      </c>
      <c r="L44" s="51">
        <v>0.1</v>
      </c>
      <c r="M44" s="51">
        <v>0.08</v>
      </c>
      <c r="N44" s="51">
        <v>0.09</v>
      </c>
      <c r="O44" s="51">
        <v>0.09</v>
      </c>
      <c r="P44" s="51">
        <v>0.08</v>
      </c>
      <c r="Q44" s="51">
        <v>0.08</v>
      </c>
      <c r="R44" s="51">
        <v>7.0000000000000007E-2</v>
      </c>
      <c r="S44" s="51">
        <v>7.0000000000000007E-2</v>
      </c>
      <c r="T44" s="21">
        <f t="shared" si="2"/>
        <v>8.7499999999999994E-2</v>
      </c>
      <c r="U44" s="80" t="s">
        <v>123</v>
      </c>
      <c r="V44" s="75"/>
      <c r="W44" s="22">
        <v>2.14</v>
      </c>
      <c r="X44" s="76">
        <v>298.38400000000001</v>
      </c>
      <c r="Y44" s="22">
        <f t="shared" si="1"/>
        <v>139.43177570093457</v>
      </c>
      <c r="AA44" s="25"/>
      <c r="AB44" s="25"/>
      <c r="AC44" s="22">
        <v>1.2</v>
      </c>
      <c r="AD44" s="22">
        <v>4.3</v>
      </c>
      <c r="AE44" s="22">
        <v>1.06</v>
      </c>
      <c r="AF44" s="22">
        <v>0.52</v>
      </c>
      <c r="AG44" s="25"/>
    </row>
    <row r="45" spans="1:33" ht="15.75" customHeight="1" x14ac:dyDescent="0.25">
      <c r="A45" s="66">
        <v>28</v>
      </c>
      <c r="B45" s="19" t="s">
        <v>31</v>
      </c>
      <c r="C45" s="67" t="s">
        <v>114</v>
      </c>
      <c r="D45" s="44"/>
      <c r="E45" s="77">
        <v>45537</v>
      </c>
      <c r="F45" s="50">
        <v>8726</v>
      </c>
      <c r="G45" s="28" t="s">
        <v>62</v>
      </c>
      <c r="H45" s="28" t="s">
        <v>124</v>
      </c>
      <c r="I45" s="28" t="s">
        <v>125</v>
      </c>
      <c r="J45" s="16">
        <v>1597</v>
      </c>
      <c r="K45" s="51">
        <v>0.22</v>
      </c>
      <c r="L45" s="51">
        <v>0.2</v>
      </c>
      <c r="M45" s="51">
        <v>0.21</v>
      </c>
      <c r="N45" s="51">
        <v>0.23</v>
      </c>
      <c r="O45" s="51">
        <v>0.22</v>
      </c>
      <c r="P45" s="51">
        <v>0.19</v>
      </c>
      <c r="Q45" s="51">
        <v>0.21</v>
      </c>
      <c r="R45" s="51">
        <v>0.19</v>
      </c>
      <c r="S45" s="51">
        <v>0.2</v>
      </c>
      <c r="T45" s="21">
        <f t="shared" si="2"/>
        <v>0.20874999999999999</v>
      </c>
      <c r="U45" s="68">
        <v>20</v>
      </c>
      <c r="V45" s="81"/>
      <c r="W45" s="22">
        <v>15.3</v>
      </c>
      <c r="X45" s="82">
        <v>1801.027</v>
      </c>
      <c r="Y45" s="22">
        <f t="shared" si="1"/>
        <v>117.71418300653595</v>
      </c>
      <c r="AA45" s="25"/>
      <c r="AB45" s="25"/>
      <c r="AC45" s="22">
        <v>0.9</v>
      </c>
      <c r="AD45" s="28" t="s">
        <v>126</v>
      </c>
      <c r="AE45" s="22">
        <v>1.1299999999999999</v>
      </c>
      <c r="AF45" s="22">
        <v>0.53</v>
      </c>
      <c r="AG45" s="25"/>
    </row>
    <row r="46" spans="1:33" ht="15.75" customHeight="1" x14ac:dyDescent="0.25">
      <c r="A46" s="66">
        <v>28</v>
      </c>
      <c r="B46" s="19" t="s">
        <v>31</v>
      </c>
      <c r="C46" s="67" t="s">
        <v>114</v>
      </c>
      <c r="D46" s="44"/>
      <c r="E46" s="77">
        <v>45537</v>
      </c>
      <c r="F46" s="50">
        <v>8716</v>
      </c>
      <c r="G46" s="28" t="s">
        <v>127</v>
      </c>
      <c r="H46" s="28" t="s">
        <v>128</v>
      </c>
      <c r="I46" s="28" t="s">
        <v>129</v>
      </c>
      <c r="J46" s="16">
        <v>1597</v>
      </c>
      <c r="K46" s="51">
        <v>0.26300000000000001</v>
      </c>
      <c r="L46" s="51">
        <v>0.28000000000000003</v>
      </c>
      <c r="M46" s="51">
        <v>0.28000000000000003</v>
      </c>
      <c r="N46" s="51">
        <v>0.25</v>
      </c>
      <c r="O46" s="51">
        <v>0.26500000000000001</v>
      </c>
      <c r="P46" s="51">
        <v>0.26400000000000001</v>
      </c>
      <c r="Q46" s="51">
        <v>0.32</v>
      </c>
      <c r="R46" s="51">
        <v>0.33200000000000002</v>
      </c>
      <c r="S46" s="51">
        <v>0.34399999999999997</v>
      </c>
      <c r="T46" s="21">
        <f t="shared" si="2"/>
        <v>0.28175</v>
      </c>
      <c r="U46" s="68">
        <v>20</v>
      </c>
      <c r="V46" s="75"/>
      <c r="W46" s="22">
        <v>8.61</v>
      </c>
      <c r="X46" s="76">
        <v>802.72299999999996</v>
      </c>
      <c r="Y46" s="22">
        <f t="shared" si="1"/>
        <v>93.231475029036005</v>
      </c>
      <c r="AA46" s="26" t="s">
        <v>116</v>
      </c>
      <c r="AB46" s="25"/>
      <c r="AC46" s="22">
        <v>1.2</v>
      </c>
      <c r="AD46" s="22">
        <v>4.5999999999999996</v>
      </c>
      <c r="AE46" s="22">
        <v>1.1100000000000001</v>
      </c>
      <c r="AF46" s="22">
        <v>0.45</v>
      </c>
      <c r="AG46" s="25"/>
    </row>
    <row r="47" spans="1:33" ht="15.75" customHeight="1" x14ac:dyDescent="0.25">
      <c r="A47" s="66">
        <v>28</v>
      </c>
      <c r="B47" s="19" t="s">
        <v>31</v>
      </c>
      <c r="C47" s="67" t="s">
        <v>114</v>
      </c>
      <c r="D47" s="44"/>
      <c r="E47" s="77">
        <v>45537</v>
      </c>
      <c r="F47" s="50">
        <v>8718</v>
      </c>
      <c r="G47" s="28" t="s">
        <v>88</v>
      </c>
      <c r="H47" s="28" t="s">
        <v>94</v>
      </c>
      <c r="I47" s="28" t="s">
        <v>130</v>
      </c>
      <c r="J47" s="16">
        <v>1597</v>
      </c>
      <c r="K47" s="51">
        <v>0.2</v>
      </c>
      <c r="L47" s="51">
        <v>0.19</v>
      </c>
      <c r="M47" s="51">
        <v>0.22</v>
      </c>
      <c r="N47" s="51">
        <v>0.22</v>
      </c>
      <c r="O47" s="51">
        <v>0.2</v>
      </c>
      <c r="P47" s="51">
        <v>0.24</v>
      </c>
      <c r="Q47" s="51">
        <v>0.21</v>
      </c>
      <c r="R47" s="51">
        <v>0.19</v>
      </c>
      <c r="S47" s="51">
        <v>0.22</v>
      </c>
      <c r="T47" s="21">
        <f t="shared" si="2"/>
        <v>0.20874999999999999</v>
      </c>
      <c r="U47" s="68">
        <v>20</v>
      </c>
      <c r="V47" s="83"/>
      <c r="W47" s="22">
        <v>19.22</v>
      </c>
      <c r="X47" s="83">
        <v>1255.319</v>
      </c>
      <c r="Y47" s="22">
        <f t="shared" si="1"/>
        <v>65.313163371488031</v>
      </c>
      <c r="AA47" s="26" t="s">
        <v>116</v>
      </c>
      <c r="AB47" s="25"/>
      <c r="AC47" s="44"/>
      <c r="AD47" s="44"/>
      <c r="AE47" s="44"/>
      <c r="AF47" s="44"/>
      <c r="AG47" s="25"/>
    </row>
    <row r="48" spans="1:33" ht="15.75" customHeight="1" x14ac:dyDescent="0.25">
      <c r="A48" s="66">
        <v>28</v>
      </c>
      <c r="B48" s="19" t="s">
        <v>31</v>
      </c>
      <c r="C48" s="67" t="s">
        <v>114</v>
      </c>
      <c r="D48" s="44"/>
      <c r="E48" s="77">
        <v>45537</v>
      </c>
      <c r="F48" s="50">
        <v>8711</v>
      </c>
      <c r="G48" s="28" t="s">
        <v>91</v>
      </c>
      <c r="H48" s="28" t="s">
        <v>120</v>
      </c>
      <c r="I48" s="84" t="s">
        <v>121</v>
      </c>
      <c r="J48" s="16">
        <v>1597</v>
      </c>
      <c r="K48" s="85">
        <v>0.24299999999999999</v>
      </c>
      <c r="L48" s="85">
        <v>0.25</v>
      </c>
      <c r="M48" s="85">
        <v>0.24299999999999999</v>
      </c>
      <c r="N48" s="85">
        <v>0.23300000000000001</v>
      </c>
      <c r="O48" s="85">
        <v>0.24099999999999999</v>
      </c>
      <c r="P48" s="85">
        <v>0.23300000000000001</v>
      </c>
      <c r="Q48" s="85">
        <v>0.24199999999999999</v>
      </c>
      <c r="R48" s="85">
        <v>0.23100000000000001</v>
      </c>
      <c r="S48" s="85">
        <v>0.24099999999999999</v>
      </c>
      <c r="T48" s="86">
        <f t="shared" si="2"/>
        <v>0.23950000000000002</v>
      </c>
      <c r="U48" s="68">
        <v>10</v>
      </c>
      <c r="V48" s="75">
        <v>1</v>
      </c>
      <c r="W48" s="22">
        <v>17.16</v>
      </c>
      <c r="X48" s="115">
        <v>1834.8252084799999</v>
      </c>
      <c r="Y48" s="22">
        <f t="shared" si="1"/>
        <v>106.92454594871795</v>
      </c>
      <c r="AA48" s="24"/>
      <c r="AB48" s="25"/>
      <c r="AC48" s="22">
        <v>0.8</v>
      </c>
      <c r="AD48" s="22">
        <v>4.4000000000000004</v>
      </c>
      <c r="AE48" s="22">
        <v>1.1399999999999999</v>
      </c>
      <c r="AF48" s="22">
        <v>0.56999999999999995</v>
      </c>
      <c r="AG48" s="25"/>
    </row>
    <row r="49" spans="1:33" ht="15.75" customHeight="1" x14ac:dyDescent="0.25">
      <c r="A49" s="66">
        <v>28</v>
      </c>
      <c r="B49" s="19" t="s">
        <v>31</v>
      </c>
      <c r="C49" s="67" t="s">
        <v>114</v>
      </c>
      <c r="D49" s="44"/>
      <c r="E49" s="77">
        <v>45537</v>
      </c>
      <c r="F49" s="50">
        <v>8708</v>
      </c>
      <c r="G49" s="28" t="s">
        <v>96</v>
      </c>
      <c r="H49" s="28" t="s">
        <v>97</v>
      </c>
      <c r="I49" s="84" t="s">
        <v>131</v>
      </c>
      <c r="J49" s="16">
        <v>1597</v>
      </c>
      <c r="K49" s="85">
        <v>0.23300000000000001</v>
      </c>
      <c r="L49" s="85">
        <v>0.23100000000000001</v>
      </c>
      <c r="M49" s="85">
        <v>0.22900000000000001</v>
      </c>
      <c r="N49" s="85">
        <v>0.23100000000000001</v>
      </c>
      <c r="O49" s="85">
        <v>0.22800000000000001</v>
      </c>
      <c r="P49" s="85">
        <v>0.22700000000000001</v>
      </c>
      <c r="Q49" s="85">
        <v>0.245</v>
      </c>
      <c r="R49" s="85">
        <v>0.247</v>
      </c>
      <c r="S49" s="85">
        <v>0.23899999999999999</v>
      </c>
      <c r="T49" s="86">
        <f t="shared" si="2"/>
        <v>0.233875</v>
      </c>
      <c r="U49" s="68">
        <v>20</v>
      </c>
      <c r="V49" s="78"/>
      <c r="W49" s="22">
        <v>14.99</v>
      </c>
      <c r="X49" s="83">
        <v>1455.1110000000001</v>
      </c>
      <c r="Y49" s="22">
        <f t="shared" si="1"/>
        <v>97.072114743162118</v>
      </c>
      <c r="AA49" s="24"/>
      <c r="AB49" s="25"/>
      <c r="AC49" s="22">
        <v>0.7</v>
      </c>
      <c r="AD49" s="28" t="s">
        <v>132</v>
      </c>
      <c r="AE49" s="22">
        <v>1.08</v>
      </c>
      <c r="AF49" s="22">
        <v>0.42</v>
      </c>
      <c r="AG49" s="25"/>
    </row>
    <row r="50" spans="1:33" ht="15.75" customHeight="1" x14ac:dyDescent="0.25">
      <c r="A50" s="66">
        <v>28</v>
      </c>
      <c r="B50" s="19" t="s">
        <v>31</v>
      </c>
      <c r="C50" s="67" t="s">
        <v>114</v>
      </c>
      <c r="D50" s="44"/>
      <c r="E50" s="77">
        <v>45537</v>
      </c>
      <c r="F50" s="50">
        <v>8702</v>
      </c>
      <c r="G50" s="28" t="s">
        <v>133</v>
      </c>
      <c r="H50" s="28" t="s">
        <v>134</v>
      </c>
      <c r="I50" s="87"/>
      <c r="J50" s="16">
        <v>1597</v>
      </c>
      <c r="K50" s="88">
        <v>0.378</v>
      </c>
      <c r="L50" s="88">
        <v>0.371</v>
      </c>
      <c r="M50" s="88">
        <v>0.377</v>
      </c>
      <c r="N50" s="88">
        <v>0.38200000000000001</v>
      </c>
      <c r="O50" s="88">
        <v>0.38800000000000001</v>
      </c>
      <c r="P50" s="88">
        <v>0.379</v>
      </c>
      <c r="Q50" s="88">
        <v>0.36799999999999999</v>
      </c>
      <c r="R50" s="88">
        <v>0.36</v>
      </c>
      <c r="S50" s="88">
        <v>0.35599999999999998</v>
      </c>
      <c r="T50" s="89">
        <f t="shared" si="2"/>
        <v>0.37537499999999996</v>
      </c>
      <c r="U50" s="68">
        <v>20</v>
      </c>
      <c r="V50" s="75"/>
      <c r="W50" s="22">
        <v>10.76</v>
      </c>
      <c r="X50" s="76">
        <v>817.68600000000004</v>
      </c>
      <c r="Y50" s="22">
        <f t="shared" si="1"/>
        <v>75.993122676579929</v>
      </c>
      <c r="AA50" s="24"/>
      <c r="AB50" s="25"/>
      <c r="AC50" s="22">
        <v>0.8</v>
      </c>
      <c r="AD50" s="22">
        <v>6</v>
      </c>
      <c r="AE50" s="22">
        <v>1.5</v>
      </c>
      <c r="AF50" s="22">
        <v>0.86</v>
      </c>
      <c r="AG50" s="25"/>
    </row>
    <row r="51" spans="1:33" ht="15.75" customHeight="1" x14ac:dyDescent="0.25">
      <c r="A51" s="66">
        <v>28</v>
      </c>
      <c r="B51" s="19" t="s">
        <v>31</v>
      </c>
      <c r="C51" s="67" t="s">
        <v>114</v>
      </c>
      <c r="D51" s="44"/>
      <c r="E51" s="77">
        <v>45537</v>
      </c>
      <c r="F51" s="50">
        <v>8713</v>
      </c>
      <c r="G51" s="19" t="s">
        <v>135</v>
      </c>
      <c r="H51" s="28" t="s">
        <v>136</v>
      </c>
      <c r="I51" s="84" t="s">
        <v>137</v>
      </c>
      <c r="J51" s="16">
        <v>1597</v>
      </c>
      <c r="K51" s="88">
        <v>0.182</v>
      </c>
      <c r="L51" s="88">
        <v>0.188</v>
      </c>
      <c r="M51" s="88">
        <v>0.16900000000000001</v>
      </c>
      <c r="N51" s="88">
        <v>0.182</v>
      </c>
      <c r="O51" s="88">
        <v>0.187</v>
      </c>
      <c r="P51" s="88">
        <v>0.189</v>
      </c>
      <c r="Q51" s="88">
        <v>0.191</v>
      </c>
      <c r="R51" s="88">
        <v>0.188</v>
      </c>
      <c r="S51" s="88">
        <v>0.187</v>
      </c>
      <c r="T51" s="89">
        <f t="shared" si="2"/>
        <v>0.18450000000000003</v>
      </c>
      <c r="U51" s="90" t="s">
        <v>138</v>
      </c>
      <c r="V51" s="79"/>
      <c r="W51" s="22">
        <v>21.92</v>
      </c>
      <c r="X51" s="76">
        <v>2376.0740000000001</v>
      </c>
      <c r="Y51" s="22">
        <f t="shared" si="1"/>
        <v>108.39753649635036</v>
      </c>
      <c r="AA51" s="24"/>
      <c r="AB51" s="91"/>
      <c r="AC51" s="92">
        <v>1.4</v>
      </c>
      <c r="AD51" s="92">
        <v>2.85</v>
      </c>
      <c r="AE51" s="92">
        <v>0.6</v>
      </c>
      <c r="AF51" s="92">
        <v>0.2</v>
      </c>
    </row>
    <row r="52" spans="1:33" ht="15.75" customHeight="1" x14ac:dyDescent="0.25">
      <c r="A52" s="66">
        <v>28</v>
      </c>
      <c r="B52" s="19" t="s">
        <v>31</v>
      </c>
      <c r="C52" s="67" t="s">
        <v>114</v>
      </c>
      <c r="D52" s="44"/>
      <c r="E52" s="77">
        <v>45537</v>
      </c>
      <c r="F52" s="50">
        <v>8715</v>
      </c>
      <c r="G52" s="28" t="s">
        <v>62</v>
      </c>
      <c r="H52" s="28" t="s">
        <v>139</v>
      </c>
      <c r="I52" s="87"/>
      <c r="J52" s="16">
        <v>1597</v>
      </c>
      <c r="K52" s="88">
        <v>0.16</v>
      </c>
      <c r="L52" s="88">
        <v>0.14000000000000001</v>
      </c>
      <c r="M52" s="88">
        <v>0.13</v>
      </c>
      <c r="N52" s="88">
        <v>0.14000000000000001</v>
      </c>
      <c r="O52" s="88">
        <v>0.15</v>
      </c>
      <c r="P52" s="88">
        <v>0.15</v>
      </c>
      <c r="Q52" s="88">
        <v>0.15</v>
      </c>
      <c r="R52" s="88">
        <v>0.14000000000000001</v>
      </c>
      <c r="S52" s="88">
        <v>0.15</v>
      </c>
      <c r="T52" s="89">
        <f t="shared" si="2"/>
        <v>0.14500000000000002</v>
      </c>
      <c r="U52" s="68">
        <v>14</v>
      </c>
      <c r="V52" s="79"/>
      <c r="W52" s="22">
        <v>8.9700000000000006</v>
      </c>
      <c r="X52" s="115">
        <v>825.06499999999994</v>
      </c>
      <c r="Y52" s="22">
        <f t="shared" si="1"/>
        <v>91.980490523968768</v>
      </c>
      <c r="AA52" s="24"/>
      <c r="AB52" s="91"/>
      <c r="AC52" s="93"/>
      <c r="AD52" s="93"/>
      <c r="AE52" s="93"/>
      <c r="AF52" s="93"/>
    </row>
    <row r="53" spans="1:33" ht="15.75" customHeight="1" x14ac:dyDescent="0.25">
      <c r="A53" s="66">
        <v>50</v>
      </c>
      <c r="B53" s="28" t="s">
        <v>31</v>
      </c>
      <c r="C53" s="67" t="s">
        <v>140</v>
      </c>
      <c r="D53" s="44"/>
      <c r="E53" s="77">
        <v>45537</v>
      </c>
      <c r="F53" s="50">
        <v>8786</v>
      </c>
      <c r="G53" s="28" t="s">
        <v>50</v>
      </c>
      <c r="H53" s="28" t="s">
        <v>141</v>
      </c>
      <c r="I53" s="84" t="s">
        <v>142</v>
      </c>
      <c r="J53" s="94">
        <v>1557</v>
      </c>
      <c r="K53" s="88">
        <v>0.111</v>
      </c>
      <c r="L53" s="88">
        <v>0.112</v>
      </c>
      <c r="M53" s="88">
        <v>0.11600000000000001</v>
      </c>
      <c r="N53" s="88">
        <v>0.125</v>
      </c>
      <c r="O53" s="88">
        <v>0.124</v>
      </c>
      <c r="P53" s="88">
        <v>0.123</v>
      </c>
      <c r="Q53" s="88">
        <v>0.13100000000000001</v>
      </c>
      <c r="R53" s="88">
        <v>0.127</v>
      </c>
      <c r="S53" s="88">
        <v>0.123</v>
      </c>
      <c r="T53" s="89">
        <f t="shared" si="2"/>
        <v>0.12112500000000001</v>
      </c>
      <c r="U53" s="68">
        <v>20</v>
      </c>
      <c r="V53" s="44"/>
      <c r="W53" s="22">
        <v>24.37</v>
      </c>
      <c r="X53" s="115">
        <v>2724.8620000000001</v>
      </c>
      <c r="Y53" s="22">
        <f t="shared" si="1"/>
        <v>111.81214608124743</v>
      </c>
      <c r="AA53" s="24"/>
      <c r="AB53" s="91"/>
      <c r="AC53" s="92">
        <v>0.4</v>
      </c>
      <c r="AD53" s="92">
        <v>5.2</v>
      </c>
      <c r="AE53" s="92">
        <v>1.34</v>
      </c>
      <c r="AF53" s="92">
        <v>0.61</v>
      </c>
    </row>
    <row r="54" spans="1:33" ht="15.75" customHeight="1" x14ac:dyDescent="0.25">
      <c r="A54" s="66">
        <v>50</v>
      </c>
      <c r="B54" s="28" t="s">
        <v>31</v>
      </c>
      <c r="C54" s="67" t="s">
        <v>140</v>
      </c>
      <c r="D54" s="44"/>
      <c r="E54" s="49">
        <v>45538</v>
      </c>
      <c r="F54" s="50">
        <v>8796</v>
      </c>
      <c r="G54" s="28" t="s">
        <v>82</v>
      </c>
      <c r="H54" s="28" t="s">
        <v>143</v>
      </c>
      <c r="I54" s="84" t="s">
        <v>144</v>
      </c>
      <c r="J54" s="94">
        <v>1557</v>
      </c>
      <c r="K54" s="88">
        <v>0.188</v>
      </c>
      <c r="L54" s="88">
        <v>0.183</v>
      </c>
      <c r="M54" s="88">
        <v>0.17599999999999999</v>
      </c>
      <c r="N54" s="88">
        <v>0.17399999999999999</v>
      </c>
      <c r="O54" s="88">
        <v>0.17499999999999999</v>
      </c>
      <c r="P54" s="88">
        <v>0.17299999999999999</v>
      </c>
      <c r="Q54" s="88">
        <v>0.18099999999999999</v>
      </c>
      <c r="R54" s="88">
        <v>0.182</v>
      </c>
      <c r="S54" s="88">
        <v>0.17599999999999999</v>
      </c>
      <c r="T54" s="89">
        <f t="shared" si="2"/>
        <v>0.17899999999999999</v>
      </c>
      <c r="U54" s="68">
        <v>20</v>
      </c>
      <c r="V54" s="44"/>
      <c r="W54" s="22">
        <v>10.56</v>
      </c>
      <c r="X54" s="44">
        <v>1277.7539999999999</v>
      </c>
      <c r="Y54" s="22">
        <f t="shared" si="1"/>
        <v>120.9994318181818</v>
      </c>
      <c r="AA54" s="24"/>
      <c r="AB54" s="91"/>
      <c r="AC54" s="92">
        <v>0.3</v>
      </c>
      <c r="AD54" s="92">
        <v>5</v>
      </c>
      <c r="AE54" s="92">
        <v>1.3</v>
      </c>
      <c r="AF54" s="92">
        <v>0.86</v>
      </c>
    </row>
    <row r="55" spans="1:33" ht="15.75" customHeight="1" x14ac:dyDescent="0.25">
      <c r="A55" s="66">
        <v>50</v>
      </c>
      <c r="B55" s="28" t="s">
        <v>31</v>
      </c>
      <c r="C55" s="67" t="s">
        <v>140</v>
      </c>
      <c r="D55" s="44"/>
      <c r="E55" s="49">
        <v>45538</v>
      </c>
      <c r="F55" s="50">
        <v>8800</v>
      </c>
      <c r="G55" s="28" t="s">
        <v>133</v>
      </c>
      <c r="H55" s="28" t="s">
        <v>145</v>
      </c>
      <c r="I55" s="84" t="s">
        <v>146</v>
      </c>
      <c r="J55" s="94">
        <v>1557</v>
      </c>
      <c r="K55" s="88">
        <v>0.13400000000000001</v>
      </c>
      <c r="L55" s="88">
        <v>0.123</v>
      </c>
      <c r="M55" s="88">
        <v>0.123</v>
      </c>
      <c r="N55" s="88">
        <v>0.13200000000000001</v>
      </c>
      <c r="O55" s="88">
        <v>0.128</v>
      </c>
      <c r="P55" s="88">
        <v>0.123</v>
      </c>
      <c r="Q55" s="88">
        <v>0.122</v>
      </c>
      <c r="R55" s="88">
        <v>0.123</v>
      </c>
      <c r="S55" s="88">
        <v>0.121</v>
      </c>
      <c r="T55" s="89">
        <f t="shared" si="2"/>
        <v>0.126</v>
      </c>
      <c r="U55" s="68">
        <v>20</v>
      </c>
      <c r="V55" s="44"/>
      <c r="W55" s="22">
        <v>3.05</v>
      </c>
      <c r="X55" s="44">
        <v>320.44799999999998</v>
      </c>
      <c r="Y55" s="22">
        <f t="shared" si="1"/>
        <v>105.06491803278688</v>
      </c>
      <c r="AA55" s="24"/>
      <c r="AB55" s="91"/>
      <c r="AC55" s="92">
        <v>0.4</v>
      </c>
      <c r="AD55" s="92">
        <v>4.8</v>
      </c>
      <c r="AE55" s="92">
        <v>1.21</v>
      </c>
      <c r="AF55" s="92">
        <v>0.51</v>
      </c>
    </row>
    <row r="56" spans="1:33" ht="15.75" customHeight="1" x14ac:dyDescent="0.25">
      <c r="A56" s="66">
        <v>50</v>
      </c>
      <c r="B56" s="28" t="s">
        <v>31</v>
      </c>
      <c r="C56" s="67" t="s">
        <v>140</v>
      </c>
      <c r="D56" s="44"/>
      <c r="E56" s="49">
        <v>45538</v>
      </c>
      <c r="F56" s="50">
        <v>8778</v>
      </c>
      <c r="G56" s="28" t="s">
        <v>96</v>
      </c>
      <c r="H56" s="28" t="s">
        <v>147</v>
      </c>
      <c r="I56" s="84" t="s">
        <v>148</v>
      </c>
      <c r="J56" s="94">
        <v>1557</v>
      </c>
      <c r="K56" s="88">
        <v>0.16500000000000001</v>
      </c>
      <c r="L56" s="88">
        <v>0.16400000000000001</v>
      </c>
      <c r="M56" s="88">
        <v>0.16700000000000001</v>
      </c>
      <c r="N56" s="88">
        <v>0.16300000000000001</v>
      </c>
      <c r="O56" s="88">
        <v>0.16400000000000001</v>
      </c>
      <c r="P56" s="88">
        <v>0.161</v>
      </c>
      <c r="Q56" s="88">
        <v>0.16400000000000001</v>
      </c>
      <c r="R56" s="88">
        <v>0.16300000000000001</v>
      </c>
      <c r="S56" s="88">
        <v>0.16700000000000001</v>
      </c>
      <c r="T56" s="89">
        <f t="shared" si="2"/>
        <v>0.16387500000000002</v>
      </c>
      <c r="U56" s="68">
        <v>20</v>
      </c>
      <c r="V56" s="44"/>
      <c r="W56" s="22">
        <v>11.83</v>
      </c>
      <c r="X56" s="115">
        <v>1037.6300000000001</v>
      </c>
      <c r="Y56" s="22">
        <f t="shared" si="1"/>
        <v>87.711749788672876</v>
      </c>
      <c r="AA56" s="24"/>
      <c r="AB56" s="91"/>
      <c r="AC56" s="92">
        <v>0.5</v>
      </c>
      <c r="AD56" s="92">
        <v>5.0999999999999996</v>
      </c>
      <c r="AE56" s="92">
        <v>1.1299999999999999</v>
      </c>
      <c r="AF56" s="92">
        <v>0.5</v>
      </c>
    </row>
    <row r="57" spans="1:33" ht="15.75" customHeight="1" x14ac:dyDescent="0.25">
      <c r="A57" s="66">
        <v>50</v>
      </c>
      <c r="B57" s="28" t="s">
        <v>31</v>
      </c>
      <c r="C57" s="67" t="s">
        <v>140</v>
      </c>
      <c r="D57" s="44"/>
      <c r="E57" s="49">
        <v>45538</v>
      </c>
      <c r="F57" s="50">
        <v>8780</v>
      </c>
      <c r="G57" s="28" t="s">
        <v>149</v>
      </c>
      <c r="H57" s="28" t="s">
        <v>150</v>
      </c>
      <c r="I57" s="84" t="s">
        <v>151</v>
      </c>
      <c r="J57" s="94">
        <v>1557</v>
      </c>
      <c r="K57" s="88">
        <v>0.25</v>
      </c>
      <c r="L57" s="88">
        <v>0.26</v>
      </c>
      <c r="M57" s="88">
        <v>0.24</v>
      </c>
      <c r="N57" s="88">
        <v>0.22</v>
      </c>
      <c r="O57" s="88">
        <v>0.255</v>
      </c>
      <c r="P57" s="88">
        <v>0.254</v>
      </c>
      <c r="Q57" s="88">
        <v>0.22</v>
      </c>
      <c r="R57" s="88">
        <v>0.24</v>
      </c>
      <c r="S57" s="88">
        <v>0.216</v>
      </c>
      <c r="T57" s="89">
        <f t="shared" si="2"/>
        <v>0.24237500000000001</v>
      </c>
      <c r="U57" s="68">
        <v>20</v>
      </c>
      <c r="V57" s="44"/>
      <c r="W57" s="22">
        <v>11.4</v>
      </c>
      <c r="X57" s="44">
        <v>1440.586</v>
      </c>
      <c r="Y57" s="22">
        <f t="shared" si="1"/>
        <v>126.36719298245613</v>
      </c>
      <c r="AA57" s="24"/>
      <c r="AB57" s="91"/>
      <c r="AC57" s="92">
        <v>0.5</v>
      </c>
      <c r="AD57" s="92">
        <v>7.2</v>
      </c>
      <c r="AE57" s="92">
        <v>1.52</v>
      </c>
      <c r="AF57" s="92">
        <v>0.85</v>
      </c>
    </row>
    <row r="58" spans="1:33" ht="15.75" customHeight="1" x14ac:dyDescent="0.25">
      <c r="A58" s="66">
        <v>50</v>
      </c>
      <c r="B58" s="28" t="s">
        <v>31</v>
      </c>
      <c r="C58" s="67" t="s">
        <v>140</v>
      </c>
      <c r="D58" s="44"/>
      <c r="E58" s="49">
        <v>45538</v>
      </c>
      <c r="F58" s="50">
        <v>8615</v>
      </c>
      <c r="G58" s="28" t="s">
        <v>96</v>
      </c>
      <c r="H58" s="28" t="s">
        <v>97</v>
      </c>
      <c r="I58" s="84" t="s">
        <v>152</v>
      </c>
      <c r="J58" s="94">
        <v>1557</v>
      </c>
      <c r="K58" s="88">
        <v>0.34499999999999997</v>
      </c>
      <c r="L58" s="88">
        <v>0.26600000000000001</v>
      </c>
      <c r="M58" s="88">
        <v>0.26200000000000001</v>
      </c>
      <c r="N58" s="88">
        <v>0.31</v>
      </c>
      <c r="O58" s="88">
        <v>0.36</v>
      </c>
      <c r="P58" s="88">
        <v>0.31</v>
      </c>
      <c r="Q58" s="88">
        <v>0.24</v>
      </c>
      <c r="R58" s="88">
        <v>0.25</v>
      </c>
      <c r="S58" s="88">
        <v>0.25</v>
      </c>
      <c r="T58" s="89">
        <f t="shared" si="2"/>
        <v>0.292875</v>
      </c>
      <c r="U58" s="68">
        <v>20</v>
      </c>
      <c r="V58" s="95"/>
      <c r="W58" s="22">
        <v>7.31</v>
      </c>
      <c r="X58" s="95">
        <v>459.26299999999998</v>
      </c>
      <c r="Y58" s="22">
        <f t="shared" si="1"/>
        <v>62.826675786593711</v>
      </c>
      <c r="AA58" s="24"/>
      <c r="AB58" s="91"/>
      <c r="AC58" s="92">
        <v>1.3</v>
      </c>
      <c r="AD58" s="92">
        <v>3.3</v>
      </c>
      <c r="AE58" s="92">
        <v>0.73</v>
      </c>
      <c r="AF58" s="92">
        <v>0.43</v>
      </c>
    </row>
    <row r="59" spans="1:33" ht="15.75" customHeight="1" x14ac:dyDescent="0.25">
      <c r="A59" s="66">
        <v>50</v>
      </c>
      <c r="B59" s="28" t="s">
        <v>31</v>
      </c>
      <c r="C59" s="67" t="s">
        <v>140</v>
      </c>
      <c r="D59" s="44"/>
      <c r="E59" s="49">
        <v>45538</v>
      </c>
      <c r="F59" s="50">
        <v>8612</v>
      </c>
      <c r="G59" s="28" t="s">
        <v>153</v>
      </c>
      <c r="H59" s="28" t="s">
        <v>154</v>
      </c>
      <c r="I59" s="84" t="s">
        <v>155</v>
      </c>
      <c r="J59" s="94">
        <v>1557</v>
      </c>
      <c r="K59" s="88">
        <v>0.17</v>
      </c>
      <c r="L59" s="88">
        <v>0.16</v>
      </c>
      <c r="M59" s="88">
        <v>0.18</v>
      </c>
      <c r="N59" s="88">
        <v>0.17</v>
      </c>
      <c r="O59" s="88">
        <v>0.19</v>
      </c>
      <c r="P59" s="88">
        <v>0.19</v>
      </c>
      <c r="Q59" s="88">
        <v>0.16</v>
      </c>
      <c r="R59" s="88">
        <v>0.18</v>
      </c>
      <c r="S59" s="88">
        <v>0.2</v>
      </c>
      <c r="T59" s="89">
        <f t="shared" si="2"/>
        <v>0.17499999999999999</v>
      </c>
      <c r="U59" s="68">
        <v>7</v>
      </c>
      <c r="V59" s="96"/>
      <c r="W59" s="22">
        <v>15.49</v>
      </c>
      <c r="X59" s="96">
        <v>1068.9939999999999</v>
      </c>
      <c r="Y59" s="22">
        <f t="shared" si="1"/>
        <v>69.011878631375069</v>
      </c>
      <c r="AA59" s="91"/>
      <c r="AB59" s="91"/>
      <c r="AC59" s="53"/>
      <c r="AD59" s="53"/>
      <c r="AE59" s="53"/>
      <c r="AF59" s="53"/>
    </row>
    <row r="60" spans="1:33" ht="15.75" customHeight="1" x14ac:dyDescent="0.25">
      <c r="A60" s="66">
        <v>50</v>
      </c>
      <c r="B60" s="28" t="s">
        <v>31</v>
      </c>
      <c r="C60" s="67" t="s">
        <v>140</v>
      </c>
      <c r="D60" s="44"/>
      <c r="E60" s="49">
        <v>45538</v>
      </c>
      <c r="F60" s="50">
        <v>8609</v>
      </c>
      <c r="G60" s="28" t="s">
        <v>156</v>
      </c>
      <c r="H60" s="28" t="s">
        <v>157</v>
      </c>
      <c r="I60" s="84" t="s">
        <v>158</v>
      </c>
      <c r="J60" s="94">
        <v>1557</v>
      </c>
      <c r="K60" s="88">
        <v>0.57999999999999996</v>
      </c>
      <c r="L60" s="88">
        <v>0.56000000000000005</v>
      </c>
      <c r="M60" s="88">
        <v>0.56999999999999995</v>
      </c>
      <c r="N60" s="88">
        <v>0.51</v>
      </c>
      <c r="O60" s="88">
        <v>0.52300000000000002</v>
      </c>
      <c r="P60" s="88">
        <v>0.51</v>
      </c>
      <c r="Q60" s="88">
        <v>0.51</v>
      </c>
      <c r="R60" s="88">
        <v>0.48</v>
      </c>
      <c r="S60" s="88">
        <v>0.46</v>
      </c>
      <c r="T60" s="89">
        <f t="shared" si="2"/>
        <v>0.53037500000000004</v>
      </c>
      <c r="U60" s="68">
        <v>6</v>
      </c>
      <c r="V60" s="96"/>
      <c r="W60" s="22">
        <v>23.17</v>
      </c>
      <c r="X60" s="96">
        <v>1169.0930000000001</v>
      </c>
      <c r="Y60" s="22">
        <f t="shared" si="1"/>
        <v>50.45718601640052</v>
      </c>
      <c r="AA60" s="24"/>
      <c r="AB60" s="91"/>
      <c r="AC60" s="92">
        <v>0.7</v>
      </c>
      <c r="AD60" s="92">
        <v>6.2</v>
      </c>
      <c r="AE60" s="92">
        <v>1.1399999999999999</v>
      </c>
      <c r="AF60" s="92">
        <v>0.44</v>
      </c>
    </row>
    <row r="61" spans="1:33" ht="15.75" customHeight="1" x14ac:dyDescent="0.25">
      <c r="A61" s="66">
        <v>50</v>
      </c>
      <c r="B61" s="28" t="s">
        <v>31</v>
      </c>
      <c r="C61" s="67" t="s">
        <v>140</v>
      </c>
      <c r="D61" s="44"/>
      <c r="E61" s="49">
        <v>45538</v>
      </c>
      <c r="F61" s="50">
        <v>8789</v>
      </c>
      <c r="G61" s="28" t="s">
        <v>91</v>
      </c>
      <c r="H61" s="28" t="s">
        <v>92</v>
      </c>
      <c r="I61" s="87"/>
      <c r="J61" s="94">
        <v>1557</v>
      </c>
      <c r="K61" s="88">
        <v>0.184</v>
      </c>
      <c r="L61" s="88">
        <v>0.20100000000000001</v>
      </c>
      <c r="M61" s="88">
        <v>0.24199999999999999</v>
      </c>
      <c r="N61" s="88">
        <v>0.221</v>
      </c>
      <c r="O61" s="88">
        <v>0.223</v>
      </c>
      <c r="P61" s="88">
        <v>0.224</v>
      </c>
      <c r="Q61" s="88">
        <v>0.23400000000000001</v>
      </c>
      <c r="R61" s="88">
        <v>0.222</v>
      </c>
      <c r="S61" s="88">
        <v>0.22700000000000001</v>
      </c>
      <c r="T61" s="89">
        <f t="shared" si="2"/>
        <v>0.21887499999999999</v>
      </c>
      <c r="U61" s="68">
        <v>6</v>
      </c>
      <c r="V61" s="96"/>
      <c r="W61" s="22">
        <v>27.64</v>
      </c>
      <c r="X61" s="96">
        <v>2399.2449999999999</v>
      </c>
      <c r="Y61" s="22">
        <f t="shared" si="1"/>
        <v>86.803364688856718</v>
      </c>
      <c r="AA61" s="24"/>
      <c r="AB61" s="91"/>
      <c r="AC61" s="92">
        <v>0.7</v>
      </c>
      <c r="AD61" s="92">
        <v>5.9</v>
      </c>
      <c r="AE61" s="92">
        <v>1.23</v>
      </c>
      <c r="AF61" s="92">
        <v>0.67</v>
      </c>
    </row>
    <row r="62" spans="1:33" ht="15.75" customHeight="1" x14ac:dyDescent="0.25">
      <c r="A62" s="66">
        <v>50</v>
      </c>
      <c r="B62" s="28" t="s">
        <v>31</v>
      </c>
      <c r="C62" s="67" t="s">
        <v>140</v>
      </c>
      <c r="D62" s="44"/>
      <c r="E62" s="49">
        <v>45538</v>
      </c>
      <c r="F62" s="50">
        <v>8613</v>
      </c>
      <c r="G62" s="28" t="s">
        <v>74</v>
      </c>
      <c r="H62" s="28" t="s">
        <v>159</v>
      </c>
      <c r="I62" s="87"/>
      <c r="J62" s="94">
        <v>1557</v>
      </c>
      <c r="K62" s="88">
        <v>0.19</v>
      </c>
      <c r="L62" s="88">
        <v>0.17</v>
      </c>
      <c r="M62" s="88">
        <v>0.17</v>
      </c>
      <c r="N62" s="88">
        <v>0.22</v>
      </c>
      <c r="O62" s="88">
        <v>0.21</v>
      </c>
      <c r="P62" s="88">
        <v>0.22</v>
      </c>
      <c r="Q62" s="88">
        <v>0.21</v>
      </c>
      <c r="R62" s="88">
        <v>0.21</v>
      </c>
      <c r="S62" s="88">
        <v>0.22</v>
      </c>
      <c r="T62" s="89">
        <f t="shared" si="2"/>
        <v>0.19999999999999998</v>
      </c>
      <c r="U62" s="68" t="s">
        <v>160</v>
      </c>
      <c r="V62" s="96"/>
      <c r="W62" s="22">
        <v>14.58</v>
      </c>
      <c r="X62" s="96">
        <v>927.21400000000006</v>
      </c>
      <c r="Y62" s="22">
        <f t="shared" si="1"/>
        <v>63.59492455418382</v>
      </c>
      <c r="AA62" s="24"/>
      <c r="AB62" s="91"/>
      <c r="AC62" s="93"/>
      <c r="AD62" s="93"/>
      <c r="AE62" s="93"/>
      <c r="AF62" s="93"/>
    </row>
    <row r="63" spans="1:33" ht="15.75" customHeight="1" x14ac:dyDescent="0.25">
      <c r="A63" s="46">
        <v>60</v>
      </c>
      <c r="B63" s="19" t="s">
        <v>31</v>
      </c>
      <c r="C63" s="47" t="s">
        <v>161</v>
      </c>
      <c r="D63" s="48"/>
      <c r="E63" s="49">
        <v>45538</v>
      </c>
      <c r="F63" s="50">
        <v>8774</v>
      </c>
      <c r="G63" s="19" t="s">
        <v>43</v>
      </c>
      <c r="H63" s="19" t="s">
        <v>68</v>
      </c>
      <c r="I63" s="97" t="s">
        <v>122</v>
      </c>
      <c r="J63" s="94">
        <v>1570</v>
      </c>
      <c r="K63" s="88">
        <v>0.1</v>
      </c>
      <c r="L63" s="88">
        <v>0.1</v>
      </c>
      <c r="M63" s="88">
        <v>0.11</v>
      </c>
      <c r="N63" s="88">
        <v>0.11</v>
      </c>
      <c r="O63" s="88">
        <v>0.09</v>
      </c>
      <c r="P63" s="88">
        <v>0.09</v>
      </c>
      <c r="Q63" s="88">
        <v>0.09</v>
      </c>
      <c r="R63" s="88">
        <v>0.1</v>
      </c>
      <c r="S63" s="88">
        <v>0.09</v>
      </c>
      <c r="T63" s="89">
        <f t="shared" si="2"/>
        <v>9.8749999999999991E-2</v>
      </c>
      <c r="U63" s="68">
        <v>20</v>
      </c>
      <c r="V63" s="96"/>
      <c r="W63" s="22">
        <v>4.3600000000000003</v>
      </c>
      <c r="X63" s="98">
        <v>616.88900000000001</v>
      </c>
      <c r="Y63" s="22">
        <f t="shared" si="1"/>
        <v>141.48830275229358</v>
      </c>
      <c r="AA63" s="91"/>
      <c r="AB63" s="91"/>
      <c r="AC63" s="93"/>
      <c r="AD63" s="93"/>
      <c r="AE63" s="93"/>
      <c r="AF63" s="93"/>
    </row>
    <row r="64" spans="1:33" ht="15.75" customHeight="1" x14ac:dyDescent="0.2">
      <c r="A64" s="46">
        <v>60</v>
      </c>
      <c r="B64" s="19" t="s">
        <v>31</v>
      </c>
      <c r="C64" s="47" t="s">
        <v>161</v>
      </c>
      <c r="D64" s="48"/>
      <c r="E64" s="49">
        <v>45538</v>
      </c>
      <c r="F64" s="50">
        <v>8776</v>
      </c>
      <c r="G64" s="19" t="s">
        <v>62</v>
      </c>
      <c r="H64" s="19" t="s">
        <v>162</v>
      </c>
      <c r="I64" s="97" t="s">
        <v>163</v>
      </c>
      <c r="J64" s="94">
        <v>1570</v>
      </c>
      <c r="K64" s="88">
        <v>0.2</v>
      </c>
      <c r="L64" s="88">
        <v>0.19</v>
      </c>
      <c r="M64" s="88">
        <v>0.16</v>
      </c>
      <c r="N64" s="88">
        <v>0.18</v>
      </c>
      <c r="O64" s="88">
        <v>0.18</v>
      </c>
      <c r="P64" s="88">
        <v>0.17</v>
      </c>
      <c r="Q64" s="88">
        <v>0.19</v>
      </c>
      <c r="R64" s="88">
        <v>0.19</v>
      </c>
      <c r="S64" s="88">
        <v>0.2</v>
      </c>
      <c r="T64" s="89">
        <f t="shared" si="2"/>
        <v>0.18249999999999997</v>
      </c>
      <c r="U64" s="68" t="s">
        <v>164</v>
      </c>
      <c r="V64" s="96"/>
      <c r="W64" s="22">
        <v>14.14</v>
      </c>
      <c r="X64" s="98">
        <v>1283.826</v>
      </c>
      <c r="Y64" s="22">
        <f t="shared" si="1"/>
        <v>90.793917963224885</v>
      </c>
      <c r="AA64" s="91"/>
      <c r="AB64" s="91"/>
      <c r="AC64" s="92">
        <v>0.8</v>
      </c>
      <c r="AD64" s="92">
        <v>5.9</v>
      </c>
      <c r="AE64" s="92">
        <v>1.44</v>
      </c>
      <c r="AF64" s="92">
        <v>0.73</v>
      </c>
    </row>
    <row r="65" spans="1:32" ht="15.75" customHeight="1" x14ac:dyDescent="0.2">
      <c r="A65" s="46">
        <v>60</v>
      </c>
      <c r="B65" s="19" t="s">
        <v>31</v>
      </c>
      <c r="C65" s="47" t="s">
        <v>161</v>
      </c>
      <c r="D65" s="48"/>
      <c r="E65" s="49">
        <v>45538</v>
      </c>
      <c r="F65" s="50">
        <v>8777</v>
      </c>
      <c r="G65" s="19" t="s">
        <v>96</v>
      </c>
      <c r="H65" s="19" t="s">
        <v>97</v>
      </c>
      <c r="I65" s="99"/>
      <c r="J65" s="94">
        <v>1570</v>
      </c>
      <c r="K65" s="88">
        <v>0.218</v>
      </c>
      <c r="L65" s="88">
        <v>0.219</v>
      </c>
      <c r="M65" s="88">
        <v>0.189</v>
      </c>
      <c r="N65" s="88">
        <v>0.19800000000000001</v>
      </c>
      <c r="O65" s="88">
        <v>0.19900000000000001</v>
      </c>
      <c r="P65" s="88">
        <v>0.17899999999999999</v>
      </c>
      <c r="Q65" s="88">
        <v>0.219</v>
      </c>
      <c r="R65" s="88">
        <v>0.20899999999999999</v>
      </c>
      <c r="S65" s="88">
        <v>0.19600000000000001</v>
      </c>
      <c r="T65" s="89">
        <f t="shared" si="2"/>
        <v>0.20375000000000004</v>
      </c>
      <c r="U65" s="68">
        <v>20</v>
      </c>
      <c r="V65" s="96"/>
      <c r="W65" s="22">
        <v>3.89</v>
      </c>
      <c r="X65" s="98">
        <v>471.20100000000002</v>
      </c>
      <c r="Y65" s="22">
        <f t="shared" si="1"/>
        <v>121.13136246786632</v>
      </c>
      <c r="AA65" s="91"/>
      <c r="AB65" s="91"/>
      <c r="AC65" s="92">
        <v>0.5</v>
      </c>
      <c r="AD65" s="92">
        <v>6.5</v>
      </c>
      <c r="AE65" s="92">
        <v>1.59</v>
      </c>
      <c r="AF65" s="92">
        <v>0.8</v>
      </c>
    </row>
    <row r="66" spans="1:32" ht="15.75" customHeight="1" x14ac:dyDescent="0.2">
      <c r="A66" s="46">
        <v>60</v>
      </c>
      <c r="B66" s="19" t="s">
        <v>31</v>
      </c>
      <c r="C66" s="47" t="s">
        <v>161</v>
      </c>
      <c r="D66" s="48"/>
      <c r="E66" s="49">
        <v>45538</v>
      </c>
      <c r="F66" s="50">
        <v>8743</v>
      </c>
      <c r="G66" s="19" t="s">
        <v>165</v>
      </c>
      <c r="H66" s="19" t="s">
        <v>166</v>
      </c>
      <c r="I66" s="99"/>
      <c r="J66" s="94">
        <v>1570</v>
      </c>
      <c r="K66" s="88">
        <v>0.14000000000000001</v>
      </c>
      <c r="L66" s="88">
        <v>0.12</v>
      </c>
      <c r="M66" s="88">
        <v>0.11</v>
      </c>
      <c r="N66" s="88">
        <v>0.14000000000000001</v>
      </c>
      <c r="O66" s="88">
        <v>0.14000000000000001</v>
      </c>
      <c r="P66" s="88">
        <v>0.15</v>
      </c>
      <c r="Q66" s="88">
        <v>0.16</v>
      </c>
      <c r="R66" s="88">
        <v>0.13</v>
      </c>
      <c r="S66" s="88">
        <v>0.14000000000000001</v>
      </c>
      <c r="T66" s="89">
        <f t="shared" si="2"/>
        <v>0.13625000000000001</v>
      </c>
      <c r="U66" s="68">
        <v>20</v>
      </c>
      <c r="V66" s="96"/>
      <c r="W66" s="22">
        <v>17.829999999999998</v>
      </c>
      <c r="X66" s="98">
        <v>1930.423</v>
      </c>
      <c r="Y66" s="22">
        <f t="shared" si="1"/>
        <v>108.2682557487381</v>
      </c>
      <c r="AA66" s="91"/>
      <c r="AB66" s="91"/>
      <c r="AC66" s="92">
        <v>0.7</v>
      </c>
      <c r="AD66" s="92">
        <v>4.5999999999999996</v>
      </c>
      <c r="AE66" s="92">
        <v>1.19</v>
      </c>
      <c r="AF66" s="92">
        <v>0.63</v>
      </c>
    </row>
    <row r="67" spans="1:32" ht="15.75" customHeight="1" x14ac:dyDescent="0.2">
      <c r="A67" s="46">
        <v>60</v>
      </c>
      <c r="B67" s="19" t="s">
        <v>31</v>
      </c>
      <c r="C67" s="47" t="s">
        <v>161</v>
      </c>
      <c r="D67" s="48"/>
      <c r="E67" s="49">
        <v>45538</v>
      </c>
      <c r="F67" s="50">
        <v>8769</v>
      </c>
      <c r="G67" s="19" t="s">
        <v>133</v>
      </c>
      <c r="H67" s="19" t="s">
        <v>134</v>
      </c>
      <c r="I67" s="99"/>
      <c r="J67" s="94">
        <v>1570</v>
      </c>
      <c r="K67" s="88">
        <v>0.35</v>
      </c>
      <c r="L67" s="88">
        <v>0.34</v>
      </c>
      <c r="M67" s="88">
        <v>0.28999999999999998</v>
      </c>
      <c r="N67" s="88">
        <v>0.33</v>
      </c>
      <c r="O67" s="88">
        <v>0.3</v>
      </c>
      <c r="P67" s="88">
        <v>0.31</v>
      </c>
      <c r="Q67" s="88">
        <v>0.33</v>
      </c>
      <c r="R67" s="88">
        <v>0.32</v>
      </c>
      <c r="S67" s="88">
        <v>0.28999999999999998</v>
      </c>
      <c r="T67" s="89">
        <f t="shared" si="2"/>
        <v>0.32124999999999998</v>
      </c>
      <c r="U67" s="68">
        <v>20</v>
      </c>
      <c r="V67" s="96"/>
      <c r="W67" s="22">
        <v>6.89</v>
      </c>
      <c r="X67" s="98">
        <v>373.59300000000002</v>
      </c>
      <c r="Y67" s="22">
        <f t="shared" si="1"/>
        <v>54.222496371552978</v>
      </c>
      <c r="AA67" s="91"/>
      <c r="AB67" s="91"/>
      <c r="AC67" s="92">
        <v>0.6</v>
      </c>
      <c r="AD67" s="92">
        <v>5.9</v>
      </c>
      <c r="AE67" s="92">
        <v>1.34</v>
      </c>
      <c r="AF67" s="92">
        <v>0.83</v>
      </c>
    </row>
    <row r="68" spans="1:32" ht="15.75" customHeight="1" x14ac:dyDescent="0.2">
      <c r="A68" s="46">
        <v>60</v>
      </c>
      <c r="B68" s="19" t="s">
        <v>31</v>
      </c>
      <c r="C68" s="47" t="s">
        <v>161</v>
      </c>
      <c r="D68" s="48"/>
      <c r="E68" s="49">
        <v>45538</v>
      </c>
      <c r="F68" s="50">
        <v>8766</v>
      </c>
      <c r="G68" s="19" t="s">
        <v>72</v>
      </c>
      <c r="H68" s="48"/>
      <c r="I68" s="99"/>
      <c r="J68" s="94">
        <v>1570</v>
      </c>
      <c r="K68" s="51">
        <v>0.11</v>
      </c>
      <c r="L68" s="51">
        <v>0.1</v>
      </c>
      <c r="M68" s="51">
        <v>0.1</v>
      </c>
      <c r="N68" s="51">
        <v>0.13</v>
      </c>
      <c r="O68" s="51">
        <v>0.12</v>
      </c>
      <c r="P68" s="51">
        <v>0.12</v>
      </c>
      <c r="Q68" s="51">
        <v>0.1</v>
      </c>
      <c r="R68" s="51">
        <v>0.1</v>
      </c>
      <c r="S68" s="51">
        <v>0.12</v>
      </c>
      <c r="T68" s="21">
        <f t="shared" si="2"/>
        <v>0.11</v>
      </c>
      <c r="U68" s="68">
        <v>20</v>
      </c>
      <c r="V68" s="95"/>
      <c r="W68" s="22">
        <v>6.52</v>
      </c>
      <c r="X68" s="98">
        <v>2429.7260000000001</v>
      </c>
      <c r="Y68" s="22">
        <f t="shared" si="1"/>
        <v>372.65736196319023</v>
      </c>
      <c r="AA68" s="91"/>
      <c r="AB68" s="91"/>
      <c r="AC68" s="92">
        <v>0.6</v>
      </c>
      <c r="AD68" s="92">
        <v>4.0999999999999996</v>
      </c>
      <c r="AE68" s="92">
        <v>1.1000000000000001</v>
      </c>
      <c r="AF68" s="92">
        <v>0.69</v>
      </c>
    </row>
    <row r="69" spans="1:32" ht="15.75" customHeight="1" x14ac:dyDescent="0.2">
      <c r="A69" s="46">
        <v>60</v>
      </c>
      <c r="B69" s="19" t="s">
        <v>31</v>
      </c>
      <c r="C69" s="47" t="s">
        <v>161</v>
      </c>
      <c r="D69" s="48"/>
      <c r="E69" s="49">
        <v>45538</v>
      </c>
      <c r="F69" s="50">
        <v>8763</v>
      </c>
      <c r="G69" s="19" t="s">
        <v>96</v>
      </c>
      <c r="H69" s="19" t="s">
        <v>97</v>
      </c>
      <c r="I69" s="99"/>
      <c r="J69" s="94">
        <v>1570</v>
      </c>
      <c r="K69" s="51">
        <v>0.23</v>
      </c>
      <c r="L69" s="51">
        <v>0.25</v>
      </c>
      <c r="M69" s="51">
        <v>0.24</v>
      </c>
      <c r="N69" s="51">
        <v>0.24</v>
      </c>
      <c r="O69" s="51">
        <v>0.24</v>
      </c>
      <c r="P69" s="51">
        <v>0.24</v>
      </c>
      <c r="Q69" s="51">
        <v>0.2</v>
      </c>
      <c r="R69" s="51">
        <v>0.2</v>
      </c>
      <c r="S69" s="51">
        <v>0.19</v>
      </c>
      <c r="T69" s="21">
        <f t="shared" si="2"/>
        <v>0.22999999999999998</v>
      </c>
      <c r="U69" s="68" t="s">
        <v>167</v>
      </c>
      <c r="V69" s="96"/>
      <c r="W69" s="22">
        <v>9.7899999999999991</v>
      </c>
      <c r="X69" s="98">
        <v>277.08</v>
      </c>
      <c r="Y69" s="22">
        <f t="shared" si="1"/>
        <v>28.302349336057201</v>
      </c>
      <c r="AA69" s="91"/>
      <c r="AB69" s="91"/>
      <c r="AC69" s="92">
        <v>1.1000000000000001</v>
      </c>
      <c r="AD69" s="92">
        <v>6</v>
      </c>
      <c r="AE69" s="92">
        <v>1.19</v>
      </c>
      <c r="AF69" s="92">
        <v>0.56999999999999995</v>
      </c>
    </row>
    <row r="70" spans="1:32" ht="15.75" customHeight="1" x14ac:dyDescent="0.2">
      <c r="A70" s="46">
        <v>60</v>
      </c>
      <c r="B70" s="19" t="s">
        <v>31</v>
      </c>
      <c r="C70" s="47" t="s">
        <v>161</v>
      </c>
      <c r="D70" s="48"/>
      <c r="E70" s="49">
        <v>45538</v>
      </c>
      <c r="F70" s="50">
        <v>8760</v>
      </c>
      <c r="G70" s="19" t="s">
        <v>72</v>
      </c>
      <c r="H70" s="48"/>
      <c r="I70" s="99"/>
      <c r="J70" s="94">
        <v>1570</v>
      </c>
      <c r="K70" s="51">
        <v>0.18</v>
      </c>
      <c r="L70" s="51">
        <v>0.16</v>
      </c>
      <c r="M70" s="51">
        <v>0.16</v>
      </c>
      <c r="N70" s="51">
        <v>0.16</v>
      </c>
      <c r="O70" s="51">
        <v>0.15</v>
      </c>
      <c r="P70" s="51">
        <v>0.15</v>
      </c>
      <c r="Q70" s="51">
        <v>0.16</v>
      </c>
      <c r="R70" s="51">
        <v>0.15</v>
      </c>
      <c r="S70" s="51">
        <v>0.15</v>
      </c>
      <c r="T70" s="21">
        <f t="shared" si="2"/>
        <v>0.15875</v>
      </c>
      <c r="U70" s="68">
        <v>20</v>
      </c>
      <c r="V70" s="96"/>
      <c r="W70" s="22">
        <v>6.42</v>
      </c>
      <c r="X70" s="68">
        <v>586.26599999999996</v>
      </c>
      <c r="Y70" s="22">
        <f t="shared" si="1"/>
        <v>91.318691588785043</v>
      </c>
      <c r="AA70" s="91"/>
      <c r="AB70" s="91"/>
      <c r="AC70" s="92">
        <v>0.5</v>
      </c>
      <c r="AD70" s="92">
        <v>4.8</v>
      </c>
      <c r="AE70" s="92">
        <v>1.26</v>
      </c>
      <c r="AF70" s="92">
        <v>0.78</v>
      </c>
    </row>
    <row r="71" spans="1:32" ht="15.75" customHeight="1" x14ac:dyDescent="0.2">
      <c r="A71" s="46">
        <v>60</v>
      </c>
      <c r="B71" s="19" t="s">
        <v>31</v>
      </c>
      <c r="C71" s="47" t="s">
        <v>161</v>
      </c>
      <c r="D71" s="48"/>
      <c r="E71" s="49">
        <v>45538</v>
      </c>
      <c r="F71" s="50">
        <v>8752</v>
      </c>
      <c r="G71" s="19" t="s">
        <v>96</v>
      </c>
      <c r="H71" s="19" t="s">
        <v>97</v>
      </c>
      <c r="I71" s="97" t="s">
        <v>131</v>
      </c>
      <c r="J71" s="94">
        <v>1570</v>
      </c>
      <c r="K71" s="51">
        <v>0.24099999999999999</v>
      </c>
      <c r="L71" s="51">
        <v>0.247</v>
      </c>
      <c r="M71" s="51">
        <v>0.247</v>
      </c>
      <c r="N71" s="51">
        <v>0.27100000000000002</v>
      </c>
      <c r="O71" s="51">
        <v>0.27600000000000002</v>
      </c>
      <c r="P71" s="51">
        <v>0.27600000000000002</v>
      </c>
      <c r="Q71" s="51">
        <v>0.26100000000000001</v>
      </c>
      <c r="R71" s="51">
        <v>0.26800000000000002</v>
      </c>
      <c r="S71" s="51">
        <v>0.27600000000000002</v>
      </c>
      <c r="T71" s="21">
        <f t="shared" si="2"/>
        <v>0.26087499999999997</v>
      </c>
      <c r="U71" s="68">
        <v>19</v>
      </c>
      <c r="V71" s="96"/>
      <c r="W71" s="22">
        <v>22.19</v>
      </c>
      <c r="X71" s="100">
        <v>1450.7860000000001</v>
      </c>
      <c r="Y71" s="22">
        <f t="shared" si="1"/>
        <v>65.380171248310049</v>
      </c>
      <c r="AA71" s="91"/>
      <c r="AB71" s="91"/>
      <c r="AC71" s="92">
        <v>1.2</v>
      </c>
      <c r="AD71" s="92">
        <v>5.4</v>
      </c>
      <c r="AE71" s="92">
        <v>1.28</v>
      </c>
      <c r="AF71" s="92">
        <v>0.6</v>
      </c>
    </row>
    <row r="72" spans="1:32" ht="15.75" customHeight="1" x14ac:dyDescent="0.25">
      <c r="A72" s="46">
        <v>60</v>
      </c>
      <c r="B72" s="19" t="s">
        <v>31</v>
      </c>
      <c r="C72" s="47" t="s">
        <v>161</v>
      </c>
      <c r="D72" s="48"/>
      <c r="E72" s="49">
        <v>45538</v>
      </c>
      <c r="F72" s="50">
        <v>8751</v>
      </c>
      <c r="G72" s="19" t="s">
        <v>46</v>
      </c>
      <c r="H72" s="19" t="s">
        <v>47</v>
      </c>
      <c r="I72" s="99"/>
      <c r="J72" s="94">
        <v>1570</v>
      </c>
      <c r="K72" s="51">
        <v>0.13</v>
      </c>
      <c r="L72" s="51">
        <v>0.13</v>
      </c>
      <c r="M72" s="51">
        <v>0.12</v>
      </c>
      <c r="N72" s="51">
        <v>0.14000000000000001</v>
      </c>
      <c r="O72" s="51">
        <v>0.13</v>
      </c>
      <c r="P72" s="51">
        <v>0.15</v>
      </c>
      <c r="Q72" s="51">
        <v>0.12</v>
      </c>
      <c r="R72" s="51">
        <v>0.13</v>
      </c>
      <c r="S72" s="51">
        <v>0.13</v>
      </c>
      <c r="T72" s="21">
        <f t="shared" si="2"/>
        <v>0.13125000000000001</v>
      </c>
      <c r="U72" s="68">
        <v>20</v>
      </c>
      <c r="V72" s="96"/>
      <c r="W72" s="22">
        <v>6.82</v>
      </c>
      <c r="X72" s="68">
        <v>1008.191</v>
      </c>
      <c r="Y72" s="22">
        <f t="shared" si="1"/>
        <v>147.82859237536655</v>
      </c>
      <c r="AA72" s="91"/>
      <c r="AB72" s="91"/>
      <c r="AC72" s="93"/>
      <c r="AD72" s="93"/>
      <c r="AE72" s="93"/>
      <c r="AF72" s="93"/>
    </row>
    <row r="73" spans="1:32" ht="15.75" customHeight="1" x14ac:dyDescent="0.2">
      <c r="A73" s="56">
        <v>60</v>
      </c>
      <c r="B73" s="57" t="s">
        <v>31</v>
      </c>
      <c r="C73" s="58" t="s">
        <v>161</v>
      </c>
      <c r="D73" s="59"/>
      <c r="E73" s="49">
        <v>45538</v>
      </c>
      <c r="F73" s="60">
        <v>8744</v>
      </c>
      <c r="G73" s="61" t="s">
        <v>41</v>
      </c>
      <c r="H73" s="59"/>
      <c r="I73" s="101"/>
      <c r="J73" s="94">
        <v>1570</v>
      </c>
      <c r="K73" s="62">
        <v>0.18</v>
      </c>
      <c r="L73" s="62">
        <v>0.17</v>
      </c>
      <c r="M73" s="62">
        <v>0.2</v>
      </c>
      <c r="N73" s="62">
        <v>0.19</v>
      </c>
      <c r="O73" s="62">
        <v>0.22</v>
      </c>
      <c r="P73" s="62">
        <v>0.2</v>
      </c>
      <c r="Q73" s="62">
        <v>0.15</v>
      </c>
      <c r="R73" s="102">
        <v>0.2</v>
      </c>
      <c r="S73" s="102">
        <v>0.2</v>
      </c>
      <c r="T73" s="21">
        <f t="shared" si="2"/>
        <v>0.18874999999999997</v>
      </c>
      <c r="U73" s="68" t="s">
        <v>168</v>
      </c>
      <c r="V73" s="96"/>
      <c r="W73" s="22">
        <v>6.24</v>
      </c>
      <c r="X73" s="103">
        <v>642172</v>
      </c>
      <c r="Y73" s="22">
        <f t="shared" si="1"/>
        <v>102912.17948717948</v>
      </c>
      <c r="AA73" s="91"/>
      <c r="AB73" s="91"/>
      <c r="AC73" s="92">
        <v>0.3</v>
      </c>
      <c r="AD73" s="92">
        <v>4.7</v>
      </c>
      <c r="AE73" s="92">
        <v>1.07</v>
      </c>
      <c r="AF73" s="92">
        <v>0.54</v>
      </c>
    </row>
    <row r="74" spans="1:32" ht="15.75" customHeight="1" x14ac:dyDescent="0.25">
      <c r="A74" s="72">
        <v>62</v>
      </c>
      <c r="B74" s="36" t="s">
        <v>31</v>
      </c>
      <c r="C74" s="73" t="s">
        <v>169</v>
      </c>
      <c r="D74" s="64"/>
      <c r="E74" s="74">
        <v>45539</v>
      </c>
      <c r="F74" s="60">
        <v>8920</v>
      </c>
      <c r="G74" s="65" t="s">
        <v>41</v>
      </c>
      <c r="H74" s="64"/>
      <c r="I74" s="104"/>
      <c r="J74" s="94">
        <v>1590</v>
      </c>
      <c r="K74" s="62">
        <v>0.27300000000000002</v>
      </c>
      <c r="L74" s="62">
        <v>0.27900000000000003</v>
      </c>
      <c r="M74" s="62">
        <v>0.26300000000000001</v>
      </c>
      <c r="N74" s="62">
        <v>0.23200000000000001</v>
      </c>
      <c r="O74" s="102">
        <v>0.23100000000000001</v>
      </c>
      <c r="P74" s="62">
        <v>0.249</v>
      </c>
      <c r="Q74" s="62">
        <v>0.23100000000000001</v>
      </c>
      <c r="R74" s="62">
        <v>0.24199999999999999</v>
      </c>
      <c r="S74" s="62">
        <v>0.25</v>
      </c>
      <c r="T74" s="21">
        <f t="shared" si="2"/>
        <v>0.25</v>
      </c>
      <c r="U74" s="68">
        <v>20</v>
      </c>
      <c r="V74" s="96"/>
      <c r="W74" s="22">
        <v>19.809999999999999</v>
      </c>
      <c r="X74" s="115">
        <v>1398.5260000000001</v>
      </c>
      <c r="Y74" s="22">
        <f t="shared" si="1"/>
        <v>70.59697122665321</v>
      </c>
      <c r="AA74" s="91"/>
      <c r="AB74" s="91"/>
      <c r="AC74" s="92">
        <v>0.4</v>
      </c>
      <c r="AD74" s="92">
        <v>6.2</v>
      </c>
      <c r="AE74" s="92">
        <v>1.42</v>
      </c>
      <c r="AF74" s="92">
        <v>0.81</v>
      </c>
    </row>
    <row r="75" spans="1:32" ht="15.75" customHeight="1" x14ac:dyDescent="0.25">
      <c r="A75" s="72">
        <v>62</v>
      </c>
      <c r="B75" s="36" t="s">
        <v>31</v>
      </c>
      <c r="C75" s="73" t="s">
        <v>169</v>
      </c>
      <c r="D75" s="64"/>
      <c r="E75" s="74">
        <v>45539</v>
      </c>
      <c r="F75" s="60">
        <v>8913</v>
      </c>
      <c r="G75" s="36" t="s">
        <v>91</v>
      </c>
      <c r="H75" s="36" t="s">
        <v>92</v>
      </c>
      <c r="I75" s="104"/>
      <c r="J75" s="94">
        <v>1590</v>
      </c>
      <c r="K75" s="62">
        <v>0.22</v>
      </c>
      <c r="L75" s="62">
        <v>0.21</v>
      </c>
      <c r="M75" s="62">
        <v>0.21199999999999999</v>
      </c>
      <c r="N75" s="62">
        <v>0.20100000000000001</v>
      </c>
      <c r="O75" s="62">
        <v>0.20200000000000001</v>
      </c>
      <c r="P75" s="62">
        <v>0.21099999999999999</v>
      </c>
      <c r="Q75" s="62">
        <v>0.20499999999999999</v>
      </c>
      <c r="R75" s="62">
        <v>0.20300000000000001</v>
      </c>
      <c r="S75" s="62">
        <v>0.20100000000000001</v>
      </c>
      <c r="T75" s="21">
        <f t="shared" si="2"/>
        <v>0.20800000000000002</v>
      </c>
      <c r="U75" s="68">
        <v>3</v>
      </c>
      <c r="V75" s="96"/>
      <c r="W75" s="22">
        <v>22.12</v>
      </c>
      <c r="X75" s="115">
        <v>2176.8270000000002</v>
      </c>
      <c r="Y75" s="22">
        <f t="shared" si="1"/>
        <v>98.409900542495478</v>
      </c>
      <c r="AA75" s="91"/>
      <c r="AB75" s="91"/>
      <c r="AC75" s="92">
        <v>1</v>
      </c>
      <c r="AD75" s="92">
        <v>5.6</v>
      </c>
      <c r="AE75" s="92">
        <v>0.96</v>
      </c>
      <c r="AF75" s="92">
        <v>0.47</v>
      </c>
    </row>
    <row r="76" spans="1:32" ht="15.75" customHeight="1" x14ac:dyDescent="0.25">
      <c r="A76" s="72">
        <v>62</v>
      </c>
      <c r="B76" s="36" t="s">
        <v>31</v>
      </c>
      <c r="C76" s="73" t="s">
        <v>169</v>
      </c>
      <c r="D76" s="64"/>
      <c r="E76" s="74">
        <v>45539</v>
      </c>
      <c r="F76" s="60">
        <v>8909</v>
      </c>
      <c r="G76" s="36" t="s">
        <v>170</v>
      </c>
      <c r="H76" s="36" t="s">
        <v>171</v>
      </c>
      <c r="I76" s="105" t="s">
        <v>172</v>
      </c>
      <c r="J76" s="94">
        <v>1590</v>
      </c>
      <c r="K76" s="62">
        <v>0.247</v>
      </c>
      <c r="L76" s="62">
        <v>0.245</v>
      </c>
      <c r="M76" s="62">
        <v>0.24199999999999999</v>
      </c>
      <c r="N76" s="62">
        <v>0.25</v>
      </c>
      <c r="O76" s="62">
        <v>0.255</v>
      </c>
      <c r="P76" s="62">
        <v>0.254</v>
      </c>
      <c r="Q76" s="62">
        <v>0.24299999999999999</v>
      </c>
      <c r="R76" s="62">
        <v>0.24099999999999999</v>
      </c>
      <c r="S76" s="62">
        <v>0.24</v>
      </c>
      <c r="T76" s="21">
        <f t="shared" si="2"/>
        <v>0.24712499999999998</v>
      </c>
      <c r="U76" s="68">
        <v>20</v>
      </c>
      <c r="V76" s="96"/>
      <c r="W76" s="22">
        <v>4.16</v>
      </c>
      <c r="X76" s="100">
        <v>561.28300000000002</v>
      </c>
      <c r="Y76" s="22">
        <f t="shared" si="1"/>
        <v>134.92379807692308</v>
      </c>
      <c r="AA76" s="91"/>
      <c r="AB76" s="91"/>
      <c r="AC76" s="92">
        <v>1.1000000000000001</v>
      </c>
      <c r="AD76" s="92">
        <v>7</v>
      </c>
      <c r="AE76" s="92">
        <v>1.73</v>
      </c>
      <c r="AF76" s="92">
        <v>0.74</v>
      </c>
    </row>
    <row r="77" spans="1:32" ht="15.75" customHeight="1" x14ac:dyDescent="0.25">
      <c r="A77" s="66">
        <v>62</v>
      </c>
      <c r="B77" s="28" t="s">
        <v>31</v>
      </c>
      <c r="C77" s="67" t="s">
        <v>169</v>
      </c>
      <c r="D77" s="44"/>
      <c r="E77" s="74">
        <v>45539</v>
      </c>
      <c r="F77" s="50">
        <v>8904</v>
      </c>
      <c r="G77" s="28" t="s">
        <v>51</v>
      </c>
      <c r="H77" s="28" t="s">
        <v>52</v>
      </c>
      <c r="I77" s="84" t="s">
        <v>61</v>
      </c>
      <c r="J77" s="94">
        <v>1590</v>
      </c>
      <c r="K77" s="51">
        <v>0.36</v>
      </c>
      <c r="L77" s="51">
        <v>0.37</v>
      </c>
      <c r="M77" s="51">
        <v>0.36</v>
      </c>
      <c r="N77" s="51">
        <v>0.36099999999999999</v>
      </c>
      <c r="O77" s="51">
        <v>0.35799999999999998</v>
      </c>
      <c r="P77" s="51">
        <v>0.36199999999999999</v>
      </c>
      <c r="Q77" s="51">
        <v>0.36399999999999999</v>
      </c>
      <c r="R77" s="51">
        <v>0.37</v>
      </c>
      <c r="S77" s="51">
        <v>0.36299999999999999</v>
      </c>
      <c r="T77" s="21">
        <f t="shared" si="2"/>
        <v>0.36312499999999998</v>
      </c>
      <c r="U77" s="68">
        <v>20</v>
      </c>
      <c r="V77" s="96"/>
      <c r="W77" s="22">
        <v>15.49</v>
      </c>
      <c r="X77" s="115">
        <v>1530.1479999999999</v>
      </c>
      <c r="Y77" s="22">
        <f t="shared" si="1"/>
        <v>98.782956746287923</v>
      </c>
      <c r="AA77" s="91"/>
      <c r="AB77" s="91"/>
      <c r="AC77" s="92">
        <v>0.7</v>
      </c>
      <c r="AD77" s="92">
        <v>4.9000000000000004</v>
      </c>
      <c r="AE77" s="92">
        <v>1.23</v>
      </c>
      <c r="AF77" s="92">
        <v>0.64</v>
      </c>
    </row>
    <row r="78" spans="1:32" ht="15.75" customHeight="1" x14ac:dyDescent="0.25">
      <c r="A78" s="66">
        <v>62</v>
      </c>
      <c r="B78" s="28" t="s">
        <v>31</v>
      </c>
      <c r="C78" s="67" t="s">
        <v>169</v>
      </c>
      <c r="D78" s="44"/>
      <c r="E78" s="74">
        <v>45539</v>
      </c>
      <c r="F78" s="50">
        <v>8911</v>
      </c>
      <c r="G78" s="28" t="s">
        <v>173</v>
      </c>
      <c r="H78" s="28" t="s">
        <v>174</v>
      </c>
      <c r="I78" s="84" t="s">
        <v>175</v>
      </c>
      <c r="J78" s="94">
        <v>1590</v>
      </c>
      <c r="K78" s="51">
        <v>0.24</v>
      </c>
      <c r="L78" s="51">
        <v>0.23200000000000001</v>
      </c>
      <c r="M78" s="51">
        <v>0.24299999999999999</v>
      </c>
      <c r="N78" s="51">
        <v>0.26100000000000001</v>
      </c>
      <c r="O78" s="51">
        <v>0.26300000000000001</v>
      </c>
      <c r="P78" s="51">
        <v>0.26200000000000001</v>
      </c>
      <c r="Q78" s="51">
        <v>0.254</v>
      </c>
      <c r="R78" s="51">
        <v>0.25700000000000001</v>
      </c>
      <c r="S78" s="51">
        <v>0.252</v>
      </c>
      <c r="T78" s="21">
        <f t="shared" si="2"/>
        <v>0.2515</v>
      </c>
      <c r="U78" s="68">
        <v>25</v>
      </c>
      <c r="V78" s="96"/>
      <c r="W78" s="22">
        <v>4.66</v>
      </c>
      <c r="X78" s="92">
        <v>752.93899999999996</v>
      </c>
      <c r="Y78" s="22">
        <f t="shared" si="1"/>
        <v>161.57489270386264</v>
      </c>
      <c r="AA78" s="91"/>
      <c r="AB78" s="91"/>
      <c r="AC78" s="92">
        <v>0.7</v>
      </c>
      <c r="AD78" s="92">
        <v>5</v>
      </c>
      <c r="AE78" s="92">
        <v>1.28</v>
      </c>
      <c r="AF78" s="92">
        <v>0.68</v>
      </c>
    </row>
    <row r="79" spans="1:32" ht="15.75" customHeight="1" x14ac:dyDescent="0.25">
      <c r="A79" s="66">
        <v>62</v>
      </c>
      <c r="B79" s="28" t="s">
        <v>31</v>
      </c>
      <c r="C79" s="67" t="s">
        <v>169</v>
      </c>
      <c r="D79" s="44"/>
      <c r="E79" s="74">
        <v>45539</v>
      </c>
      <c r="F79" s="50">
        <v>8935</v>
      </c>
      <c r="G79" s="28" t="s">
        <v>34</v>
      </c>
      <c r="H79" s="28" t="s">
        <v>176</v>
      </c>
      <c r="I79" s="87"/>
      <c r="J79" s="94">
        <v>1590</v>
      </c>
      <c r="K79" s="88">
        <v>0.32300000000000001</v>
      </c>
      <c r="L79" s="51">
        <v>0.33600000000000002</v>
      </c>
      <c r="M79" s="51">
        <v>0.33500000000000002</v>
      </c>
      <c r="N79" s="51">
        <v>0.34100000000000003</v>
      </c>
      <c r="O79" s="88">
        <v>0.34499999999999997</v>
      </c>
      <c r="P79" s="51">
        <v>0.34599999999999997</v>
      </c>
      <c r="Q79" s="51">
        <v>0.33200000000000002</v>
      </c>
      <c r="R79" s="51">
        <v>0.33100000000000002</v>
      </c>
      <c r="S79" s="51">
        <v>0.32800000000000001</v>
      </c>
      <c r="T79" s="89">
        <f t="shared" si="2"/>
        <v>0.33612499999999995</v>
      </c>
      <c r="U79" s="68">
        <v>20</v>
      </c>
      <c r="V79" s="96"/>
      <c r="W79" s="22">
        <v>10.51</v>
      </c>
      <c r="X79" s="115">
        <v>804.23099999999999</v>
      </c>
      <c r="Y79" s="22">
        <f t="shared" si="1"/>
        <v>76.520551855375828</v>
      </c>
      <c r="AA79" s="91"/>
      <c r="AB79" s="91"/>
      <c r="AC79" s="93"/>
      <c r="AD79" s="93"/>
      <c r="AE79" s="93"/>
      <c r="AF79" s="93"/>
    </row>
    <row r="80" spans="1:32" ht="15.75" customHeight="1" x14ac:dyDescent="0.2">
      <c r="A80" s="106"/>
      <c r="C80" s="107"/>
      <c r="E80" s="108"/>
      <c r="F80" s="109"/>
      <c r="T80" s="110"/>
      <c r="U80" s="110"/>
      <c r="V80" s="111"/>
      <c r="W80" s="109"/>
      <c r="X80" s="112"/>
      <c r="Y80" s="106"/>
    </row>
    <row r="81" spans="1:25" ht="15.75" customHeight="1" x14ac:dyDescent="0.2">
      <c r="A81" s="106"/>
      <c r="C81" s="107"/>
      <c r="E81" s="108"/>
      <c r="F81" s="109"/>
      <c r="T81" s="110"/>
      <c r="U81" s="110"/>
      <c r="V81" s="111"/>
      <c r="W81" s="109"/>
      <c r="X81" s="112"/>
      <c r="Y81" s="106"/>
    </row>
    <row r="82" spans="1:25" ht="15.75" customHeight="1" x14ac:dyDescent="0.2">
      <c r="A82" s="106"/>
      <c r="C82" s="107"/>
      <c r="E82" s="108"/>
      <c r="F82" s="109"/>
      <c r="T82" s="110"/>
      <c r="U82" s="110"/>
      <c r="V82" s="111"/>
      <c r="W82" s="109"/>
      <c r="X82" s="112"/>
      <c r="Y82" s="106"/>
    </row>
    <row r="83" spans="1:25" ht="15.75" customHeight="1" x14ac:dyDescent="0.2">
      <c r="A83" s="106"/>
      <c r="C83" s="107"/>
      <c r="E83" s="108"/>
      <c r="F83" s="109"/>
      <c r="T83" s="110"/>
      <c r="U83" s="110"/>
      <c r="V83" s="111"/>
      <c r="W83" s="109"/>
      <c r="X83" s="112"/>
      <c r="Y83" s="106"/>
    </row>
    <row r="84" spans="1:25" ht="15.75" customHeight="1" x14ac:dyDescent="0.2">
      <c r="A84" s="106"/>
      <c r="C84" s="107"/>
      <c r="E84" s="108"/>
      <c r="F84" s="109"/>
      <c r="T84" s="110"/>
      <c r="U84" s="110"/>
      <c r="V84" s="111"/>
      <c r="W84" s="109"/>
      <c r="X84" s="112"/>
      <c r="Y84" s="106"/>
    </row>
    <row r="85" spans="1:25" ht="15.75" customHeight="1" x14ac:dyDescent="0.2">
      <c r="A85" s="106"/>
      <c r="C85" s="107"/>
      <c r="E85" s="108"/>
      <c r="F85" s="109"/>
      <c r="T85" s="110"/>
      <c r="U85" s="110"/>
      <c r="V85" s="111"/>
      <c r="W85" s="109"/>
      <c r="X85" s="112"/>
      <c r="Y85" s="106"/>
    </row>
    <row r="86" spans="1:25" ht="15.75" customHeight="1" x14ac:dyDescent="0.2">
      <c r="A86" s="106"/>
      <c r="C86" s="107"/>
      <c r="E86" s="108"/>
      <c r="F86" s="109"/>
      <c r="T86" s="110"/>
      <c r="U86" s="110"/>
      <c r="V86" s="111"/>
      <c r="W86" s="109"/>
      <c r="X86" s="112"/>
      <c r="Y86" s="106"/>
    </row>
    <row r="87" spans="1:25" ht="15.75" customHeight="1" x14ac:dyDescent="0.2">
      <c r="A87" s="106"/>
      <c r="C87" s="107"/>
      <c r="E87" s="108"/>
      <c r="F87" s="109"/>
      <c r="T87" s="110"/>
      <c r="U87" s="110"/>
      <c r="V87" s="111"/>
      <c r="W87" s="109"/>
      <c r="X87" s="112"/>
      <c r="Y87" s="106"/>
    </row>
    <row r="88" spans="1:25" ht="15.75" customHeight="1" x14ac:dyDescent="0.2">
      <c r="A88" s="106"/>
      <c r="C88" s="107"/>
      <c r="E88" s="108"/>
      <c r="F88" s="109"/>
      <c r="T88" s="110"/>
      <c r="U88" s="110"/>
      <c r="V88" s="111"/>
      <c r="W88" s="109"/>
      <c r="X88" s="112"/>
      <c r="Y88" s="106"/>
    </row>
    <row r="89" spans="1:25" ht="15.75" customHeight="1" x14ac:dyDescent="0.2">
      <c r="A89" s="106"/>
      <c r="C89" s="107"/>
      <c r="E89" s="108"/>
      <c r="F89" s="109"/>
      <c r="T89" s="110"/>
      <c r="U89" s="110"/>
      <c r="V89" s="111"/>
      <c r="W89" s="109"/>
      <c r="X89" s="112"/>
      <c r="Y89" s="106"/>
    </row>
    <row r="90" spans="1:25" ht="15.75" customHeight="1" x14ac:dyDescent="0.2">
      <c r="A90" s="106"/>
      <c r="C90" s="107"/>
      <c r="E90" s="108"/>
      <c r="F90" s="109"/>
      <c r="T90" s="110"/>
      <c r="U90" s="110"/>
      <c r="V90" s="111"/>
      <c r="W90" s="109"/>
      <c r="X90" s="112"/>
      <c r="Y90" s="106"/>
    </row>
    <row r="91" spans="1:25" ht="15.75" customHeight="1" x14ac:dyDescent="0.2">
      <c r="A91" s="106"/>
      <c r="C91" s="107"/>
      <c r="E91" s="108"/>
      <c r="F91" s="109"/>
      <c r="T91" s="110"/>
      <c r="U91" s="110"/>
      <c r="V91" s="111"/>
      <c r="W91" s="109"/>
      <c r="X91" s="112"/>
      <c r="Y91" s="106"/>
    </row>
    <row r="92" spans="1:25" ht="15.75" customHeight="1" x14ac:dyDescent="0.2">
      <c r="A92" s="106"/>
      <c r="C92" s="107"/>
      <c r="E92" s="108"/>
      <c r="F92" s="109"/>
      <c r="T92" s="110"/>
      <c r="U92" s="110"/>
      <c r="V92" s="111"/>
      <c r="W92" s="109"/>
      <c r="X92" s="112"/>
      <c r="Y92" s="106"/>
    </row>
    <row r="93" spans="1:25" ht="15.75" customHeight="1" x14ac:dyDescent="0.2">
      <c r="A93" s="106"/>
      <c r="C93" s="107"/>
      <c r="E93" s="108"/>
      <c r="F93" s="109"/>
      <c r="T93" s="110"/>
      <c r="U93" s="110"/>
      <c r="V93" s="111"/>
      <c r="W93" s="109"/>
      <c r="X93" s="112"/>
      <c r="Y93" s="106"/>
    </row>
    <row r="94" spans="1:25" ht="15.75" customHeight="1" x14ac:dyDescent="0.2">
      <c r="A94" s="106"/>
      <c r="C94" s="107"/>
      <c r="E94" s="108"/>
      <c r="F94" s="109"/>
      <c r="T94" s="110"/>
      <c r="U94" s="110"/>
      <c r="V94" s="111"/>
      <c r="W94" s="109"/>
      <c r="X94" s="112"/>
      <c r="Y94" s="106"/>
    </row>
    <row r="95" spans="1:25" ht="15.75" customHeight="1" x14ac:dyDescent="0.2">
      <c r="A95" s="106"/>
      <c r="C95" s="107"/>
      <c r="E95" s="108"/>
      <c r="F95" s="109"/>
      <c r="T95" s="110"/>
      <c r="U95" s="110"/>
      <c r="V95" s="111"/>
      <c r="W95" s="109"/>
      <c r="X95" s="112"/>
      <c r="Y95" s="106"/>
    </row>
    <row r="96" spans="1:25" ht="15.75" customHeight="1" x14ac:dyDescent="0.2">
      <c r="A96" s="106"/>
      <c r="C96" s="107"/>
      <c r="E96" s="108"/>
      <c r="F96" s="109"/>
      <c r="T96" s="110"/>
      <c r="U96" s="110"/>
      <c r="V96" s="111"/>
      <c r="W96" s="109"/>
      <c r="X96" s="112"/>
      <c r="Y96" s="106"/>
    </row>
    <row r="97" spans="1:25" ht="15.75" customHeight="1" x14ac:dyDescent="0.2">
      <c r="A97" s="106"/>
      <c r="C97" s="107"/>
      <c r="E97" s="108"/>
      <c r="F97" s="109"/>
      <c r="T97" s="110"/>
      <c r="U97" s="110"/>
      <c r="V97" s="111"/>
      <c r="W97" s="109"/>
      <c r="X97" s="112"/>
      <c r="Y97" s="106"/>
    </row>
    <row r="98" spans="1:25" ht="15.75" customHeight="1" x14ac:dyDescent="0.2">
      <c r="A98" s="106"/>
      <c r="C98" s="107"/>
      <c r="E98" s="108"/>
      <c r="F98" s="109"/>
      <c r="T98" s="110"/>
      <c r="U98" s="110"/>
      <c r="V98" s="111"/>
      <c r="W98" s="109"/>
      <c r="X98" s="112"/>
      <c r="Y98" s="106"/>
    </row>
    <row r="99" spans="1:25" ht="15.75" customHeight="1" x14ac:dyDescent="0.2">
      <c r="A99" s="106"/>
      <c r="C99" s="107"/>
      <c r="E99" s="108"/>
      <c r="F99" s="109"/>
      <c r="T99" s="110"/>
      <c r="U99" s="110"/>
      <c r="V99" s="111"/>
      <c r="W99" s="109"/>
      <c r="X99" s="112"/>
      <c r="Y99" s="106"/>
    </row>
    <row r="100" spans="1:25" ht="15.75" customHeight="1" x14ac:dyDescent="0.2">
      <c r="A100" s="106"/>
      <c r="C100" s="107"/>
      <c r="E100" s="108"/>
      <c r="F100" s="109"/>
      <c r="T100" s="110"/>
      <c r="U100" s="110"/>
      <c r="V100" s="111"/>
      <c r="W100" s="109"/>
      <c r="X100" s="112"/>
      <c r="Y100" s="106"/>
    </row>
    <row r="101" spans="1:25" ht="15.75" customHeight="1" x14ac:dyDescent="0.2">
      <c r="A101" s="106"/>
      <c r="C101" s="107"/>
      <c r="E101" s="108"/>
      <c r="F101" s="109"/>
      <c r="T101" s="110"/>
      <c r="U101" s="110"/>
      <c r="V101" s="111"/>
      <c r="W101" s="109"/>
      <c r="X101" s="112"/>
      <c r="Y101" s="106"/>
    </row>
    <row r="102" spans="1:25" ht="15.75" customHeight="1" x14ac:dyDescent="0.2">
      <c r="A102" s="106"/>
      <c r="C102" s="107"/>
      <c r="E102" s="108"/>
      <c r="F102" s="109"/>
      <c r="T102" s="110"/>
      <c r="U102" s="110"/>
      <c r="V102" s="111"/>
      <c r="W102" s="109"/>
      <c r="X102" s="112"/>
      <c r="Y102" s="106"/>
    </row>
    <row r="103" spans="1:25" ht="15.75" customHeight="1" x14ac:dyDescent="0.2">
      <c r="A103" s="106"/>
      <c r="C103" s="107"/>
      <c r="E103" s="108"/>
      <c r="F103" s="109"/>
      <c r="T103" s="110"/>
      <c r="U103" s="110"/>
      <c r="V103" s="111"/>
      <c r="W103" s="109"/>
      <c r="X103" s="112"/>
      <c r="Y103" s="106"/>
    </row>
    <row r="104" spans="1:25" ht="15.75" customHeight="1" x14ac:dyDescent="0.2">
      <c r="A104" s="106"/>
      <c r="C104" s="107"/>
      <c r="E104" s="108"/>
      <c r="F104" s="109"/>
      <c r="T104" s="110"/>
      <c r="U104" s="110"/>
      <c r="V104" s="111"/>
      <c r="W104" s="109"/>
      <c r="X104" s="112"/>
      <c r="Y104" s="106"/>
    </row>
    <row r="105" spans="1:25" ht="15.75" customHeight="1" x14ac:dyDescent="0.2">
      <c r="A105" s="106"/>
      <c r="C105" s="107"/>
      <c r="E105" s="108"/>
      <c r="F105" s="109"/>
      <c r="T105" s="110"/>
      <c r="U105" s="110"/>
      <c r="V105" s="111"/>
      <c r="W105" s="109"/>
      <c r="X105" s="112"/>
      <c r="Y105" s="106"/>
    </row>
    <row r="106" spans="1:25" ht="15.75" customHeight="1" x14ac:dyDescent="0.2">
      <c r="A106" s="106"/>
      <c r="C106" s="107"/>
      <c r="E106" s="108"/>
      <c r="F106" s="109"/>
      <c r="T106" s="110"/>
      <c r="U106" s="110"/>
      <c r="V106" s="111"/>
      <c r="W106" s="109"/>
      <c r="X106" s="112"/>
      <c r="Y106" s="106"/>
    </row>
    <row r="107" spans="1:25" ht="15.75" customHeight="1" x14ac:dyDescent="0.2">
      <c r="A107" s="106"/>
      <c r="C107" s="107"/>
      <c r="E107" s="108"/>
      <c r="F107" s="109"/>
      <c r="T107" s="110"/>
      <c r="U107" s="110"/>
      <c r="V107" s="111"/>
      <c r="W107" s="109"/>
      <c r="X107" s="112"/>
      <c r="Y107" s="106"/>
    </row>
    <row r="108" spans="1:25" ht="15.75" customHeight="1" x14ac:dyDescent="0.2">
      <c r="A108" s="106"/>
      <c r="C108" s="107"/>
      <c r="E108" s="108"/>
      <c r="F108" s="109"/>
      <c r="T108" s="110"/>
      <c r="U108" s="110"/>
      <c r="V108" s="111"/>
      <c r="W108" s="109"/>
      <c r="X108" s="112"/>
      <c r="Y108" s="106"/>
    </row>
    <row r="109" spans="1:25" ht="15.75" customHeight="1" x14ac:dyDescent="0.2">
      <c r="A109" s="106"/>
      <c r="C109" s="107"/>
      <c r="E109" s="108"/>
      <c r="F109" s="109"/>
      <c r="T109" s="110"/>
      <c r="U109" s="110"/>
      <c r="V109" s="111"/>
      <c r="W109" s="109"/>
      <c r="X109" s="112"/>
      <c r="Y109" s="106"/>
    </row>
    <row r="110" spans="1:25" ht="15.75" customHeight="1" x14ac:dyDescent="0.2">
      <c r="A110" s="106"/>
      <c r="C110" s="107"/>
      <c r="E110" s="108"/>
      <c r="F110" s="109"/>
      <c r="T110" s="110"/>
      <c r="U110" s="110"/>
      <c r="V110" s="111"/>
      <c r="W110" s="109"/>
      <c r="X110" s="112"/>
      <c r="Y110" s="106"/>
    </row>
    <row r="111" spans="1:25" ht="15.75" customHeight="1" x14ac:dyDescent="0.2">
      <c r="A111" s="106"/>
      <c r="C111" s="107"/>
      <c r="E111" s="108"/>
      <c r="F111" s="109"/>
      <c r="T111" s="110"/>
      <c r="U111" s="110"/>
      <c r="V111" s="111"/>
      <c r="W111" s="109"/>
      <c r="X111" s="112"/>
      <c r="Y111" s="106"/>
    </row>
    <row r="112" spans="1:25" ht="15.75" customHeight="1" x14ac:dyDescent="0.2">
      <c r="A112" s="106"/>
      <c r="C112" s="107"/>
      <c r="E112" s="108"/>
      <c r="F112" s="109"/>
      <c r="T112" s="110"/>
      <c r="U112" s="110"/>
      <c r="V112" s="111"/>
      <c r="W112" s="109"/>
      <c r="X112" s="112"/>
      <c r="Y112" s="106"/>
    </row>
    <row r="113" spans="1:25" ht="15.75" customHeight="1" x14ac:dyDescent="0.2">
      <c r="A113" s="106"/>
      <c r="C113" s="107"/>
      <c r="E113" s="108"/>
      <c r="F113" s="109"/>
      <c r="T113" s="110"/>
      <c r="U113" s="110"/>
      <c r="V113" s="111"/>
      <c r="W113" s="109"/>
      <c r="X113" s="112"/>
      <c r="Y113" s="106"/>
    </row>
    <row r="114" spans="1:25" ht="15.75" customHeight="1" x14ac:dyDescent="0.2">
      <c r="A114" s="106"/>
      <c r="C114" s="107"/>
      <c r="E114" s="108"/>
      <c r="F114" s="109"/>
      <c r="T114" s="110"/>
      <c r="U114" s="110"/>
      <c r="V114" s="111"/>
      <c r="W114" s="109"/>
      <c r="X114" s="112"/>
      <c r="Y114" s="106"/>
    </row>
    <row r="115" spans="1:25" ht="15.75" customHeight="1" x14ac:dyDescent="0.2">
      <c r="A115" s="106"/>
      <c r="C115" s="107"/>
      <c r="E115" s="108"/>
      <c r="F115" s="109"/>
      <c r="T115" s="110"/>
      <c r="U115" s="110"/>
      <c r="V115" s="111"/>
      <c r="W115" s="109"/>
      <c r="X115" s="112"/>
      <c r="Y115" s="106"/>
    </row>
    <row r="116" spans="1:25" ht="15.75" customHeight="1" x14ac:dyDescent="0.2">
      <c r="A116" s="106"/>
      <c r="C116" s="107"/>
      <c r="E116" s="108"/>
      <c r="F116" s="109"/>
      <c r="T116" s="110"/>
      <c r="U116" s="110"/>
      <c r="V116" s="111"/>
      <c r="W116" s="109"/>
      <c r="X116" s="112"/>
      <c r="Y116" s="106"/>
    </row>
    <row r="117" spans="1:25" ht="15.75" customHeight="1" x14ac:dyDescent="0.2">
      <c r="A117" s="106"/>
      <c r="C117" s="107"/>
      <c r="E117" s="108"/>
      <c r="F117" s="109"/>
      <c r="T117" s="110"/>
      <c r="U117" s="110"/>
      <c r="V117" s="111"/>
      <c r="W117" s="109"/>
      <c r="X117" s="112"/>
      <c r="Y117" s="106"/>
    </row>
    <row r="118" spans="1:25" ht="15.75" customHeight="1" x14ac:dyDescent="0.2">
      <c r="A118" s="106"/>
      <c r="C118" s="107"/>
      <c r="E118" s="108"/>
      <c r="F118" s="109"/>
      <c r="T118" s="110"/>
      <c r="U118" s="110"/>
      <c r="V118" s="111"/>
      <c r="W118" s="109"/>
      <c r="X118" s="112"/>
      <c r="Y118" s="106"/>
    </row>
    <row r="119" spans="1:25" ht="15.75" customHeight="1" x14ac:dyDescent="0.2">
      <c r="A119" s="106"/>
      <c r="C119" s="107"/>
      <c r="E119" s="108"/>
      <c r="F119" s="109"/>
      <c r="T119" s="110"/>
      <c r="U119" s="110"/>
      <c r="V119" s="111"/>
      <c r="W119" s="109"/>
      <c r="X119" s="112"/>
      <c r="Y119" s="106"/>
    </row>
    <row r="120" spans="1:25" ht="15.75" customHeight="1" x14ac:dyDescent="0.2">
      <c r="A120" s="106"/>
      <c r="C120" s="107"/>
      <c r="E120" s="108"/>
      <c r="F120" s="109"/>
      <c r="T120" s="110"/>
      <c r="U120" s="110"/>
      <c r="V120" s="111"/>
      <c r="W120" s="109"/>
      <c r="X120" s="112"/>
      <c r="Y120" s="106"/>
    </row>
    <row r="121" spans="1:25" ht="15.75" customHeight="1" x14ac:dyDescent="0.2">
      <c r="A121" s="106"/>
      <c r="C121" s="107"/>
      <c r="E121" s="108"/>
      <c r="F121" s="109"/>
      <c r="T121" s="110"/>
      <c r="U121" s="110"/>
      <c r="V121" s="111"/>
      <c r="W121" s="109"/>
      <c r="X121" s="112"/>
      <c r="Y121" s="106"/>
    </row>
    <row r="122" spans="1:25" ht="15.75" customHeight="1" x14ac:dyDescent="0.2">
      <c r="A122" s="106"/>
      <c r="C122" s="107"/>
      <c r="E122" s="108"/>
      <c r="F122" s="109"/>
      <c r="T122" s="110"/>
      <c r="U122" s="110"/>
      <c r="V122" s="111"/>
      <c r="W122" s="109"/>
      <c r="X122" s="112"/>
      <c r="Y122" s="106"/>
    </row>
    <row r="123" spans="1:25" ht="15.75" customHeight="1" x14ac:dyDescent="0.2">
      <c r="A123" s="106"/>
      <c r="C123" s="107"/>
      <c r="E123" s="108"/>
      <c r="F123" s="109"/>
      <c r="T123" s="110"/>
      <c r="U123" s="110"/>
      <c r="V123" s="111"/>
      <c r="W123" s="109"/>
      <c r="X123" s="112"/>
      <c r="Y123" s="106"/>
    </row>
    <row r="124" spans="1:25" ht="15.75" customHeight="1" x14ac:dyDescent="0.2">
      <c r="A124" s="106"/>
      <c r="C124" s="107"/>
      <c r="E124" s="108"/>
      <c r="F124" s="109"/>
      <c r="T124" s="110"/>
      <c r="U124" s="110"/>
      <c r="V124" s="111"/>
      <c r="W124" s="109"/>
      <c r="X124" s="112"/>
      <c r="Y124" s="106"/>
    </row>
    <row r="125" spans="1:25" ht="15.75" customHeight="1" x14ac:dyDescent="0.2">
      <c r="A125" s="106"/>
      <c r="C125" s="107"/>
      <c r="E125" s="108"/>
      <c r="F125" s="109"/>
      <c r="T125" s="110"/>
      <c r="U125" s="110"/>
      <c r="V125" s="111"/>
      <c r="W125" s="109"/>
      <c r="X125" s="112"/>
      <c r="Y125" s="106"/>
    </row>
    <row r="126" spans="1:25" ht="15.75" customHeight="1" x14ac:dyDescent="0.2">
      <c r="A126" s="106"/>
      <c r="C126" s="107"/>
      <c r="E126" s="108"/>
      <c r="F126" s="109"/>
      <c r="T126" s="110"/>
      <c r="U126" s="110"/>
      <c r="V126" s="111"/>
      <c r="W126" s="109"/>
      <c r="X126" s="112"/>
      <c r="Y126" s="106"/>
    </row>
    <row r="127" spans="1:25" ht="15.75" customHeight="1" x14ac:dyDescent="0.2">
      <c r="A127" s="106"/>
      <c r="C127" s="107"/>
      <c r="E127" s="108"/>
      <c r="F127" s="109"/>
      <c r="T127" s="110"/>
      <c r="U127" s="110"/>
      <c r="V127" s="111"/>
      <c r="W127" s="109"/>
      <c r="X127" s="112"/>
      <c r="Y127" s="106"/>
    </row>
    <row r="128" spans="1:25" ht="15.75" customHeight="1" x14ac:dyDescent="0.2">
      <c r="A128" s="106"/>
      <c r="C128" s="107"/>
      <c r="E128" s="108"/>
      <c r="F128" s="109"/>
      <c r="T128" s="110"/>
      <c r="U128" s="110"/>
      <c r="V128" s="111"/>
      <c r="W128" s="109"/>
      <c r="X128" s="112"/>
      <c r="Y128" s="106"/>
    </row>
    <row r="129" spans="1:25" ht="15.75" customHeight="1" x14ac:dyDescent="0.2">
      <c r="A129" s="106"/>
      <c r="C129" s="107"/>
      <c r="E129" s="108"/>
      <c r="F129" s="109"/>
      <c r="T129" s="110"/>
      <c r="U129" s="110"/>
      <c r="V129" s="111"/>
      <c r="W129" s="109"/>
      <c r="X129" s="112"/>
      <c r="Y129" s="106"/>
    </row>
    <row r="130" spans="1:25" ht="15.75" customHeight="1" x14ac:dyDescent="0.2">
      <c r="A130" s="106"/>
      <c r="C130" s="107"/>
      <c r="E130" s="108"/>
      <c r="F130" s="109"/>
      <c r="T130" s="110"/>
      <c r="U130" s="110"/>
      <c r="V130" s="111"/>
      <c r="W130" s="109"/>
      <c r="X130" s="112"/>
      <c r="Y130" s="106"/>
    </row>
    <row r="131" spans="1:25" ht="15.75" customHeight="1" x14ac:dyDescent="0.2">
      <c r="A131" s="106"/>
      <c r="C131" s="107"/>
      <c r="E131" s="108"/>
      <c r="F131" s="109"/>
      <c r="T131" s="110"/>
      <c r="U131" s="110"/>
      <c r="V131" s="111"/>
      <c r="W131" s="109"/>
      <c r="X131" s="112"/>
      <c r="Y131" s="106"/>
    </row>
    <row r="132" spans="1:25" ht="15.75" customHeight="1" x14ac:dyDescent="0.2">
      <c r="A132" s="106"/>
      <c r="C132" s="107"/>
      <c r="E132" s="108"/>
      <c r="F132" s="109"/>
      <c r="T132" s="110"/>
      <c r="U132" s="110"/>
      <c r="V132" s="111"/>
      <c r="W132" s="109"/>
      <c r="X132" s="112"/>
      <c r="Y132" s="106"/>
    </row>
    <row r="133" spans="1:25" ht="15.75" customHeight="1" x14ac:dyDescent="0.2">
      <c r="A133" s="106"/>
      <c r="C133" s="107"/>
      <c r="E133" s="108"/>
      <c r="F133" s="109"/>
      <c r="T133" s="110"/>
      <c r="U133" s="110"/>
      <c r="V133" s="111"/>
      <c r="W133" s="109"/>
      <c r="X133" s="112"/>
      <c r="Y133" s="106"/>
    </row>
    <row r="134" spans="1:25" ht="15.75" customHeight="1" x14ac:dyDescent="0.2">
      <c r="A134" s="106"/>
      <c r="C134" s="107"/>
      <c r="E134" s="108"/>
      <c r="F134" s="109"/>
      <c r="T134" s="110"/>
      <c r="U134" s="110"/>
      <c r="V134" s="111"/>
      <c r="W134" s="109"/>
      <c r="X134" s="112"/>
      <c r="Y134" s="106"/>
    </row>
    <row r="135" spans="1:25" ht="15.75" customHeight="1" x14ac:dyDescent="0.2">
      <c r="A135" s="106"/>
      <c r="C135" s="107"/>
      <c r="E135" s="108"/>
      <c r="F135" s="109"/>
      <c r="T135" s="110"/>
      <c r="U135" s="110"/>
      <c r="V135" s="111"/>
      <c r="W135" s="109"/>
      <c r="X135" s="112"/>
      <c r="Y135" s="106"/>
    </row>
    <row r="136" spans="1:25" ht="15.75" customHeight="1" x14ac:dyDescent="0.2">
      <c r="A136" s="106"/>
      <c r="C136" s="107"/>
      <c r="E136" s="108"/>
      <c r="F136" s="109"/>
      <c r="T136" s="110"/>
      <c r="U136" s="110"/>
      <c r="V136" s="111"/>
      <c r="W136" s="109"/>
      <c r="X136" s="112"/>
      <c r="Y136" s="106"/>
    </row>
    <row r="137" spans="1:25" ht="15.75" customHeight="1" x14ac:dyDescent="0.2">
      <c r="A137" s="106"/>
      <c r="C137" s="107"/>
      <c r="E137" s="108"/>
      <c r="F137" s="109"/>
      <c r="T137" s="110"/>
      <c r="U137" s="110"/>
      <c r="V137" s="111"/>
      <c r="W137" s="109"/>
      <c r="X137" s="112"/>
      <c r="Y137" s="106"/>
    </row>
    <row r="138" spans="1:25" ht="15.75" customHeight="1" x14ac:dyDescent="0.2">
      <c r="A138" s="106"/>
      <c r="C138" s="107"/>
      <c r="E138" s="108"/>
      <c r="F138" s="109"/>
      <c r="T138" s="110"/>
      <c r="U138" s="110"/>
      <c r="V138" s="111"/>
      <c r="W138" s="109"/>
      <c r="X138" s="112"/>
      <c r="Y138" s="106"/>
    </row>
    <row r="139" spans="1:25" ht="15.75" customHeight="1" x14ac:dyDescent="0.2">
      <c r="A139" s="106"/>
      <c r="C139" s="107"/>
      <c r="E139" s="108"/>
      <c r="F139" s="109"/>
      <c r="T139" s="110"/>
      <c r="U139" s="110"/>
      <c r="V139" s="111"/>
      <c r="W139" s="109"/>
      <c r="X139" s="112"/>
      <c r="Y139" s="106"/>
    </row>
    <row r="140" spans="1:25" ht="15.75" customHeight="1" x14ac:dyDescent="0.2">
      <c r="A140" s="106"/>
      <c r="C140" s="107"/>
      <c r="E140" s="108"/>
      <c r="F140" s="109"/>
      <c r="T140" s="110"/>
      <c r="U140" s="110"/>
      <c r="V140" s="111"/>
      <c r="W140" s="109"/>
      <c r="X140" s="112"/>
      <c r="Y140" s="106"/>
    </row>
    <row r="141" spans="1:25" ht="15.75" customHeight="1" x14ac:dyDescent="0.2">
      <c r="A141" s="106"/>
      <c r="C141" s="107"/>
      <c r="E141" s="108"/>
      <c r="F141" s="109"/>
      <c r="T141" s="110"/>
      <c r="U141" s="110"/>
      <c r="V141" s="111"/>
      <c r="W141" s="109"/>
      <c r="X141" s="112"/>
      <c r="Y141" s="106"/>
    </row>
    <row r="142" spans="1:25" ht="15.75" customHeight="1" x14ac:dyDescent="0.2">
      <c r="A142" s="106"/>
      <c r="C142" s="107"/>
      <c r="E142" s="108"/>
      <c r="F142" s="109"/>
      <c r="T142" s="110"/>
      <c r="U142" s="110"/>
      <c r="V142" s="111"/>
      <c r="W142" s="109"/>
      <c r="X142" s="112"/>
      <c r="Y142" s="106"/>
    </row>
    <row r="143" spans="1:25" ht="15.75" customHeight="1" x14ac:dyDescent="0.2">
      <c r="A143" s="106"/>
      <c r="C143" s="107"/>
      <c r="E143" s="108"/>
      <c r="F143" s="109"/>
      <c r="T143" s="110"/>
      <c r="U143" s="110"/>
      <c r="V143" s="111"/>
      <c r="W143" s="109"/>
      <c r="X143" s="112"/>
      <c r="Y143" s="106"/>
    </row>
    <row r="144" spans="1:25" ht="15.75" customHeight="1" x14ac:dyDescent="0.2">
      <c r="A144" s="106"/>
      <c r="C144" s="107"/>
      <c r="E144" s="108"/>
      <c r="F144" s="109"/>
      <c r="T144" s="110"/>
      <c r="U144" s="110"/>
      <c r="V144" s="111"/>
      <c r="W144" s="109"/>
      <c r="X144" s="112"/>
      <c r="Y144" s="106"/>
    </row>
    <row r="145" spans="1:25" ht="15.75" customHeight="1" x14ac:dyDescent="0.2">
      <c r="A145" s="106"/>
      <c r="C145" s="107"/>
      <c r="E145" s="108"/>
      <c r="F145" s="109"/>
      <c r="T145" s="110"/>
      <c r="U145" s="110"/>
      <c r="V145" s="111"/>
      <c r="W145" s="109"/>
      <c r="X145" s="112"/>
      <c r="Y145" s="106"/>
    </row>
    <row r="146" spans="1:25" ht="15.75" customHeight="1" x14ac:dyDescent="0.2">
      <c r="A146" s="106"/>
      <c r="C146" s="107"/>
      <c r="E146" s="108"/>
      <c r="F146" s="109"/>
      <c r="T146" s="110"/>
      <c r="U146" s="110"/>
      <c r="V146" s="111"/>
      <c r="W146" s="109"/>
      <c r="X146" s="112"/>
      <c r="Y146" s="106"/>
    </row>
    <row r="147" spans="1:25" ht="15.75" customHeight="1" x14ac:dyDescent="0.2">
      <c r="A147" s="106"/>
      <c r="C147" s="107"/>
      <c r="E147" s="108"/>
      <c r="F147" s="109"/>
      <c r="T147" s="110"/>
      <c r="U147" s="110"/>
      <c r="V147" s="111"/>
      <c r="W147" s="109"/>
      <c r="X147" s="112"/>
      <c r="Y147" s="106"/>
    </row>
    <row r="148" spans="1:25" ht="15.75" customHeight="1" x14ac:dyDescent="0.2">
      <c r="A148" s="106"/>
      <c r="C148" s="107"/>
      <c r="E148" s="108"/>
      <c r="F148" s="109"/>
      <c r="T148" s="110"/>
      <c r="U148" s="110"/>
      <c r="V148" s="111"/>
      <c r="W148" s="109"/>
      <c r="X148" s="112"/>
      <c r="Y148" s="106"/>
    </row>
    <row r="149" spans="1:25" ht="15.75" customHeight="1" x14ac:dyDescent="0.2">
      <c r="A149" s="106"/>
      <c r="C149" s="107"/>
      <c r="E149" s="108"/>
      <c r="F149" s="109"/>
      <c r="T149" s="110"/>
      <c r="U149" s="110"/>
      <c r="V149" s="111"/>
      <c r="W149" s="109"/>
      <c r="X149" s="112"/>
      <c r="Y149" s="106"/>
    </row>
    <row r="150" spans="1:25" ht="15.75" customHeight="1" x14ac:dyDescent="0.2">
      <c r="A150" s="106"/>
      <c r="C150" s="107"/>
      <c r="E150" s="108"/>
      <c r="F150" s="109"/>
      <c r="T150" s="110"/>
      <c r="U150" s="110"/>
      <c r="V150" s="111"/>
      <c r="W150" s="109"/>
      <c r="X150" s="112"/>
      <c r="Y150" s="106"/>
    </row>
    <row r="151" spans="1:25" ht="15.75" customHeight="1" x14ac:dyDescent="0.2">
      <c r="A151" s="106"/>
      <c r="C151" s="107"/>
      <c r="E151" s="108"/>
      <c r="F151" s="109"/>
      <c r="T151" s="110"/>
      <c r="U151" s="110"/>
      <c r="V151" s="111"/>
      <c r="W151" s="109"/>
      <c r="X151" s="112"/>
      <c r="Y151" s="106"/>
    </row>
    <row r="152" spans="1:25" ht="15.75" customHeight="1" x14ac:dyDescent="0.2">
      <c r="A152" s="106"/>
      <c r="C152" s="107"/>
      <c r="E152" s="108"/>
      <c r="F152" s="109"/>
      <c r="T152" s="110"/>
      <c r="U152" s="110"/>
      <c r="V152" s="111"/>
      <c r="W152" s="109"/>
      <c r="X152" s="112"/>
      <c r="Y152" s="106"/>
    </row>
    <row r="153" spans="1:25" ht="15.75" customHeight="1" x14ac:dyDescent="0.2">
      <c r="A153" s="106"/>
      <c r="C153" s="107"/>
      <c r="E153" s="108"/>
      <c r="F153" s="109"/>
      <c r="T153" s="110"/>
      <c r="U153" s="110"/>
      <c r="V153" s="111"/>
      <c r="W153" s="109"/>
      <c r="X153" s="112"/>
      <c r="Y153" s="106"/>
    </row>
    <row r="154" spans="1:25" ht="15.75" customHeight="1" x14ac:dyDescent="0.2">
      <c r="A154" s="106"/>
      <c r="C154" s="107"/>
      <c r="E154" s="108"/>
      <c r="F154" s="109"/>
      <c r="T154" s="110"/>
      <c r="U154" s="110"/>
      <c r="V154" s="111"/>
      <c r="W154" s="109"/>
      <c r="X154" s="112"/>
      <c r="Y154" s="106"/>
    </row>
    <row r="155" spans="1:25" ht="15.75" customHeight="1" x14ac:dyDescent="0.2">
      <c r="A155" s="106"/>
      <c r="C155" s="107"/>
      <c r="E155" s="108"/>
      <c r="F155" s="109"/>
      <c r="T155" s="110"/>
      <c r="U155" s="110"/>
      <c r="V155" s="111"/>
      <c r="W155" s="109"/>
      <c r="X155" s="112"/>
      <c r="Y155" s="106"/>
    </row>
    <row r="156" spans="1:25" ht="15.75" customHeight="1" x14ac:dyDescent="0.2">
      <c r="A156" s="106"/>
      <c r="C156" s="107"/>
      <c r="E156" s="108"/>
      <c r="F156" s="109"/>
      <c r="T156" s="110"/>
      <c r="U156" s="110"/>
      <c r="V156" s="111"/>
      <c r="W156" s="109"/>
      <c r="X156" s="112"/>
      <c r="Y156" s="106"/>
    </row>
    <row r="157" spans="1:25" ht="15.75" customHeight="1" x14ac:dyDescent="0.2">
      <c r="A157" s="106"/>
      <c r="C157" s="107"/>
      <c r="E157" s="108"/>
      <c r="F157" s="109"/>
      <c r="T157" s="110"/>
      <c r="U157" s="110"/>
      <c r="V157" s="111"/>
      <c r="W157" s="109"/>
      <c r="X157" s="112"/>
      <c r="Y157" s="106"/>
    </row>
    <row r="158" spans="1:25" ht="15.75" customHeight="1" x14ac:dyDescent="0.2">
      <c r="A158" s="106"/>
      <c r="C158" s="107"/>
      <c r="E158" s="108"/>
      <c r="F158" s="109"/>
      <c r="T158" s="110"/>
      <c r="U158" s="110"/>
      <c r="V158" s="111"/>
      <c r="W158" s="109"/>
      <c r="X158" s="112"/>
      <c r="Y158" s="106"/>
    </row>
    <row r="159" spans="1:25" ht="15.75" customHeight="1" x14ac:dyDescent="0.2">
      <c r="A159" s="106"/>
      <c r="C159" s="107"/>
      <c r="E159" s="108"/>
      <c r="F159" s="109"/>
      <c r="T159" s="110"/>
      <c r="U159" s="110"/>
      <c r="V159" s="111"/>
      <c r="W159" s="109"/>
      <c r="X159" s="112"/>
      <c r="Y159" s="106"/>
    </row>
    <row r="160" spans="1:25" ht="15.75" customHeight="1" x14ac:dyDescent="0.2">
      <c r="A160" s="106"/>
      <c r="C160" s="107"/>
      <c r="E160" s="108"/>
      <c r="F160" s="109"/>
      <c r="T160" s="110"/>
      <c r="U160" s="110"/>
      <c r="V160" s="111"/>
      <c r="W160" s="109"/>
      <c r="X160" s="112"/>
      <c r="Y160" s="106"/>
    </row>
    <row r="161" spans="1:25" ht="15.75" customHeight="1" x14ac:dyDescent="0.2">
      <c r="A161" s="106"/>
      <c r="C161" s="107"/>
      <c r="E161" s="108"/>
      <c r="F161" s="109"/>
      <c r="T161" s="110"/>
      <c r="U161" s="110"/>
      <c r="V161" s="111"/>
      <c r="W161" s="109"/>
      <c r="X161" s="112"/>
      <c r="Y161" s="106"/>
    </row>
    <row r="162" spans="1:25" ht="15.75" customHeight="1" x14ac:dyDescent="0.2">
      <c r="A162" s="106"/>
      <c r="C162" s="107"/>
      <c r="E162" s="108"/>
      <c r="F162" s="109"/>
      <c r="T162" s="110"/>
      <c r="U162" s="110"/>
      <c r="V162" s="111"/>
      <c r="W162" s="109"/>
      <c r="X162" s="112"/>
      <c r="Y162" s="106"/>
    </row>
    <row r="163" spans="1:25" ht="15.75" customHeight="1" x14ac:dyDescent="0.2">
      <c r="A163" s="106"/>
      <c r="C163" s="107"/>
      <c r="E163" s="108"/>
      <c r="F163" s="109"/>
      <c r="T163" s="110"/>
      <c r="U163" s="110"/>
      <c r="V163" s="111"/>
      <c r="W163" s="109"/>
      <c r="X163" s="112"/>
      <c r="Y163" s="106"/>
    </row>
    <row r="164" spans="1:25" ht="15.75" customHeight="1" x14ac:dyDescent="0.2">
      <c r="A164" s="106"/>
      <c r="C164" s="107"/>
      <c r="E164" s="108"/>
      <c r="F164" s="109"/>
      <c r="T164" s="110"/>
      <c r="U164" s="110"/>
      <c r="V164" s="111"/>
      <c r="W164" s="109"/>
      <c r="X164" s="112"/>
      <c r="Y164" s="106"/>
    </row>
    <row r="165" spans="1:25" ht="15.75" customHeight="1" x14ac:dyDescent="0.2">
      <c r="A165" s="106"/>
      <c r="C165" s="107"/>
      <c r="E165" s="108"/>
      <c r="F165" s="109"/>
      <c r="T165" s="110"/>
      <c r="U165" s="110"/>
      <c r="V165" s="111"/>
      <c r="W165" s="109"/>
      <c r="X165" s="112"/>
      <c r="Y165" s="106"/>
    </row>
    <row r="166" spans="1:25" ht="15.75" customHeight="1" x14ac:dyDescent="0.2">
      <c r="A166" s="106"/>
      <c r="C166" s="107"/>
      <c r="E166" s="108"/>
      <c r="F166" s="109"/>
      <c r="T166" s="110"/>
      <c r="U166" s="110"/>
      <c r="V166" s="111"/>
      <c r="W166" s="109"/>
      <c r="X166" s="112"/>
      <c r="Y166" s="106"/>
    </row>
    <row r="167" spans="1:25" ht="15.75" customHeight="1" x14ac:dyDescent="0.2">
      <c r="A167" s="106"/>
      <c r="C167" s="107"/>
      <c r="E167" s="108"/>
      <c r="F167" s="109"/>
      <c r="T167" s="110"/>
      <c r="U167" s="110"/>
      <c r="V167" s="111"/>
      <c r="W167" s="109"/>
      <c r="X167" s="112"/>
      <c r="Y167" s="106"/>
    </row>
    <row r="168" spans="1:25" ht="15.75" customHeight="1" x14ac:dyDescent="0.2">
      <c r="A168" s="106"/>
      <c r="C168" s="107"/>
      <c r="E168" s="108"/>
      <c r="F168" s="109"/>
      <c r="T168" s="110"/>
      <c r="U168" s="110"/>
      <c r="V168" s="111"/>
      <c r="W168" s="109"/>
      <c r="X168" s="112"/>
      <c r="Y168" s="106"/>
    </row>
    <row r="169" spans="1:25" ht="15.75" customHeight="1" x14ac:dyDescent="0.2">
      <c r="A169" s="106"/>
      <c r="C169" s="107"/>
      <c r="E169" s="108"/>
      <c r="F169" s="109"/>
      <c r="T169" s="110"/>
      <c r="U169" s="110"/>
      <c r="V169" s="111"/>
      <c r="W169" s="109"/>
      <c r="X169" s="112"/>
      <c r="Y169" s="106"/>
    </row>
    <row r="170" spans="1:25" ht="15.75" customHeight="1" x14ac:dyDescent="0.2">
      <c r="A170" s="106"/>
      <c r="C170" s="107"/>
      <c r="E170" s="108"/>
      <c r="F170" s="109"/>
      <c r="T170" s="110"/>
      <c r="U170" s="110"/>
      <c r="V170" s="111"/>
      <c r="W170" s="109"/>
      <c r="X170" s="112"/>
      <c r="Y170" s="106"/>
    </row>
    <row r="171" spans="1:25" ht="15.75" customHeight="1" x14ac:dyDescent="0.2">
      <c r="A171" s="106"/>
      <c r="C171" s="107"/>
      <c r="E171" s="108"/>
      <c r="F171" s="109"/>
      <c r="T171" s="110"/>
      <c r="U171" s="110"/>
      <c r="V171" s="111"/>
      <c r="W171" s="109"/>
      <c r="X171" s="112"/>
      <c r="Y171" s="106"/>
    </row>
    <row r="172" spans="1:25" ht="15.75" customHeight="1" x14ac:dyDescent="0.2">
      <c r="A172" s="106"/>
      <c r="C172" s="107"/>
      <c r="E172" s="108"/>
      <c r="F172" s="109"/>
      <c r="T172" s="110"/>
      <c r="U172" s="110"/>
      <c r="V172" s="111"/>
      <c r="W172" s="109"/>
      <c r="X172" s="112"/>
      <c r="Y172" s="106"/>
    </row>
    <row r="173" spans="1:25" ht="15.75" customHeight="1" x14ac:dyDescent="0.2">
      <c r="A173" s="106"/>
      <c r="C173" s="107"/>
      <c r="E173" s="108"/>
      <c r="F173" s="109"/>
      <c r="T173" s="110"/>
      <c r="U173" s="110"/>
      <c r="V173" s="111"/>
      <c r="W173" s="109"/>
      <c r="X173" s="112"/>
      <c r="Y173" s="106"/>
    </row>
    <row r="174" spans="1:25" ht="15.75" customHeight="1" x14ac:dyDescent="0.2">
      <c r="A174" s="106"/>
      <c r="C174" s="107"/>
      <c r="E174" s="108"/>
      <c r="F174" s="109"/>
      <c r="T174" s="110"/>
      <c r="U174" s="110"/>
      <c r="V174" s="111"/>
      <c r="W174" s="109"/>
      <c r="X174" s="112"/>
      <c r="Y174" s="106"/>
    </row>
    <row r="175" spans="1:25" ht="15.75" customHeight="1" x14ac:dyDescent="0.2">
      <c r="A175" s="106"/>
      <c r="C175" s="107"/>
      <c r="E175" s="108"/>
      <c r="F175" s="109"/>
      <c r="T175" s="110"/>
      <c r="U175" s="110"/>
      <c r="V175" s="111"/>
      <c r="W175" s="109"/>
      <c r="X175" s="112"/>
      <c r="Y175" s="106"/>
    </row>
    <row r="176" spans="1:25" ht="15.75" customHeight="1" x14ac:dyDescent="0.2">
      <c r="A176" s="106"/>
      <c r="C176" s="107"/>
      <c r="E176" s="108"/>
      <c r="F176" s="109"/>
      <c r="T176" s="110"/>
      <c r="U176" s="110"/>
      <c r="V176" s="111"/>
      <c r="W176" s="109"/>
      <c r="X176" s="112"/>
      <c r="Y176" s="106"/>
    </row>
    <row r="177" spans="1:25" ht="15.75" customHeight="1" x14ac:dyDescent="0.2">
      <c r="A177" s="106"/>
      <c r="C177" s="107"/>
      <c r="E177" s="108"/>
      <c r="F177" s="109"/>
      <c r="T177" s="110"/>
      <c r="U177" s="110"/>
      <c r="V177" s="111"/>
      <c r="W177" s="109"/>
      <c r="X177" s="112"/>
      <c r="Y177" s="106"/>
    </row>
    <row r="178" spans="1:25" ht="15.75" customHeight="1" x14ac:dyDescent="0.2">
      <c r="A178" s="106"/>
      <c r="C178" s="107"/>
      <c r="E178" s="108"/>
      <c r="F178" s="109"/>
      <c r="T178" s="110"/>
      <c r="U178" s="110"/>
      <c r="V178" s="111"/>
      <c r="W178" s="109"/>
      <c r="X178" s="112"/>
      <c r="Y178" s="106"/>
    </row>
    <row r="179" spans="1:25" ht="15.75" customHeight="1" x14ac:dyDescent="0.2">
      <c r="A179" s="106"/>
      <c r="C179" s="107"/>
      <c r="E179" s="108"/>
      <c r="F179" s="109"/>
      <c r="T179" s="110"/>
      <c r="U179" s="110"/>
      <c r="V179" s="111"/>
      <c r="W179" s="109"/>
      <c r="X179" s="112"/>
      <c r="Y179" s="106"/>
    </row>
    <row r="180" spans="1:25" ht="15.75" customHeight="1" x14ac:dyDescent="0.2">
      <c r="A180" s="106"/>
      <c r="C180" s="107"/>
      <c r="E180" s="108"/>
      <c r="F180" s="109"/>
      <c r="T180" s="110"/>
      <c r="U180" s="110"/>
      <c r="V180" s="111"/>
      <c r="W180" s="109"/>
      <c r="X180" s="112"/>
      <c r="Y180" s="106"/>
    </row>
    <row r="181" spans="1:25" ht="15.75" customHeight="1" x14ac:dyDescent="0.2">
      <c r="A181" s="106"/>
      <c r="C181" s="107"/>
      <c r="E181" s="108"/>
      <c r="F181" s="109"/>
      <c r="T181" s="110"/>
      <c r="U181" s="110"/>
      <c r="V181" s="111"/>
      <c r="W181" s="109"/>
      <c r="X181" s="112"/>
      <c r="Y181" s="106"/>
    </row>
    <row r="182" spans="1:25" ht="15.75" customHeight="1" x14ac:dyDescent="0.2">
      <c r="A182" s="106"/>
      <c r="C182" s="107"/>
      <c r="E182" s="108"/>
      <c r="F182" s="109"/>
      <c r="T182" s="110"/>
      <c r="U182" s="110"/>
      <c r="V182" s="111"/>
      <c r="W182" s="109"/>
      <c r="X182" s="112"/>
      <c r="Y182" s="106"/>
    </row>
    <row r="183" spans="1:25" ht="15.75" customHeight="1" x14ac:dyDescent="0.2">
      <c r="A183" s="106"/>
      <c r="C183" s="107"/>
      <c r="E183" s="108"/>
      <c r="F183" s="109"/>
      <c r="T183" s="110"/>
      <c r="U183" s="110"/>
      <c r="V183" s="111"/>
      <c r="W183" s="109"/>
      <c r="X183" s="112"/>
      <c r="Y183" s="106"/>
    </row>
    <row r="184" spans="1:25" ht="15.75" customHeight="1" x14ac:dyDescent="0.2">
      <c r="A184" s="106"/>
      <c r="C184" s="107"/>
      <c r="E184" s="108"/>
      <c r="F184" s="109"/>
      <c r="T184" s="110"/>
      <c r="U184" s="110"/>
      <c r="V184" s="111"/>
      <c r="W184" s="109"/>
      <c r="X184" s="112"/>
      <c r="Y184" s="106"/>
    </row>
    <row r="185" spans="1:25" ht="15.75" customHeight="1" x14ac:dyDescent="0.2">
      <c r="A185" s="106"/>
      <c r="C185" s="107"/>
      <c r="E185" s="108"/>
      <c r="F185" s="109"/>
      <c r="T185" s="110"/>
      <c r="U185" s="110"/>
      <c r="V185" s="111"/>
      <c r="W185" s="109"/>
      <c r="X185" s="112"/>
      <c r="Y185" s="106"/>
    </row>
    <row r="186" spans="1:25" ht="15.75" customHeight="1" x14ac:dyDescent="0.2">
      <c r="A186" s="106"/>
      <c r="C186" s="107"/>
      <c r="E186" s="108"/>
      <c r="F186" s="109"/>
      <c r="T186" s="110"/>
      <c r="U186" s="110"/>
      <c r="V186" s="111"/>
      <c r="W186" s="109"/>
      <c r="X186" s="112"/>
      <c r="Y186" s="106"/>
    </row>
    <row r="187" spans="1:25" ht="15.75" customHeight="1" x14ac:dyDescent="0.2">
      <c r="A187" s="106"/>
      <c r="C187" s="107"/>
      <c r="E187" s="108"/>
      <c r="F187" s="109"/>
      <c r="T187" s="110"/>
      <c r="U187" s="110"/>
      <c r="V187" s="111"/>
      <c r="W187" s="109"/>
      <c r="X187" s="112"/>
      <c r="Y187" s="106"/>
    </row>
    <row r="188" spans="1:25" ht="15.75" customHeight="1" x14ac:dyDescent="0.2">
      <c r="A188" s="106"/>
      <c r="C188" s="107"/>
      <c r="E188" s="108"/>
      <c r="F188" s="109"/>
      <c r="T188" s="110"/>
      <c r="U188" s="110"/>
      <c r="V188" s="111"/>
      <c r="W188" s="109"/>
      <c r="X188" s="112"/>
      <c r="Y188" s="106"/>
    </row>
    <row r="189" spans="1:25" ht="15.75" customHeight="1" x14ac:dyDescent="0.2">
      <c r="A189" s="106"/>
      <c r="C189" s="107"/>
      <c r="E189" s="108"/>
      <c r="F189" s="109"/>
      <c r="T189" s="110"/>
      <c r="U189" s="110"/>
      <c r="V189" s="111"/>
      <c r="W189" s="109"/>
      <c r="X189" s="112"/>
      <c r="Y189" s="106"/>
    </row>
    <row r="190" spans="1:25" ht="15.75" customHeight="1" x14ac:dyDescent="0.2">
      <c r="A190" s="106"/>
      <c r="C190" s="107"/>
      <c r="E190" s="108"/>
      <c r="F190" s="109"/>
      <c r="T190" s="110"/>
      <c r="U190" s="110"/>
      <c r="V190" s="111"/>
      <c r="W190" s="109"/>
      <c r="X190" s="112"/>
      <c r="Y190" s="106"/>
    </row>
    <row r="191" spans="1:25" ht="15.75" customHeight="1" x14ac:dyDescent="0.2">
      <c r="A191" s="106"/>
      <c r="C191" s="107"/>
      <c r="E191" s="108"/>
      <c r="F191" s="109"/>
      <c r="T191" s="110"/>
      <c r="U191" s="110"/>
      <c r="V191" s="111"/>
      <c r="W191" s="109"/>
      <c r="X191" s="112"/>
      <c r="Y191" s="106"/>
    </row>
    <row r="192" spans="1:25" ht="15.75" customHeight="1" x14ac:dyDescent="0.2">
      <c r="A192" s="106"/>
      <c r="C192" s="107"/>
      <c r="E192" s="108"/>
      <c r="F192" s="109"/>
      <c r="T192" s="110"/>
      <c r="U192" s="110"/>
      <c r="V192" s="111"/>
      <c r="W192" s="109"/>
      <c r="X192" s="112"/>
      <c r="Y192" s="106"/>
    </row>
    <row r="193" spans="1:25" ht="15.75" customHeight="1" x14ac:dyDescent="0.2">
      <c r="A193" s="106"/>
      <c r="C193" s="107"/>
      <c r="E193" s="108"/>
      <c r="F193" s="109"/>
      <c r="T193" s="110"/>
      <c r="U193" s="110"/>
      <c r="V193" s="111"/>
      <c r="W193" s="109"/>
      <c r="X193" s="112"/>
      <c r="Y193" s="106"/>
    </row>
    <row r="194" spans="1:25" ht="15.75" customHeight="1" x14ac:dyDescent="0.2">
      <c r="A194" s="106"/>
      <c r="C194" s="107"/>
      <c r="E194" s="108"/>
      <c r="F194" s="109"/>
      <c r="T194" s="110"/>
      <c r="U194" s="110"/>
      <c r="V194" s="111"/>
      <c r="W194" s="109"/>
      <c r="X194" s="112"/>
      <c r="Y194" s="106"/>
    </row>
    <row r="195" spans="1:25" ht="15.75" customHeight="1" x14ac:dyDescent="0.2">
      <c r="A195" s="106"/>
      <c r="C195" s="107"/>
      <c r="E195" s="108"/>
      <c r="F195" s="109"/>
      <c r="T195" s="110"/>
      <c r="U195" s="110"/>
      <c r="V195" s="111"/>
      <c r="W195" s="109"/>
      <c r="X195" s="112"/>
      <c r="Y195" s="106"/>
    </row>
    <row r="196" spans="1:25" ht="15.75" customHeight="1" x14ac:dyDescent="0.2">
      <c r="A196" s="106"/>
      <c r="C196" s="107"/>
      <c r="E196" s="108"/>
      <c r="F196" s="109"/>
      <c r="T196" s="110"/>
      <c r="U196" s="110"/>
      <c r="V196" s="111"/>
      <c r="W196" s="109"/>
      <c r="X196" s="112"/>
      <c r="Y196" s="106"/>
    </row>
    <row r="197" spans="1:25" ht="15.75" customHeight="1" x14ac:dyDescent="0.2">
      <c r="A197" s="106"/>
      <c r="C197" s="107"/>
      <c r="E197" s="108"/>
      <c r="F197" s="109"/>
      <c r="T197" s="110"/>
      <c r="U197" s="110"/>
      <c r="V197" s="111"/>
      <c r="W197" s="109"/>
      <c r="X197" s="112"/>
      <c r="Y197" s="106"/>
    </row>
    <row r="198" spans="1:25" ht="15.75" customHeight="1" x14ac:dyDescent="0.2">
      <c r="A198" s="106"/>
      <c r="C198" s="107"/>
      <c r="E198" s="108"/>
      <c r="F198" s="109"/>
      <c r="T198" s="110"/>
      <c r="U198" s="110"/>
      <c r="V198" s="111"/>
      <c r="W198" s="109"/>
      <c r="X198" s="112"/>
      <c r="Y198" s="106"/>
    </row>
    <row r="199" spans="1:25" ht="15.75" customHeight="1" x14ac:dyDescent="0.2">
      <c r="A199" s="106"/>
      <c r="C199" s="107"/>
      <c r="E199" s="108"/>
      <c r="F199" s="109"/>
      <c r="T199" s="110"/>
      <c r="U199" s="110"/>
      <c r="V199" s="111"/>
      <c r="W199" s="109"/>
      <c r="X199" s="112"/>
      <c r="Y199" s="106"/>
    </row>
    <row r="200" spans="1:25" ht="15.75" customHeight="1" x14ac:dyDescent="0.2">
      <c r="A200" s="106"/>
      <c r="C200" s="107"/>
      <c r="E200" s="108"/>
      <c r="F200" s="109"/>
      <c r="T200" s="110"/>
      <c r="U200" s="110"/>
      <c r="V200" s="111"/>
      <c r="W200" s="109"/>
      <c r="X200" s="112"/>
      <c r="Y200" s="106"/>
    </row>
    <row r="201" spans="1:25" ht="15.75" customHeight="1" x14ac:dyDescent="0.2">
      <c r="A201" s="106"/>
      <c r="C201" s="107"/>
      <c r="E201" s="108"/>
      <c r="F201" s="109"/>
      <c r="T201" s="110"/>
      <c r="U201" s="110"/>
      <c r="V201" s="111"/>
      <c r="W201" s="109"/>
      <c r="X201" s="112"/>
      <c r="Y201" s="106"/>
    </row>
    <row r="202" spans="1:25" ht="15.75" customHeight="1" x14ac:dyDescent="0.2">
      <c r="A202" s="106"/>
      <c r="C202" s="107"/>
      <c r="E202" s="108"/>
      <c r="F202" s="109"/>
      <c r="T202" s="110"/>
      <c r="U202" s="110"/>
      <c r="V202" s="111"/>
      <c r="W202" s="109"/>
      <c r="X202" s="112"/>
      <c r="Y202" s="106"/>
    </row>
    <row r="203" spans="1:25" ht="15.75" customHeight="1" x14ac:dyDescent="0.2">
      <c r="A203" s="106"/>
      <c r="C203" s="107"/>
      <c r="E203" s="108"/>
      <c r="F203" s="109"/>
      <c r="T203" s="110"/>
      <c r="U203" s="110"/>
      <c r="V203" s="111"/>
      <c r="W203" s="109"/>
      <c r="X203" s="112"/>
      <c r="Y203" s="106"/>
    </row>
    <row r="204" spans="1:25" ht="15.75" customHeight="1" x14ac:dyDescent="0.2">
      <c r="A204" s="106"/>
      <c r="C204" s="107"/>
      <c r="E204" s="108"/>
      <c r="F204" s="109"/>
      <c r="T204" s="110"/>
      <c r="U204" s="110"/>
      <c r="V204" s="111"/>
      <c r="W204" s="109"/>
      <c r="X204" s="112"/>
      <c r="Y204" s="106"/>
    </row>
    <row r="205" spans="1:25" ht="15.75" customHeight="1" x14ac:dyDescent="0.2">
      <c r="A205" s="106"/>
      <c r="C205" s="107"/>
      <c r="E205" s="108"/>
      <c r="F205" s="109"/>
      <c r="T205" s="110"/>
      <c r="U205" s="110"/>
      <c r="V205" s="111"/>
      <c r="W205" s="109"/>
      <c r="X205" s="112"/>
      <c r="Y205" s="106"/>
    </row>
    <row r="206" spans="1:25" ht="15.75" customHeight="1" x14ac:dyDescent="0.2">
      <c r="A206" s="106"/>
      <c r="C206" s="107"/>
      <c r="E206" s="108"/>
      <c r="F206" s="109"/>
      <c r="T206" s="110"/>
      <c r="U206" s="110"/>
      <c r="V206" s="111"/>
      <c r="W206" s="109"/>
      <c r="X206" s="112"/>
      <c r="Y206" s="106"/>
    </row>
    <row r="207" spans="1:25" ht="15.75" customHeight="1" x14ac:dyDescent="0.2">
      <c r="A207" s="106"/>
      <c r="C207" s="107"/>
      <c r="E207" s="108"/>
      <c r="F207" s="109"/>
      <c r="T207" s="110"/>
      <c r="U207" s="110"/>
      <c r="V207" s="111"/>
      <c r="W207" s="109"/>
      <c r="X207" s="112"/>
      <c r="Y207" s="106"/>
    </row>
    <row r="208" spans="1:25" ht="15.75" customHeight="1" x14ac:dyDescent="0.2">
      <c r="A208" s="106"/>
      <c r="C208" s="107"/>
      <c r="E208" s="108"/>
      <c r="F208" s="109"/>
      <c r="T208" s="110"/>
      <c r="U208" s="110"/>
      <c r="V208" s="111"/>
      <c r="W208" s="109"/>
      <c r="X208" s="112"/>
      <c r="Y208" s="106"/>
    </row>
    <row r="209" spans="1:25" ht="15.75" customHeight="1" x14ac:dyDescent="0.2">
      <c r="A209" s="106"/>
      <c r="C209" s="107"/>
      <c r="E209" s="108"/>
      <c r="F209" s="109"/>
      <c r="T209" s="110"/>
      <c r="U209" s="110"/>
      <c r="V209" s="111"/>
      <c r="W209" s="109"/>
      <c r="X209" s="112"/>
      <c r="Y209" s="106"/>
    </row>
    <row r="210" spans="1:25" ht="15.75" customHeight="1" x14ac:dyDescent="0.2">
      <c r="A210" s="106"/>
      <c r="C210" s="107"/>
      <c r="E210" s="108"/>
      <c r="F210" s="109"/>
      <c r="T210" s="110"/>
      <c r="U210" s="110"/>
      <c r="V210" s="111"/>
      <c r="W210" s="109"/>
      <c r="X210" s="112"/>
      <c r="Y210" s="106"/>
    </row>
    <row r="211" spans="1:25" ht="15.75" customHeight="1" x14ac:dyDescent="0.2">
      <c r="A211" s="106"/>
      <c r="C211" s="107"/>
      <c r="E211" s="108"/>
      <c r="F211" s="109"/>
      <c r="T211" s="110"/>
      <c r="U211" s="110"/>
      <c r="V211" s="111"/>
      <c r="W211" s="109"/>
      <c r="X211" s="112"/>
      <c r="Y211" s="106"/>
    </row>
    <row r="212" spans="1:25" ht="15.75" customHeight="1" x14ac:dyDescent="0.2">
      <c r="A212" s="106"/>
      <c r="C212" s="107"/>
      <c r="E212" s="108"/>
      <c r="F212" s="109"/>
      <c r="T212" s="110"/>
      <c r="U212" s="110"/>
      <c r="V212" s="111"/>
      <c r="W212" s="109"/>
      <c r="X212" s="112"/>
      <c r="Y212" s="106"/>
    </row>
    <row r="213" spans="1:25" ht="15.75" customHeight="1" x14ac:dyDescent="0.2">
      <c r="A213" s="106"/>
      <c r="C213" s="107"/>
      <c r="E213" s="108"/>
      <c r="F213" s="109"/>
      <c r="T213" s="110"/>
      <c r="U213" s="110"/>
      <c r="V213" s="111"/>
      <c r="W213" s="109"/>
      <c r="X213" s="112"/>
      <c r="Y213" s="106"/>
    </row>
    <row r="214" spans="1:25" ht="15.75" customHeight="1" x14ac:dyDescent="0.2">
      <c r="A214" s="106"/>
      <c r="C214" s="107"/>
      <c r="E214" s="108"/>
      <c r="F214" s="109"/>
      <c r="T214" s="110"/>
      <c r="U214" s="110"/>
      <c r="V214" s="111"/>
      <c r="W214" s="109"/>
      <c r="X214" s="112"/>
      <c r="Y214" s="106"/>
    </row>
    <row r="215" spans="1:25" ht="15.75" customHeight="1" x14ac:dyDescent="0.2">
      <c r="A215" s="106"/>
      <c r="C215" s="107"/>
      <c r="E215" s="108"/>
      <c r="F215" s="109"/>
      <c r="T215" s="110"/>
      <c r="U215" s="110"/>
      <c r="V215" s="111"/>
      <c r="W215" s="109"/>
      <c r="X215" s="112"/>
      <c r="Y215" s="106"/>
    </row>
    <row r="216" spans="1:25" ht="15.75" customHeight="1" x14ac:dyDescent="0.2">
      <c r="A216" s="106"/>
      <c r="C216" s="107"/>
      <c r="E216" s="108"/>
      <c r="F216" s="109"/>
      <c r="T216" s="110"/>
      <c r="U216" s="110"/>
      <c r="V216" s="111"/>
      <c r="W216" s="109"/>
      <c r="X216" s="112"/>
      <c r="Y216" s="106"/>
    </row>
    <row r="217" spans="1:25" ht="15.75" customHeight="1" x14ac:dyDescent="0.2">
      <c r="A217" s="106"/>
      <c r="C217" s="107"/>
      <c r="E217" s="108"/>
      <c r="F217" s="109"/>
      <c r="T217" s="110"/>
      <c r="U217" s="110"/>
      <c r="V217" s="111"/>
      <c r="W217" s="109"/>
      <c r="X217" s="112"/>
      <c r="Y217" s="106"/>
    </row>
    <row r="218" spans="1:25" ht="15.75" customHeight="1" x14ac:dyDescent="0.2">
      <c r="A218" s="106"/>
      <c r="C218" s="107"/>
      <c r="E218" s="108"/>
      <c r="F218" s="109"/>
      <c r="T218" s="110"/>
      <c r="U218" s="110"/>
      <c r="V218" s="111"/>
      <c r="W218" s="109"/>
      <c r="X218" s="112"/>
      <c r="Y218" s="106"/>
    </row>
    <row r="219" spans="1:25" ht="15.75" customHeight="1" x14ac:dyDescent="0.2">
      <c r="A219" s="106"/>
      <c r="C219" s="107"/>
      <c r="E219" s="108"/>
      <c r="F219" s="109"/>
      <c r="T219" s="110"/>
      <c r="U219" s="110"/>
      <c r="V219" s="111"/>
      <c r="W219" s="109"/>
      <c r="X219" s="112"/>
      <c r="Y219" s="106"/>
    </row>
    <row r="220" spans="1:25" ht="15.75" customHeight="1" x14ac:dyDescent="0.2">
      <c r="A220" s="106"/>
      <c r="C220" s="107"/>
      <c r="E220" s="108"/>
      <c r="F220" s="109"/>
      <c r="T220" s="110"/>
      <c r="U220" s="110"/>
      <c r="V220" s="111"/>
      <c r="W220" s="109"/>
      <c r="X220" s="112"/>
      <c r="Y220" s="106"/>
    </row>
    <row r="221" spans="1:25" ht="15.75" customHeight="1" x14ac:dyDescent="0.2">
      <c r="A221" s="106"/>
      <c r="C221" s="107"/>
      <c r="E221" s="108"/>
      <c r="F221" s="109"/>
      <c r="T221" s="110"/>
      <c r="U221" s="110"/>
      <c r="V221" s="111"/>
      <c r="W221" s="109"/>
      <c r="X221" s="112"/>
      <c r="Y221" s="106"/>
    </row>
    <row r="222" spans="1:25" ht="15.75" customHeight="1" x14ac:dyDescent="0.2">
      <c r="A222" s="106"/>
      <c r="C222" s="107"/>
      <c r="E222" s="108"/>
      <c r="F222" s="109"/>
      <c r="T222" s="110"/>
      <c r="U222" s="110"/>
      <c r="V222" s="111"/>
      <c r="W222" s="109"/>
      <c r="X222" s="112"/>
      <c r="Y222" s="106"/>
    </row>
    <row r="223" spans="1:25" ht="15.75" customHeight="1" x14ac:dyDescent="0.2">
      <c r="A223" s="106"/>
      <c r="C223" s="107"/>
      <c r="E223" s="108"/>
      <c r="F223" s="109"/>
      <c r="T223" s="110"/>
      <c r="U223" s="110"/>
      <c r="V223" s="111"/>
      <c r="W223" s="109"/>
      <c r="X223" s="112"/>
      <c r="Y223" s="106"/>
    </row>
    <row r="224" spans="1:25" ht="15.75" customHeight="1" x14ac:dyDescent="0.2">
      <c r="A224" s="106"/>
      <c r="C224" s="107"/>
      <c r="E224" s="108"/>
      <c r="F224" s="109"/>
      <c r="T224" s="110"/>
      <c r="U224" s="110"/>
      <c r="V224" s="111"/>
      <c r="W224" s="109"/>
      <c r="X224" s="112"/>
      <c r="Y224" s="106"/>
    </row>
    <row r="225" spans="1:25" ht="15.75" customHeight="1" x14ac:dyDescent="0.2">
      <c r="A225" s="106"/>
      <c r="C225" s="107"/>
      <c r="E225" s="108"/>
      <c r="F225" s="109"/>
      <c r="T225" s="110"/>
      <c r="U225" s="110"/>
      <c r="V225" s="111"/>
      <c r="W225" s="109"/>
      <c r="X225" s="112"/>
      <c r="Y225" s="106"/>
    </row>
    <row r="226" spans="1:25" ht="15.75" customHeight="1" x14ac:dyDescent="0.2">
      <c r="A226" s="106"/>
      <c r="C226" s="107"/>
      <c r="E226" s="108"/>
      <c r="F226" s="109"/>
      <c r="T226" s="110"/>
      <c r="U226" s="110"/>
      <c r="V226" s="111"/>
      <c r="W226" s="109"/>
      <c r="X226" s="112"/>
      <c r="Y226" s="106"/>
    </row>
    <row r="227" spans="1:25" ht="15.75" customHeight="1" x14ac:dyDescent="0.2">
      <c r="A227" s="106"/>
      <c r="C227" s="107"/>
      <c r="E227" s="108"/>
      <c r="F227" s="109"/>
      <c r="T227" s="110"/>
      <c r="U227" s="110"/>
      <c r="V227" s="111"/>
      <c r="W227" s="109"/>
      <c r="X227" s="112"/>
      <c r="Y227" s="106"/>
    </row>
    <row r="228" spans="1:25" ht="15.75" customHeight="1" x14ac:dyDescent="0.2">
      <c r="A228" s="106"/>
      <c r="C228" s="107"/>
      <c r="E228" s="108"/>
      <c r="F228" s="109"/>
      <c r="T228" s="110"/>
      <c r="U228" s="110"/>
      <c r="V228" s="111"/>
      <c r="W228" s="109"/>
      <c r="X228" s="112"/>
      <c r="Y228" s="106"/>
    </row>
    <row r="229" spans="1:25" ht="15.75" customHeight="1" x14ac:dyDescent="0.2">
      <c r="A229" s="106"/>
      <c r="C229" s="107"/>
      <c r="E229" s="108"/>
      <c r="F229" s="109"/>
      <c r="T229" s="110"/>
      <c r="U229" s="110"/>
      <c r="V229" s="111"/>
      <c r="W229" s="109"/>
      <c r="X229" s="112"/>
      <c r="Y229" s="106"/>
    </row>
    <row r="230" spans="1:25" ht="15.75" customHeight="1" x14ac:dyDescent="0.2">
      <c r="A230" s="106"/>
      <c r="C230" s="107"/>
      <c r="E230" s="108"/>
      <c r="F230" s="109"/>
      <c r="T230" s="110"/>
      <c r="U230" s="110"/>
      <c r="V230" s="111"/>
      <c r="W230" s="109"/>
      <c r="X230" s="112"/>
      <c r="Y230" s="106"/>
    </row>
    <row r="231" spans="1:25" ht="15.75" customHeight="1" x14ac:dyDescent="0.2">
      <c r="A231" s="106"/>
      <c r="C231" s="107"/>
      <c r="E231" s="108"/>
      <c r="F231" s="109"/>
      <c r="T231" s="110"/>
      <c r="U231" s="110"/>
      <c r="V231" s="111"/>
      <c r="W231" s="109"/>
      <c r="X231" s="112"/>
      <c r="Y231" s="106"/>
    </row>
    <row r="232" spans="1:25" ht="15.75" customHeight="1" x14ac:dyDescent="0.2">
      <c r="A232" s="106"/>
      <c r="C232" s="107"/>
      <c r="E232" s="108"/>
      <c r="F232" s="109"/>
      <c r="T232" s="110"/>
      <c r="U232" s="110"/>
      <c r="V232" s="111"/>
      <c r="W232" s="109"/>
      <c r="X232" s="112"/>
      <c r="Y232" s="106"/>
    </row>
    <row r="233" spans="1:25" ht="15.75" customHeight="1" x14ac:dyDescent="0.2">
      <c r="A233" s="106"/>
      <c r="C233" s="107"/>
      <c r="E233" s="108"/>
      <c r="F233" s="109"/>
      <c r="T233" s="110"/>
      <c r="U233" s="110"/>
      <c r="V233" s="111"/>
      <c r="W233" s="109"/>
      <c r="X233" s="112"/>
      <c r="Y233" s="106"/>
    </row>
    <row r="234" spans="1:25" ht="15.75" customHeight="1" x14ac:dyDescent="0.2">
      <c r="A234" s="106"/>
      <c r="C234" s="107"/>
      <c r="E234" s="108"/>
      <c r="F234" s="109"/>
      <c r="T234" s="110"/>
      <c r="U234" s="110"/>
      <c r="V234" s="111"/>
      <c r="W234" s="109"/>
      <c r="X234" s="112"/>
      <c r="Y234" s="106"/>
    </row>
    <row r="235" spans="1:25" ht="15.75" customHeight="1" x14ac:dyDescent="0.2">
      <c r="A235" s="106"/>
      <c r="C235" s="107"/>
      <c r="E235" s="108"/>
      <c r="F235" s="109"/>
      <c r="T235" s="110"/>
      <c r="U235" s="110"/>
      <c r="V235" s="111"/>
      <c r="W235" s="109"/>
      <c r="X235" s="112"/>
      <c r="Y235" s="106"/>
    </row>
    <row r="236" spans="1:25" ht="15.75" customHeight="1" x14ac:dyDescent="0.2">
      <c r="A236" s="106"/>
      <c r="C236" s="107"/>
      <c r="E236" s="108"/>
      <c r="F236" s="109"/>
      <c r="T236" s="110"/>
      <c r="U236" s="110"/>
      <c r="V236" s="111"/>
      <c r="W236" s="109"/>
      <c r="X236" s="112"/>
      <c r="Y236" s="106"/>
    </row>
    <row r="237" spans="1:25" ht="15.75" customHeight="1" x14ac:dyDescent="0.2">
      <c r="A237" s="106"/>
      <c r="C237" s="107"/>
      <c r="E237" s="108"/>
      <c r="F237" s="109"/>
      <c r="T237" s="110"/>
      <c r="U237" s="110"/>
      <c r="V237" s="111"/>
      <c r="W237" s="109"/>
      <c r="X237" s="112"/>
      <c r="Y237" s="106"/>
    </row>
    <row r="238" spans="1:25" ht="15.75" customHeight="1" x14ac:dyDescent="0.2">
      <c r="A238" s="106"/>
      <c r="C238" s="107"/>
      <c r="E238" s="108"/>
      <c r="F238" s="109"/>
      <c r="T238" s="110"/>
      <c r="U238" s="110"/>
      <c r="V238" s="111"/>
      <c r="W238" s="109"/>
      <c r="X238" s="112"/>
      <c r="Y238" s="106"/>
    </row>
    <row r="239" spans="1:25" ht="15.75" customHeight="1" x14ac:dyDescent="0.2">
      <c r="A239" s="106"/>
      <c r="C239" s="107"/>
      <c r="E239" s="108"/>
      <c r="F239" s="109"/>
      <c r="T239" s="110"/>
      <c r="U239" s="110"/>
      <c r="V239" s="111"/>
      <c r="W239" s="109"/>
      <c r="X239" s="112"/>
      <c r="Y239" s="106"/>
    </row>
    <row r="240" spans="1:25" ht="15.75" customHeight="1" x14ac:dyDescent="0.2">
      <c r="A240" s="106"/>
      <c r="C240" s="107"/>
      <c r="E240" s="108"/>
      <c r="F240" s="109"/>
      <c r="T240" s="110"/>
      <c r="U240" s="110"/>
      <c r="V240" s="111"/>
      <c r="W240" s="109"/>
      <c r="X240" s="112"/>
      <c r="Y240" s="106"/>
    </row>
    <row r="241" spans="1:25" ht="15.75" customHeight="1" x14ac:dyDescent="0.2">
      <c r="A241" s="106"/>
      <c r="C241" s="107"/>
      <c r="E241" s="108"/>
      <c r="F241" s="109"/>
      <c r="T241" s="110"/>
      <c r="U241" s="110"/>
      <c r="V241" s="111"/>
      <c r="W241" s="109"/>
      <c r="X241" s="112"/>
      <c r="Y241" s="106"/>
    </row>
    <row r="242" spans="1:25" ht="15.75" customHeight="1" x14ac:dyDescent="0.2">
      <c r="A242" s="106"/>
      <c r="C242" s="107"/>
      <c r="E242" s="108"/>
      <c r="F242" s="109"/>
      <c r="T242" s="110"/>
      <c r="U242" s="110"/>
      <c r="V242" s="111"/>
      <c r="W242" s="109"/>
      <c r="X242" s="112"/>
      <c r="Y242" s="106"/>
    </row>
    <row r="243" spans="1:25" ht="15.75" customHeight="1" x14ac:dyDescent="0.2">
      <c r="A243" s="106"/>
      <c r="C243" s="107"/>
      <c r="E243" s="108"/>
      <c r="F243" s="109"/>
      <c r="T243" s="110"/>
      <c r="U243" s="110"/>
      <c r="V243" s="111"/>
      <c r="W243" s="109"/>
      <c r="X243" s="112"/>
      <c r="Y243" s="106"/>
    </row>
    <row r="244" spans="1:25" ht="15.75" customHeight="1" x14ac:dyDescent="0.2">
      <c r="A244" s="106"/>
      <c r="C244" s="107"/>
      <c r="E244" s="108"/>
      <c r="F244" s="109"/>
      <c r="T244" s="110"/>
      <c r="U244" s="110"/>
      <c r="V244" s="111"/>
      <c r="W244" s="109"/>
      <c r="X244" s="112"/>
      <c r="Y244" s="106"/>
    </row>
    <row r="245" spans="1:25" ht="15.75" customHeight="1" x14ac:dyDescent="0.2">
      <c r="A245" s="106"/>
      <c r="C245" s="107"/>
      <c r="E245" s="108"/>
      <c r="F245" s="109"/>
      <c r="T245" s="110"/>
      <c r="U245" s="110"/>
      <c r="V245" s="111"/>
      <c r="W245" s="109"/>
      <c r="X245" s="112"/>
      <c r="Y245" s="106"/>
    </row>
    <row r="246" spans="1:25" ht="15.75" customHeight="1" x14ac:dyDescent="0.2">
      <c r="A246" s="106"/>
      <c r="C246" s="107"/>
      <c r="E246" s="108"/>
      <c r="F246" s="109"/>
      <c r="T246" s="110"/>
      <c r="U246" s="110"/>
      <c r="V246" s="111"/>
      <c r="W246" s="109"/>
      <c r="X246" s="112"/>
      <c r="Y246" s="106"/>
    </row>
    <row r="247" spans="1:25" ht="15.75" customHeight="1" x14ac:dyDescent="0.2">
      <c r="A247" s="106"/>
      <c r="C247" s="107"/>
      <c r="E247" s="108"/>
      <c r="F247" s="109"/>
      <c r="T247" s="110"/>
      <c r="U247" s="110"/>
      <c r="V247" s="111"/>
      <c r="W247" s="109"/>
      <c r="X247" s="112"/>
      <c r="Y247" s="106"/>
    </row>
    <row r="248" spans="1:25" ht="15.75" customHeight="1" x14ac:dyDescent="0.2">
      <c r="A248" s="106"/>
      <c r="C248" s="107"/>
      <c r="E248" s="108"/>
      <c r="F248" s="109"/>
      <c r="T248" s="110"/>
      <c r="U248" s="110"/>
      <c r="V248" s="111"/>
      <c r="W248" s="109"/>
      <c r="X248" s="112"/>
      <c r="Y248" s="106"/>
    </row>
    <row r="249" spans="1:25" ht="15.75" customHeight="1" x14ac:dyDescent="0.2">
      <c r="A249" s="106"/>
      <c r="C249" s="107"/>
      <c r="E249" s="108"/>
      <c r="F249" s="109"/>
      <c r="T249" s="110"/>
      <c r="U249" s="110"/>
      <c r="V249" s="111"/>
      <c r="W249" s="109"/>
      <c r="X249" s="112"/>
      <c r="Y249" s="106"/>
    </row>
    <row r="250" spans="1:25" ht="15.75" customHeight="1" x14ac:dyDescent="0.2">
      <c r="A250" s="106"/>
      <c r="C250" s="107"/>
      <c r="E250" s="108"/>
      <c r="F250" s="109"/>
      <c r="T250" s="110"/>
      <c r="U250" s="110"/>
      <c r="V250" s="111"/>
      <c r="W250" s="109"/>
      <c r="X250" s="112"/>
      <c r="Y250" s="106"/>
    </row>
    <row r="251" spans="1:25" ht="15.75" customHeight="1" x14ac:dyDescent="0.2">
      <c r="A251" s="106"/>
      <c r="C251" s="107"/>
      <c r="E251" s="108"/>
      <c r="F251" s="109"/>
      <c r="T251" s="110"/>
      <c r="U251" s="110"/>
      <c r="V251" s="111"/>
      <c r="W251" s="109"/>
      <c r="X251" s="112"/>
      <c r="Y251" s="106"/>
    </row>
    <row r="252" spans="1:25" ht="15.75" customHeight="1" x14ac:dyDescent="0.2">
      <c r="A252" s="106"/>
      <c r="C252" s="107"/>
      <c r="E252" s="108"/>
      <c r="F252" s="109"/>
      <c r="T252" s="110"/>
      <c r="U252" s="110"/>
      <c r="V252" s="111"/>
      <c r="W252" s="109"/>
      <c r="X252" s="112"/>
      <c r="Y252" s="106"/>
    </row>
    <row r="253" spans="1:25" ht="15.75" customHeight="1" x14ac:dyDescent="0.2">
      <c r="A253" s="106"/>
      <c r="C253" s="107"/>
      <c r="E253" s="108"/>
      <c r="F253" s="109"/>
      <c r="T253" s="110"/>
      <c r="U253" s="110"/>
      <c r="V253" s="111"/>
      <c r="W253" s="109"/>
      <c r="X253" s="112"/>
      <c r="Y253" s="106"/>
    </row>
    <row r="254" spans="1:25" ht="15.75" customHeight="1" x14ac:dyDescent="0.2">
      <c r="A254" s="106"/>
      <c r="C254" s="107"/>
      <c r="E254" s="108"/>
      <c r="F254" s="109"/>
      <c r="T254" s="110"/>
      <c r="U254" s="110"/>
      <c r="V254" s="111"/>
      <c r="W254" s="109"/>
      <c r="X254" s="112"/>
      <c r="Y254" s="106"/>
    </row>
    <row r="255" spans="1:25" ht="15.75" customHeight="1" x14ac:dyDescent="0.2">
      <c r="A255" s="106"/>
      <c r="C255" s="107"/>
      <c r="E255" s="108"/>
      <c r="F255" s="109"/>
      <c r="T255" s="110"/>
      <c r="U255" s="110"/>
      <c r="V255" s="111"/>
      <c r="W255" s="109"/>
      <c r="X255" s="112"/>
      <c r="Y255" s="106"/>
    </row>
    <row r="256" spans="1:25" ht="15.75" customHeight="1" x14ac:dyDescent="0.2">
      <c r="A256" s="106"/>
      <c r="C256" s="107"/>
      <c r="E256" s="108"/>
      <c r="F256" s="109"/>
      <c r="T256" s="110"/>
      <c r="U256" s="110"/>
      <c r="V256" s="111"/>
      <c r="W256" s="109"/>
      <c r="X256" s="112"/>
      <c r="Y256" s="106"/>
    </row>
    <row r="257" spans="1:25" ht="15.75" customHeight="1" x14ac:dyDescent="0.2">
      <c r="A257" s="106"/>
      <c r="C257" s="107"/>
      <c r="E257" s="108"/>
      <c r="F257" s="109"/>
      <c r="T257" s="110"/>
      <c r="U257" s="110"/>
      <c r="V257" s="111"/>
      <c r="W257" s="109"/>
      <c r="X257" s="112"/>
      <c r="Y257" s="106"/>
    </row>
    <row r="258" spans="1:25" ht="15.75" customHeight="1" x14ac:dyDescent="0.2">
      <c r="A258" s="106"/>
      <c r="C258" s="107"/>
      <c r="E258" s="108"/>
      <c r="F258" s="109"/>
      <c r="T258" s="110"/>
      <c r="U258" s="110"/>
      <c r="V258" s="111"/>
      <c r="W258" s="109"/>
      <c r="X258" s="112"/>
      <c r="Y258" s="106"/>
    </row>
    <row r="259" spans="1:25" ht="15.75" customHeight="1" x14ac:dyDescent="0.2">
      <c r="A259" s="106"/>
      <c r="C259" s="107"/>
      <c r="E259" s="108"/>
      <c r="F259" s="109"/>
      <c r="T259" s="110"/>
      <c r="U259" s="110"/>
      <c r="V259" s="111"/>
      <c r="W259" s="109"/>
      <c r="X259" s="112"/>
      <c r="Y259" s="106"/>
    </row>
    <row r="260" spans="1:25" ht="15.75" customHeight="1" x14ac:dyDescent="0.2">
      <c r="A260" s="106"/>
      <c r="C260" s="107"/>
      <c r="E260" s="108"/>
      <c r="F260" s="109"/>
      <c r="T260" s="110"/>
      <c r="U260" s="110"/>
      <c r="V260" s="111"/>
      <c r="W260" s="109"/>
      <c r="X260" s="112"/>
      <c r="Y260" s="106"/>
    </row>
    <row r="261" spans="1:25" ht="15.75" customHeight="1" x14ac:dyDescent="0.2">
      <c r="A261" s="106"/>
      <c r="C261" s="107"/>
      <c r="E261" s="108"/>
      <c r="F261" s="109"/>
      <c r="T261" s="110"/>
      <c r="U261" s="110"/>
      <c r="V261" s="111"/>
      <c r="W261" s="109"/>
      <c r="X261" s="112"/>
      <c r="Y261" s="106"/>
    </row>
    <row r="262" spans="1:25" ht="15.75" customHeight="1" x14ac:dyDescent="0.2">
      <c r="A262" s="106"/>
      <c r="C262" s="107"/>
      <c r="E262" s="108"/>
      <c r="F262" s="109"/>
      <c r="T262" s="110"/>
      <c r="U262" s="110"/>
      <c r="V262" s="111"/>
      <c r="W262" s="109"/>
      <c r="X262" s="112"/>
      <c r="Y262" s="106"/>
    </row>
    <row r="263" spans="1:25" ht="15.75" customHeight="1" x14ac:dyDescent="0.2">
      <c r="A263" s="106"/>
      <c r="C263" s="107"/>
      <c r="E263" s="108"/>
      <c r="F263" s="109"/>
      <c r="T263" s="110"/>
      <c r="U263" s="110"/>
      <c r="V263" s="111"/>
      <c r="W263" s="109"/>
      <c r="X263" s="112"/>
      <c r="Y263" s="106"/>
    </row>
    <row r="264" spans="1:25" ht="15.75" customHeight="1" x14ac:dyDescent="0.2">
      <c r="A264" s="106"/>
      <c r="C264" s="107"/>
      <c r="E264" s="108"/>
      <c r="F264" s="109"/>
      <c r="T264" s="110"/>
      <c r="U264" s="110"/>
      <c r="V264" s="111"/>
      <c r="W264" s="109"/>
      <c r="X264" s="112"/>
      <c r="Y264" s="106"/>
    </row>
    <row r="265" spans="1:25" ht="15.75" customHeight="1" x14ac:dyDescent="0.2">
      <c r="A265" s="106"/>
      <c r="C265" s="107"/>
      <c r="E265" s="108"/>
      <c r="F265" s="109"/>
      <c r="T265" s="110"/>
      <c r="U265" s="110"/>
      <c r="V265" s="111"/>
      <c r="W265" s="109"/>
      <c r="X265" s="112"/>
      <c r="Y265" s="106"/>
    </row>
    <row r="266" spans="1:25" ht="15.75" customHeight="1" x14ac:dyDescent="0.2">
      <c r="A266" s="106"/>
      <c r="C266" s="107"/>
      <c r="E266" s="108"/>
      <c r="F266" s="109"/>
      <c r="T266" s="110"/>
      <c r="U266" s="110"/>
      <c r="V266" s="111"/>
      <c r="W266" s="109"/>
      <c r="X266" s="112"/>
      <c r="Y266" s="106"/>
    </row>
    <row r="267" spans="1:25" ht="15.75" customHeight="1" x14ac:dyDescent="0.2">
      <c r="A267" s="106"/>
      <c r="C267" s="107"/>
      <c r="E267" s="108"/>
      <c r="F267" s="109"/>
      <c r="T267" s="110"/>
      <c r="U267" s="110"/>
      <c r="V267" s="111"/>
      <c r="W267" s="109"/>
      <c r="X267" s="112"/>
      <c r="Y267" s="106"/>
    </row>
    <row r="268" spans="1:25" ht="15.75" customHeight="1" x14ac:dyDescent="0.2">
      <c r="A268" s="106"/>
      <c r="C268" s="107"/>
      <c r="E268" s="108"/>
      <c r="F268" s="109"/>
      <c r="T268" s="110"/>
      <c r="U268" s="110"/>
      <c r="V268" s="111"/>
      <c r="W268" s="109"/>
      <c r="X268" s="112"/>
      <c r="Y268" s="106"/>
    </row>
    <row r="269" spans="1:25" ht="15.75" customHeight="1" x14ac:dyDescent="0.2">
      <c r="A269" s="106"/>
      <c r="C269" s="107"/>
      <c r="E269" s="108"/>
      <c r="F269" s="109"/>
      <c r="T269" s="110"/>
      <c r="U269" s="110"/>
      <c r="V269" s="111"/>
      <c r="W269" s="109"/>
      <c r="X269" s="112"/>
      <c r="Y269" s="106"/>
    </row>
    <row r="270" spans="1:25" ht="15.75" customHeight="1" x14ac:dyDescent="0.2">
      <c r="A270" s="106"/>
      <c r="C270" s="107"/>
      <c r="E270" s="108"/>
      <c r="F270" s="109"/>
      <c r="T270" s="110"/>
      <c r="U270" s="110"/>
      <c r="V270" s="111"/>
      <c r="W270" s="109"/>
      <c r="X270" s="112"/>
      <c r="Y270" s="106"/>
    </row>
    <row r="271" spans="1:25" ht="15.75" customHeight="1" x14ac:dyDescent="0.2">
      <c r="A271" s="106"/>
      <c r="C271" s="107"/>
      <c r="E271" s="108"/>
      <c r="F271" s="109"/>
      <c r="T271" s="110"/>
      <c r="U271" s="110"/>
      <c r="V271" s="111"/>
      <c r="W271" s="109"/>
      <c r="X271" s="112"/>
      <c r="Y271" s="106"/>
    </row>
    <row r="272" spans="1:25" ht="15.75" customHeight="1" x14ac:dyDescent="0.2">
      <c r="A272" s="106"/>
      <c r="C272" s="107"/>
      <c r="E272" s="108"/>
      <c r="F272" s="109"/>
      <c r="T272" s="110"/>
      <c r="U272" s="110"/>
      <c r="V272" s="111"/>
      <c r="W272" s="109"/>
      <c r="X272" s="112"/>
      <c r="Y272" s="106"/>
    </row>
    <row r="273" spans="1:25" ht="15.75" customHeight="1" x14ac:dyDescent="0.2">
      <c r="A273" s="106"/>
      <c r="C273" s="107"/>
      <c r="E273" s="108"/>
      <c r="F273" s="109"/>
      <c r="T273" s="110"/>
      <c r="U273" s="110"/>
      <c r="V273" s="111"/>
      <c r="W273" s="109"/>
      <c r="X273" s="112"/>
      <c r="Y273" s="106"/>
    </row>
    <row r="274" spans="1:25" ht="15.75" customHeight="1" x14ac:dyDescent="0.2">
      <c r="A274" s="106"/>
      <c r="C274" s="107"/>
      <c r="E274" s="108"/>
      <c r="F274" s="109"/>
      <c r="T274" s="110"/>
      <c r="U274" s="110"/>
      <c r="V274" s="111"/>
      <c r="W274" s="109"/>
      <c r="X274" s="112"/>
      <c r="Y274" s="106"/>
    </row>
    <row r="275" spans="1:25" ht="15.75" customHeight="1" x14ac:dyDescent="0.2">
      <c r="A275" s="106"/>
      <c r="C275" s="107"/>
      <c r="E275" s="108"/>
      <c r="F275" s="109"/>
      <c r="T275" s="110"/>
      <c r="U275" s="110"/>
      <c r="V275" s="111"/>
      <c r="W275" s="109"/>
      <c r="X275" s="112"/>
      <c r="Y275" s="106"/>
    </row>
    <row r="276" spans="1:25" ht="15.75" customHeight="1" x14ac:dyDescent="0.2">
      <c r="C276" s="107"/>
      <c r="E276" s="108"/>
      <c r="F276" s="109"/>
      <c r="T276" s="109"/>
      <c r="U276" s="109"/>
      <c r="V276" s="113"/>
      <c r="W276" s="109"/>
      <c r="X276" s="114"/>
    </row>
    <row r="277" spans="1:25" ht="15.75" customHeight="1" x14ac:dyDescent="0.2">
      <c r="C277" s="107"/>
      <c r="E277" s="108"/>
      <c r="F277" s="109"/>
      <c r="T277" s="109"/>
      <c r="U277" s="109"/>
      <c r="V277" s="113"/>
      <c r="W277" s="109"/>
      <c r="X277" s="114"/>
    </row>
    <row r="278" spans="1:25" ht="15.75" customHeight="1" x14ac:dyDescent="0.2">
      <c r="C278" s="107"/>
      <c r="E278" s="108"/>
      <c r="F278" s="109"/>
      <c r="T278" s="109"/>
      <c r="U278" s="109"/>
      <c r="V278" s="113"/>
      <c r="W278" s="109"/>
      <c r="X278" s="114"/>
    </row>
    <row r="279" spans="1:25" ht="15.75" customHeight="1" x14ac:dyDescent="0.2">
      <c r="C279" s="107"/>
      <c r="E279" s="108"/>
      <c r="F279" s="109"/>
      <c r="T279" s="109"/>
      <c r="U279" s="109"/>
      <c r="V279" s="113"/>
      <c r="W279" s="109"/>
      <c r="X279" s="114"/>
    </row>
    <row r="280" spans="1:25" ht="15.75" customHeight="1" x14ac:dyDescent="0.2">
      <c r="C280" s="107"/>
      <c r="E280" s="108"/>
      <c r="F280" s="109"/>
      <c r="T280" s="109"/>
      <c r="U280" s="109"/>
      <c r="V280" s="113"/>
      <c r="W280" s="109"/>
      <c r="X280" s="114"/>
    </row>
    <row r="281" spans="1:25" ht="15.75" customHeight="1" x14ac:dyDescent="0.2">
      <c r="C281" s="107"/>
      <c r="E281" s="108"/>
      <c r="F281" s="109"/>
      <c r="T281" s="109"/>
      <c r="U281" s="109"/>
      <c r="V281" s="113"/>
      <c r="W281" s="109"/>
      <c r="X281" s="114"/>
    </row>
    <row r="282" spans="1:25" ht="15.75" customHeight="1" x14ac:dyDescent="0.2">
      <c r="C282" s="107"/>
      <c r="E282" s="108"/>
      <c r="F282" s="109"/>
      <c r="T282" s="109"/>
      <c r="U282" s="109"/>
      <c r="V282" s="113"/>
      <c r="W282" s="109"/>
      <c r="X282" s="114"/>
    </row>
    <row r="283" spans="1:25" ht="15.75" customHeight="1" x14ac:dyDescent="0.2">
      <c r="C283" s="107"/>
      <c r="E283" s="108"/>
      <c r="F283" s="109"/>
      <c r="T283" s="109"/>
      <c r="U283" s="109"/>
      <c r="V283" s="113"/>
      <c r="W283" s="109"/>
      <c r="X283" s="114"/>
    </row>
    <row r="284" spans="1:25" ht="15.75" customHeight="1" x14ac:dyDescent="0.2">
      <c r="C284" s="107"/>
      <c r="E284" s="108"/>
      <c r="F284" s="109"/>
      <c r="T284" s="109"/>
      <c r="U284" s="109"/>
      <c r="V284" s="113"/>
      <c r="W284" s="109"/>
      <c r="X284" s="114"/>
    </row>
    <row r="285" spans="1:25" ht="15.75" customHeight="1" x14ac:dyDescent="0.2">
      <c r="C285" s="107"/>
      <c r="E285" s="108"/>
      <c r="F285" s="109"/>
      <c r="T285" s="109"/>
      <c r="U285" s="109"/>
      <c r="V285" s="113"/>
      <c r="W285" s="109"/>
      <c r="X285" s="114"/>
    </row>
    <row r="286" spans="1:25" ht="15.75" customHeight="1" x14ac:dyDescent="0.2">
      <c r="C286" s="107"/>
      <c r="E286" s="108"/>
      <c r="F286" s="109"/>
      <c r="T286" s="109"/>
      <c r="U286" s="109"/>
      <c r="V286" s="113"/>
      <c r="W286" s="109"/>
      <c r="X286" s="114"/>
    </row>
    <row r="287" spans="1:25" ht="15.75" customHeight="1" x14ac:dyDescent="0.2">
      <c r="C287" s="107"/>
      <c r="E287" s="108"/>
      <c r="F287" s="109"/>
      <c r="T287" s="109"/>
      <c r="U287" s="109"/>
      <c r="V287" s="113"/>
      <c r="W287" s="109"/>
      <c r="X287" s="114"/>
    </row>
    <row r="288" spans="1:25" ht="15.75" customHeight="1" x14ac:dyDescent="0.2">
      <c r="C288" s="107"/>
      <c r="E288" s="108"/>
      <c r="F288" s="109"/>
      <c r="T288" s="109"/>
      <c r="U288" s="109"/>
      <c r="V288" s="113"/>
      <c r="W288" s="109"/>
      <c r="X288" s="114"/>
    </row>
    <row r="289" spans="3:24" ht="15.75" customHeight="1" x14ac:dyDescent="0.2">
      <c r="C289" s="107"/>
      <c r="E289" s="108"/>
      <c r="F289" s="109"/>
      <c r="T289" s="109"/>
      <c r="U289" s="109"/>
      <c r="V289" s="113"/>
      <c r="W289" s="109"/>
      <c r="X289" s="114"/>
    </row>
    <row r="290" spans="3:24" ht="15.75" customHeight="1" x14ac:dyDescent="0.2">
      <c r="C290" s="107"/>
      <c r="E290" s="108"/>
      <c r="F290" s="109"/>
      <c r="T290" s="109"/>
      <c r="U290" s="109"/>
      <c r="V290" s="113"/>
      <c r="W290" s="109"/>
      <c r="X290" s="114"/>
    </row>
    <row r="291" spans="3:24" ht="15.75" customHeight="1" x14ac:dyDescent="0.2">
      <c r="C291" s="107"/>
      <c r="E291" s="108"/>
      <c r="F291" s="109"/>
      <c r="T291" s="109"/>
      <c r="U291" s="109"/>
      <c r="V291" s="113"/>
      <c r="W291" s="109"/>
      <c r="X291" s="114"/>
    </row>
    <row r="292" spans="3:24" ht="15.75" customHeight="1" x14ac:dyDescent="0.2">
      <c r="C292" s="107"/>
      <c r="E292" s="108"/>
      <c r="F292" s="109"/>
      <c r="T292" s="109"/>
      <c r="U292" s="109"/>
      <c r="V292" s="113"/>
      <c r="W292" s="109"/>
      <c r="X292" s="114"/>
    </row>
    <row r="293" spans="3:24" ht="15.75" customHeight="1" x14ac:dyDescent="0.2">
      <c r="C293" s="107"/>
      <c r="E293" s="108"/>
      <c r="F293" s="109"/>
      <c r="T293" s="109"/>
      <c r="U293" s="109"/>
      <c r="V293" s="113"/>
      <c r="W293" s="109"/>
      <c r="X293" s="114"/>
    </row>
    <row r="294" spans="3:24" ht="15.75" customHeight="1" x14ac:dyDescent="0.2">
      <c r="C294" s="107"/>
      <c r="E294" s="108"/>
      <c r="F294" s="109"/>
      <c r="T294" s="109"/>
      <c r="U294" s="109"/>
      <c r="V294" s="113"/>
      <c r="W294" s="109"/>
      <c r="X294" s="114"/>
    </row>
    <row r="295" spans="3:24" ht="15.75" customHeight="1" x14ac:dyDescent="0.2">
      <c r="C295" s="107"/>
      <c r="E295" s="108"/>
      <c r="F295" s="109"/>
      <c r="T295" s="109"/>
      <c r="U295" s="109"/>
      <c r="V295" s="113"/>
      <c r="W295" s="109"/>
      <c r="X295" s="114"/>
    </row>
    <row r="296" spans="3:24" ht="15.75" customHeight="1" x14ac:dyDescent="0.2">
      <c r="C296" s="107"/>
      <c r="E296" s="108"/>
      <c r="F296" s="109"/>
      <c r="T296" s="109"/>
      <c r="U296" s="109"/>
      <c r="V296" s="113"/>
      <c r="W296" s="109"/>
      <c r="X296" s="114"/>
    </row>
    <row r="297" spans="3:24" ht="15.75" customHeight="1" x14ac:dyDescent="0.2">
      <c r="C297" s="107"/>
      <c r="E297" s="108"/>
      <c r="F297" s="109"/>
      <c r="T297" s="109"/>
      <c r="U297" s="109"/>
      <c r="V297" s="113"/>
      <c r="W297" s="109"/>
      <c r="X297" s="114"/>
    </row>
    <row r="298" spans="3:24" ht="15.75" customHeight="1" x14ac:dyDescent="0.2">
      <c r="C298" s="107"/>
      <c r="E298" s="108"/>
      <c r="F298" s="109"/>
      <c r="T298" s="109"/>
      <c r="U298" s="109"/>
      <c r="V298" s="113"/>
      <c r="W298" s="109"/>
      <c r="X298" s="114"/>
    </row>
    <row r="299" spans="3:24" ht="15.75" customHeight="1" x14ac:dyDescent="0.2">
      <c r="C299" s="107"/>
      <c r="E299" s="108"/>
      <c r="F299" s="109"/>
      <c r="T299" s="109"/>
      <c r="U299" s="109"/>
      <c r="V299" s="113"/>
      <c r="W299" s="109"/>
      <c r="X299" s="114"/>
    </row>
    <row r="300" spans="3:24" ht="15.75" customHeight="1" x14ac:dyDescent="0.2">
      <c r="C300" s="107"/>
      <c r="E300" s="108"/>
      <c r="F300" s="109"/>
      <c r="T300" s="109"/>
      <c r="U300" s="109"/>
      <c r="V300" s="113"/>
      <c r="W300" s="109"/>
      <c r="X300" s="114"/>
    </row>
    <row r="301" spans="3:24" ht="15.75" customHeight="1" x14ac:dyDescent="0.2">
      <c r="C301" s="107"/>
      <c r="E301" s="108"/>
      <c r="F301" s="109"/>
      <c r="T301" s="109"/>
      <c r="U301" s="109"/>
      <c r="V301" s="113"/>
      <c r="W301" s="109"/>
      <c r="X301" s="114"/>
    </row>
    <row r="302" spans="3:24" ht="15.75" customHeight="1" x14ac:dyDescent="0.2">
      <c r="C302" s="107"/>
      <c r="E302" s="108"/>
      <c r="F302" s="109"/>
      <c r="T302" s="109"/>
      <c r="U302" s="109"/>
      <c r="V302" s="113"/>
      <c r="W302" s="109"/>
      <c r="X302" s="114"/>
    </row>
    <row r="303" spans="3:24" ht="15.75" customHeight="1" x14ac:dyDescent="0.2">
      <c r="C303" s="107"/>
      <c r="E303" s="108"/>
      <c r="F303" s="109"/>
      <c r="T303" s="109"/>
      <c r="U303" s="109"/>
      <c r="V303" s="113"/>
      <c r="W303" s="109"/>
      <c r="X303" s="114"/>
    </row>
    <row r="304" spans="3:24" ht="15.75" customHeight="1" x14ac:dyDescent="0.2">
      <c r="C304" s="107"/>
      <c r="E304" s="108"/>
      <c r="F304" s="109"/>
      <c r="T304" s="109"/>
      <c r="U304" s="109"/>
      <c r="V304" s="113"/>
      <c r="W304" s="109"/>
      <c r="X304" s="114"/>
    </row>
    <row r="305" spans="3:24" ht="15.75" customHeight="1" x14ac:dyDescent="0.2">
      <c r="C305" s="107"/>
      <c r="E305" s="108"/>
      <c r="F305" s="109"/>
      <c r="T305" s="109"/>
      <c r="U305" s="109"/>
      <c r="V305" s="113"/>
      <c r="W305" s="109"/>
      <c r="X305" s="114"/>
    </row>
    <row r="306" spans="3:24" ht="15.75" customHeight="1" x14ac:dyDescent="0.2">
      <c r="C306" s="107"/>
      <c r="E306" s="108"/>
      <c r="F306" s="109"/>
      <c r="T306" s="109"/>
      <c r="U306" s="109"/>
      <c r="V306" s="113"/>
      <c r="W306" s="109"/>
      <c r="X306" s="114"/>
    </row>
    <row r="307" spans="3:24" ht="15.75" customHeight="1" x14ac:dyDescent="0.2">
      <c r="C307" s="107"/>
      <c r="E307" s="108"/>
      <c r="F307" s="109"/>
      <c r="T307" s="109"/>
      <c r="U307" s="109"/>
      <c r="V307" s="113"/>
      <c r="W307" s="109"/>
      <c r="X307" s="114"/>
    </row>
    <row r="308" spans="3:24" ht="15.75" customHeight="1" x14ac:dyDescent="0.2">
      <c r="C308" s="107"/>
      <c r="E308" s="108"/>
      <c r="F308" s="109"/>
      <c r="T308" s="109"/>
      <c r="U308" s="109"/>
      <c r="V308" s="113"/>
      <c r="W308" s="109"/>
      <c r="X308" s="114"/>
    </row>
    <row r="309" spans="3:24" ht="15.75" customHeight="1" x14ac:dyDescent="0.2">
      <c r="C309" s="107"/>
      <c r="E309" s="108"/>
      <c r="F309" s="109"/>
      <c r="T309" s="109"/>
      <c r="U309" s="109"/>
      <c r="V309" s="113"/>
      <c r="W309" s="109"/>
      <c r="X309" s="114"/>
    </row>
    <row r="310" spans="3:24" ht="15.75" customHeight="1" x14ac:dyDescent="0.2">
      <c r="C310" s="107"/>
      <c r="E310" s="108"/>
      <c r="F310" s="109"/>
      <c r="T310" s="109"/>
      <c r="U310" s="109"/>
      <c r="V310" s="113"/>
      <c r="W310" s="109"/>
      <c r="X310" s="114"/>
    </row>
    <row r="311" spans="3:24" ht="15.75" customHeight="1" x14ac:dyDescent="0.2">
      <c r="C311" s="107"/>
      <c r="E311" s="108"/>
      <c r="F311" s="109"/>
      <c r="T311" s="109"/>
      <c r="U311" s="109"/>
      <c r="V311" s="113"/>
      <c r="W311" s="109"/>
      <c r="X311" s="114"/>
    </row>
    <row r="312" spans="3:24" ht="15.75" customHeight="1" x14ac:dyDescent="0.2">
      <c r="C312" s="107"/>
      <c r="E312" s="108"/>
      <c r="F312" s="109"/>
      <c r="T312" s="109"/>
      <c r="U312" s="109"/>
      <c r="V312" s="113"/>
      <c r="W312" s="109"/>
      <c r="X312" s="114"/>
    </row>
    <row r="313" spans="3:24" ht="15.75" customHeight="1" x14ac:dyDescent="0.2">
      <c r="C313" s="107"/>
      <c r="E313" s="108"/>
      <c r="F313" s="109"/>
      <c r="T313" s="109"/>
      <c r="U313" s="109"/>
      <c r="V313" s="113"/>
      <c r="W313" s="109"/>
      <c r="X313" s="114"/>
    </row>
    <row r="314" spans="3:24" ht="15.75" customHeight="1" x14ac:dyDescent="0.2">
      <c r="C314" s="107"/>
      <c r="E314" s="108"/>
      <c r="F314" s="109"/>
      <c r="T314" s="109"/>
      <c r="U314" s="109"/>
      <c r="V314" s="113"/>
      <c r="W314" s="109"/>
      <c r="X314" s="114"/>
    </row>
    <row r="315" spans="3:24" ht="15.75" customHeight="1" x14ac:dyDescent="0.2">
      <c r="C315" s="107"/>
      <c r="E315" s="108"/>
      <c r="F315" s="109"/>
      <c r="T315" s="109"/>
      <c r="U315" s="109"/>
      <c r="V315" s="113"/>
      <c r="W315" s="109"/>
      <c r="X315" s="114"/>
    </row>
    <row r="316" spans="3:24" ht="15.75" customHeight="1" x14ac:dyDescent="0.2">
      <c r="C316" s="107"/>
      <c r="E316" s="108"/>
      <c r="F316" s="109"/>
      <c r="T316" s="109"/>
      <c r="U316" s="109"/>
      <c r="V316" s="113"/>
      <c r="W316" s="109"/>
      <c r="X316" s="114"/>
    </row>
    <row r="317" spans="3:24" ht="15.75" customHeight="1" x14ac:dyDescent="0.2">
      <c r="C317" s="107"/>
      <c r="E317" s="108"/>
      <c r="F317" s="109"/>
      <c r="T317" s="109"/>
      <c r="U317" s="109"/>
      <c r="V317" s="113"/>
      <c r="W317" s="109"/>
      <c r="X317" s="114"/>
    </row>
    <row r="318" spans="3:24" ht="15.75" customHeight="1" x14ac:dyDescent="0.2">
      <c r="C318" s="107"/>
      <c r="E318" s="108"/>
      <c r="F318" s="109"/>
      <c r="T318" s="109"/>
      <c r="U318" s="109"/>
      <c r="V318" s="113"/>
      <c r="W318" s="109"/>
      <c r="X318" s="114"/>
    </row>
    <row r="319" spans="3:24" ht="15.75" customHeight="1" x14ac:dyDescent="0.2">
      <c r="C319" s="107"/>
      <c r="E319" s="108"/>
      <c r="F319" s="109"/>
      <c r="T319" s="109"/>
      <c r="U319" s="109"/>
      <c r="V319" s="113"/>
      <c r="W319" s="109"/>
      <c r="X319" s="114"/>
    </row>
    <row r="320" spans="3:24" ht="15.75" customHeight="1" x14ac:dyDescent="0.2">
      <c r="C320" s="107"/>
      <c r="E320" s="108"/>
      <c r="F320" s="109"/>
      <c r="T320" s="109"/>
      <c r="U320" s="109"/>
      <c r="V320" s="113"/>
      <c r="W320" s="109"/>
      <c r="X320" s="114"/>
    </row>
    <row r="321" spans="3:24" ht="15.75" customHeight="1" x14ac:dyDescent="0.2">
      <c r="C321" s="107"/>
      <c r="E321" s="108"/>
      <c r="F321" s="109"/>
      <c r="T321" s="109"/>
      <c r="U321" s="109"/>
      <c r="V321" s="113"/>
      <c r="W321" s="109"/>
      <c r="X321" s="114"/>
    </row>
    <row r="322" spans="3:24" ht="15.75" customHeight="1" x14ac:dyDescent="0.2">
      <c r="C322" s="107"/>
      <c r="E322" s="108"/>
      <c r="F322" s="109"/>
      <c r="T322" s="109"/>
      <c r="U322" s="109"/>
      <c r="V322" s="113"/>
      <c r="W322" s="109"/>
      <c r="X322" s="114"/>
    </row>
    <row r="323" spans="3:24" ht="15.75" customHeight="1" x14ac:dyDescent="0.2">
      <c r="C323" s="107"/>
      <c r="E323" s="108"/>
      <c r="F323" s="109"/>
      <c r="T323" s="109"/>
      <c r="U323" s="109"/>
      <c r="V323" s="113"/>
      <c r="W323" s="109"/>
      <c r="X323" s="114"/>
    </row>
    <row r="324" spans="3:24" ht="15.75" customHeight="1" x14ac:dyDescent="0.2">
      <c r="C324" s="107"/>
      <c r="E324" s="108"/>
      <c r="F324" s="109"/>
      <c r="T324" s="109"/>
      <c r="U324" s="109"/>
      <c r="V324" s="113"/>
      <c r="W324" s="109"/>
      <c r="X324" s="114"/>
    </row>
    <row r="325" spans="3:24" ht="15.75" customHeight="1" x14ac:dyDescent="0.2">
      <c r="C325" s="107"/>
      <c r="E325" s="108"/>
      <c r="F325" s="109"/>
      <c r="T325" s="109"/>
      <c r="U325" s="109"/>
      <c r="V325" s="113"/>
      <c r="W325" s="109"/>
      <c r="X325" s="114"/>
    </row>
    <row r="326" spans="3:24" ht="15.75" customHeight="1" x14ac:dyDescent="0.2">
      <c r="C326" s="107"/>
      <c r="E326" s="108"/>
      <c r="F326" s="109"/>
      <c r="T326" s="109"/>
      <c r="U326" s="109"/>
      <c r="V326" s="113"/>
      <c r="W326" s="109"/>
      <c r="X326" s="114"/>
    </row>
    <row r="327" spans="3:24" ht="15.75" customHeight="1" x14ac:dyDescent="0.2">
      <c r="C327" s="107"/>
      <c r="E327" s="108"/>
      <c r="F327" s="109"/>
      <c r="T327" s="109"/>
      <c r="U327" s="109"/>
      <c r="V327" s="113"/>
      <c r="W327" s="109"/>
      <c r="X327" s="114"/>
    </row>
    <row r="328" spans="3:24" ht="15.75" customHeight="1" x14ac:dyDescent="0.2">
      <c r="C328" s="107"/>
      <c r="E328" s="108"/>
      <c r="F328" s="109"/>
      <c r="T328" s="109"/>
      <c r="U328" s="109"/>
      <c r="V328" s="113"/>
      <c r="W328" s="109"/>
      <c r="X328" s="114"/>
    </row>
    <row r="329" spans="3:24" ht="15.75" customHeight="1" x14ac:dyDescent="0.2">
      <c r="C329" s="107"/>
      <c r="E329" s="108"/>
      <c r="F329" s="109"/>
      <c r="T329" s="109"/>
      <c r="U329" s="109"/>
      <c r="V329" s="113"/>
      <c r="W329" s="109"/>
      <c r="X329" s="114"/>
    </row>
    <row r="330" spans="3:24" ht="15.75" customHeight="1" x14ac:dyDescent="0.2">
      <c r="C330" s="107"/>
      <c r="E330" s="108"/>
      <c r="F330" s="109"/>
      <c r="T330" s="109"/>
      <c r="U330" s="109"/>
      <c r="V330" s="113"/>
      <c r="W330" s="109"/>
      <c r="X330" s="114"/>
    </row>
    <row r="331" spans="3:24" ht="15.75" customHeight="1" x14ac:dyDescent="0.2">
      <c r="C331" s="107"/>
      <c r="E331" s="108"/>
      <c r="F331" s="109"/>
      <c r="T331" s="109"/>
      <c r="U331" s="109"/>
      <c r="V331" s="113"/>
      <c r="W331" s="109"/>
      <c r="X331" s="114"/>
    </row>
    <row r="332" spans="3:24" ht="15.75" customHeight="1" x14ac:dyDescent="0.2">
      <c r="C332" s="107"/>
      <c r="E332" s="108"/>
      <c r="F332" s="109"/>
      <c r="T332" s="109"/>
      <c r="U332" s="109"/>
      <c r="V332" s="113"/>
      <c r="W332" s="109"/>
      <c r="X332" s="114"/>
    </row>
    <row r="333" spans="3:24" ht="15.75" customHeight="1" x14ac:dyDescent="0.2">
      <c r="C333" s="107"/>
      <c r="E333" s="108"/>
      <c r="F333" s="109"/>
      <c r="T333" s="109"/>
      <c r="U333" s="109"/>
      <c r="V333" s="113"/>
      <c r="W333" s="109"/>
      <c r="X333" s="114"/>
    </row>
    <row r="334" spans="3:24" ht="15.75" customHeight="1" x14ac:dyDescent="0.2">
      <c r="C334" s="107"/>
      <c r="E334" s="108"/>
      <c r="F334" s="109"/>
      <c r="T334" s="109"/>
      <c r="U334" s="109"/>
      <c r="V334" s="113"/>
      <c r="W334" s="109"/>
      <c r="X334" s="114"/>
    </row>
    <row r="335" spans="3:24" ht="15.75" customHeight="1" x14ac:dyDescent="0.2">
      <c r="C335" s="107"/>
      <c r="E335" s="108"/>
      <c r="F335" s="109"/>
      <c r="T335" s="109"/>
      <c r="U335" s="109"/>
      <c r="V335" s="113"/>
      <c r="W335" s="109"/>
      <c r="X335" s="114"/>
    </row>
    <row r="336" spans="3:24" ht="15.75" customHeight="1" x14ac:dyDescent="0.2">
      <c r="C336" s="107"/>
      <c r="E336" s="108"/>
      <c r="F336" s="109"/>
      <c r="T336" s="109"/>
      <c r="U336" s="109"/>
      <c r="V336" s="113"/>
      <c r="W336" s="109"/>
      <c r="X336" s="114"/>
    </row>
    <row r="337" spans="3:24" ht="15.75" customHeight="1" x14ac:dyDescent="0.2">
      <c r="C337" s="107"/>
      <c r="E337" s="108"/>
      <c r="F337" s="109"/>
      <c r="T337" s="109"/>
      <c r="U337" s="109"/>
      <c r="V337" s="113"/>
      <c r="W337" s="109"/>
      <c r="X337" s="114"/>
    </row>
    <row r="338" spans="3:24" ht="15.75" customHeight="1" x14ac:dyDescent="0.2">
      <c r="C338" s="107"/>
      <c r="E338" s="108"/>
      <c r="F338" s="109"/>
      <c r="T338" s="109"/>
      <c r="U338" s="109"/>
      <c r="V338" s="113"/>
      <c r="W338" s="109"/>
      <c r="X338" s="114"/>
    </row>
    <row r="339" spans="3:24" ht="15.75" customHeight="1" x14ac:dyDescent="0.2">
      <c r="C339" s="107"/>
      <c r="E339" s="108"/>
      <c r="F339" s="109"/>
      <c r="T339" s="109"/>
      <c r="U339" s="109"/>
      <c r="V339" s="113"/>
      <c r="W339" s="109"/>
      <c r="X339" s="114"/>
    </row>
    <row r="340" spans="3:24" ht="15.75" customHeight="1" x14ac:dyDescent="0.2">
      <c r="C340" s="107"/>
      <c r="E340" s="108"/>
      <c r="F340" s="109"/>
      <c r="T340" s="109"/>
      <c r="U340" s="109"/>
      <c r="V340" s="113"/>
      <c r="W340" s="109"/>
      <c r="X340" s="114"/>
    </row>
    <row r="341" spans="3:24" ht="15.75" customHeight="1" x14ac:dyDescent="0.2">
      <c r="C341" s="107"/>
      <c r="E341" s="108"/>
      <c r="F341" s="109"/>
      <c r="T341" s="109"/>
      <c r="U341" s="109"/>
      <c r="V341" s="113"/>
      <c r="W341" s="109"/>
      <c r="X341" s="114"/>
    </row>
    <row r="342" spans="3:24" ht="15.75" customHeight="1" x14ac:dyDescent="0.2">
      <c r="C342" s="107"/>
      <c r="E342" s="108"/>
      <c r="F342" s="109"/>
      <c r="T342" s="109"/>
      <c r="U342" s="109"/>
      <c r="V342" s="113"/>
      <c r="W342" s="109"/>
      <c r="X342" s="114"/>
    </row>
    <row r="343" spans="3:24" ht="15.75" customHeight="1" x14ac:dyDescent="0.2">
      <c r="C343" s="107"/>
      <c r="E343" s="108"/>
      <c r="F343" s="109"/>
      <c r="T343" s="109"/>
      <c r="U343" s="109"/>
      <c r="V343" s="113"/>
      <c r="W343" s="109"/>
      <c r="X343" s="114"/>
    </row>
    <row r="344" spans="3:24" ht="15.75" customHeight="1" x14ac:dyDescent="0.2">
      <c r="C344" s="107"/>
      <c r="E344" s="108"/>
      <c r="F344" s="109"/>
      <c r="T344" s="109"/>
      <c r="U344" s="109"/>
      <c r="V344" s="113"/>
      <c r="W344" s="109"/>
      <c r="X344" s="114"/>
    </row>
    <row r="345" spans="3:24" ht="15.75" customHeight="1" x14ac:dyDescent="0.2">
      <c r="C345" s="107"/>
      <c r="E345" s="108"/>
      <c r="F345" s="109"/>
      <c r="T345" s="109"/>
      <c r="U345" s="109"/>
      <c r="V345" s="113"/>
      <c r="W345" s="109"/>
      <c r="X345" s="114"/>
    </row>
    <row r="346" spans="3:24" ht="15.75" customHeight="1" x14ac:dyDescent="0.2">
      <c r="C346" s="107"/>
      <c r="E346" s="108"/>
      <c r="F346" s="109"/>
      <c r="T346" s="109"/>
      <c r="U346" s="109"/>
      <c r="V346" s="113"/>
      <c r="W346" s="109"/>
      <c r="X346" s="114"/>
    </row>
    <row r="347" spans="3:24" ht="15.75" customHeight="1" x14ac:dyDescent="0.2">
      <c r="C347" s="107"/>
      <c r="E347" s="108"/>
      <c r="F347" s="109"/>
      <c r="T347" s="109"/>
      <c r="U347" s="109"/>
      <c r="V347" s="113"/>
      <c r="W347" s="109"/>
      <c r="X347" s="114"/>
    </row>
    <row r="348" spans="3:24" ht="15.75" customHeight="1" x14ac:dyDescent="0.2">
      <c r="C348" s="107"/>
      <c r="E348" s="108"/>
      <c r="F348" s="109"/>
      <c r="T348" s="109"/>
      <c r="U348" s="109"/>
      <c r="V348" s="113"/>
      <c r="W348" s="109"/>
      <c r="X348" s="114"/>
    </row>
    <row r="349" spans="3:24" ht="15.75" customHeight="1" x14ac:dyDescent="0.2">
      <c r="C349" s="107"/>
      <c r="E349" s="108"/>
      <c r="F349" s="109"/>
      <c r="T349" s="109"/>
      <c r="U349" s="109"/>
      <c r="V349" s="113"/>
      <c r="W349" s="109"/>
      <c r="X349" s="114"/>
    </row>
    <row r="350" spans="3:24" ht="15.75" customHeight="1" x14ac:dyDescent="0.2">
      <c r="C350" s="107"/>
      <c r="E350" s="108"/>
      <c r="F350" s="109"/>
      <c r="T350" s="109"/>
      <c r="U350" s="109"/>
      <c r="V350" s="113"/>
      <c r="W350" s="109"/>
      <c r="X350" s="114"/>
    </row>
    <row r="351" spans="3:24" ht="15.75" customHeight="1" x14ac:dyDescent="0.2">
      <c r="C351" s="107"/>
      <c r="E351" s="108"/>
      <c r="F351" s="109"/>
      <c r="T351" s="109"/>
      <c r="U351" s="109"/>
      <c r="V351" s="113"/>
      <c r="W351" s="109"/>
      <c r="X351" s="114"/>
    </row>
    <row r="352" spans="3:24" ht="15.75" customHeight="1" x14ac:dyDescent="0.2">
      <c r="C352" s="107"/>
      <c r="E352" s="108"/>
      <c r="F352" s="109"/>
      <c r="T352" s="109"/>
      <c r="U352" s="109"/>
      <c r="V352" s="113"/>
      <c r="W352" s="109"/>
      <c r="X352" s="114"/>
    </row>
    <row r="353" spans="3:24" ht="15.75" customHeight="1" x14ac:dyDescent="0.2">
      <c r="C353" s="107"/>
      <c r="E353" s="108"/>
      <c r="F353" s="109"/>
      <c r="T353" s="109"/>
      <c r="U353" s="109"/>
      <c r="V353" s="113"/>
      <c r="W353" s="109"/>
      <c r="X353" s="114"/>
    </row>
    <row r="354" spans="3:24" ht="15.75" customHeight="1" x14ac:dyDescent="0.2">
      <c r="C354" s="107"/>
      <c r="E354" s="108"/>
      <c r="F354" s="109"/>
      <c r="T354" s="109"/>
      <c r="U354" s="109"/>
      <c r="V354" s="113"/>
      <c r="W354" s="109"/>
      <c r="X354" s="114"/>
    </row>
    <row r="355" spans="3:24" ht="15.75" customHeight="1" x14ac:dyDescent="0.2">
      <c r="C355" s="107"/>
      <c r="E355" s="108"/>
      <c r="F355" s="109"/>
      <c r="T355" s="109"/>
      <c r="U355" s="109"/>
      <c r="V355" s="113"/>
      <c r="W355" s="109"/>
      <c r="X355" s="114"/>
    </row>
    <row r="356" spans="3:24" ht="15.75" customHeight="1" x14ac:dyDescent="0.2">
      <c r="C356" s="107"/>
      <c r="E356" s="108"/>
      <c r="F356" s="109"/>
      <c r="T356" s="109"/>
      <c r="U356" s="109"/>
      <c r="V356" s="113"/>
      <c r="W356" s="109"/>
      <c r="X356" s="114"/>
    </row>
    <row r="357" spans="3:24" ht="15.75" customHeight="1" x14ac:dyDescent="0.2">
      <c r="C357" s="107"/>
      <c r="E357" s="108"/>
      <c r="F357" s="109"/>
      <c r="T357" s="109"/>
      <c r="U357" s="109"/>
      <c r="V357" s="113"/>
      <c r="W357" s="109"/>
      <c r="X357" s="114"/>
    </row>
    <row r="358" spans="3:24" ht="15.75" customHeight="1" x14ac:dyDescent="0.2">
      <c r="C358" s="107"/>
      <c r="E358" s="108"/>
      <c r="F358" s="109"/>
      <c r="T358" s="109"/>
      <c r="U358" s="109"/>
      <c r="V358" s="113"/>
      <c r="W358" s="109"/>
      <c r="X358" s="114"/>
    </row>
    <row r="359" spans="3:24" ht="15.75" customHeight="1" x14ac:dyDescent="0.2">
      <c r="C359" s="107"/>
      <c r="E359" s="108"/>
      <c r="F359" s="109"/>
      <c r="T359" s="109"/>
      <c r="U359" s="109"/>
      <c r="V359" s="113"/>
      <c r="W359" s="109"/>
      <c r="X359" s="114"/>
    </row>
    <row r="360" spans="3:24" ht="15.75" customHeight="1" x14ac:dyDescent="0.2">
      <c r="C360" s="107"/>
      <c r="E360" s="108"/>
      <c r="F360" s="109"/>
      <c r="T360" s="109"/>
      <c r="U360" s="109"/>
      <c r="V360" s="113"/>
      <c r="W360" s="109"/>
      <c r="X360" s="114"/>
    </row>
    <row r="361" spans="3:24" ht="15.75" customHeight="1" x14ac:dyDescent="0.2">
      <c r="C361" s="107"/>
      <c r="E361" s="108"/>
      <c r="F361" s="109"/>
      <c r="T361" s="109"/>
      <c r="U361" s="109"/>
      <c r="V361" s="113"/>
      <c r="W361" s="109"/>
      <c r="X361" s="114"/>
    </row>
    <row r="362" spans="3:24" ht="15.75" customHeight="1" x14ac:dyDescent="0.2">
      <c r="C362" s="107"/>
      <c r="E362" s="108"/>
      <c r="F362" s="109"/>
      <c r="T362" s="109"/>
      <c r="U362" s="109"/>
      <c r="V362" s="113"/>
      <c r="W362" s="109"/>
      <c r="X362" s="114"/>
    </row>
    <row r="363" spans="3:24" ht="15.75" customHeight="1" x14ac:dyDescent="0.2">
      <c r="C363" s="107"/>
      <c r="E363" s="108"/>
      <c r="F363" s="109"/>
      <c r="T363" s="109"/>
      <c r="U363" s="109"/>
      <c r="V363" s="113"/>
      <c r="W363" s="109"/>
      <c r="X363" s="114"/>
    </row>
    <row r="364" spans="3:24" ht="15.75" customHeight="1" x14ac:dyDescent="0.2">
      <c r="C364" s="107"/>
      <c r="E364" s="108"/>
      <c r="F364" s="109"/>
      <c r="T364" s="109"/>
      <c r="U364" s="109"/>
      <c r="V364" s="113"/>
      <c r="W364" s="109"/>
      <c r="X364" s="114"/>
    </row>
    <row r="365" spans="3:24" ht="15.75" customHeight="1" x14ac:dyDescent="0.2">
      <c r="C365" s="107"/>
      <c r="E365" s="108"/>
      <c r="F365" s="109"/>
      <c r="T365" s="109"/>
      <c r="U365" s="109"/>
      <c r="V365" s="113"/>
      <c r="W365" s="109"/>
      <c r="X365" s="114"/>
    </row>
    <row r="366" spans="3:24" ht="15.75" customHeight="1" x14ac:dyDescent="0.2">
      <c r="C366" s="107"/>
      <c r="E366" s="108"/>
      <c r="F366" s="109"/>
      <c r="T366" s="109"/>
      <c r="U366" s="109"/>
      <c r="V366" s="113"/>
      <c r="W366" s="109"/>
      <c r="X366" s="114"/>
    </row>
    <row r="367" spans="3:24" ht="15.75" customHeight="1" x14ac:dyDescent="0.2">
      <c r="C367" s="107"/>
      <c r="E367" s="108"/>
      <c r="F367" s="109"/>
      <c r="T367" s="109"/>
      <c r="U367" s="109"/>
      <c r="V367" s="113"/>
      <c r="W367" s="109"/>
      <c r="X367" s="114"/>
    </row>
    <row r="368" spans="3:24" ht="15.75" customHeight="1" x14ac:dyDescent="0.2">
      <c r="C368" s="107"/>
      <c r="E368" s="108"/>
      <c r="F368" s="109"/>
      <c r="T368" s="109"/>
      <c r="U368" s="109"/>
      <c r="V368" s="113"/>
      <c r="W368" s="109"/>
      <c r="X368" s="114"/>
    </row>
    <row r="369" spans="3:24" ht="15.75" customHeight="1" x14ac:dyDescent="0.2">
      <c r="C369" s="107"/>
      <c r="E369" s="108"/>
      <c r="F369" s="109"/>
      <c r="T369" s="109"/>
      <c r="U369" s="109"/>
      <c r="V369" s="113"/>
      <c r="W369" s="109"/>
      <c r="X369" s="114"/>
    </row>
    <row r="370" spans="3:24" ht="15.75" customHeight="1" x14ac:dyDescent="0.2">
      <c r="C370" s="107"/>
      <c r="E370" s="108"/>
      <c r="F370" s="109"/>
      <c r="T370" s="109"/>
      <c r="U370" s="109"/>
      <c r="V370" s="113"/>
      <c r="W370" s="109"/>
      <c r="X370" s="114"/>
    </row>
    <row r="371" spans="3:24" ht="15.75" customHeight="1" x14ac:dyDescent="0.2">
      <c r="C371" s="107"/>
      <c r="E371" s="108"/>
      <c r="F371" s="109"/>
      <c r="T371" s="109"/>
      <c r="U371" s="109"/>
      <c r="V371" s="113"/>
      <c r="W371" s="109"/>
      <c r="X371" s="114"/>
    </row>
    <row r="372" spans="3:24" ht="15.75" customHeight="1" x14ac:dyDescent="0.2">
      <c r="C372" s="107"/>
      <c r="E372" s="108"/>
      <c r="F372" s="109"/>
      <c r="T372" s="109"/>
      <c r="U372" s="109"/>
      <c r="V372" s="113"/>
      <c r="W372" s="109"/>
      <c r="X372" s="114"/>
    </row>
    <row r="373" spans="3:24" ht="15.75" customHeight="1" x14ac:dyDescent="0.2">
      <c r="C373" s="107"/>
      <c r="E373" s="108"/>
      <c r="F373" s="109"/>
      <c r="T373" s="109"/>
      <c r="U373" s="109"/>
      <c r="V373" s="113"/>
      <c r="W373" s="109"/>
      <c r="X373" s="114"/>
    </row>
    <row r="374" spans="3:24" ht="15.75" customHeight="1" x14ac:dyDescent="0.2">
      <c r="C374" s="107"/>
      <c r="E374" s="108"/>
      <c r="F374" s="109"/>
      <c r="T374" s="109"/>
      <c r="U374" s="109"/>
      <c r="V374" s="113"/>
      <c r="W374" s="109"/>
      <c r="X374" s="114"/>
    </row>
    <row r="375" spans="3:24" ht="15.75" customHeight="1" x14ac:dyDescent="0.2">
      <c r="C375" s="107"/>
      <c r="E375" s="108"/>
      <c r="F375" s="109"/>
      <c r="T375" s="109"/>
      <c r="U375" s="109"/>
      <c r="V375" s="113"/>
      <c r="W375" s="109"/>
      <c r="X375" s="114"/>
    </row>
    <row r="376" spans="3:24" ht="15.75" customHeight="1" x14ac:dyDescent="0.2">
      <c r="C376" s="107"/>
      <c r="E376" s="108"/>
      <c r="F376" s="109"/>
      <c r="T376" s="109"/>
      <c r="U376" s="109"/>
      <c r="V376" s="113"/>
      <c r="W376" s="109"/>
      <c r="X376" s="114"/>
    </row>
    <row r="377" spans="3:24" ht="15.75" customHeight="1" x14ac:dyDescent="0.2">
      <c r="C377" s="107"/>
      <c r="E377" s="108"/>
      <c r="F377" s="109"/>
      <c r="T377" s="109"/>
      <c r="U377" s="109"/>
      <c r="V377" s="113"/>
      <c r="W377" s="109"/>
      <c r="X377" s="114"/>
    </row>
    <row r="378" spans="3:24" ht="15.75" customHeight="1" x14ac:dyDescent="0.2">
      <c r="C378" s="107"/>
      <c r="E378" s="108"/>
      <c r="F378" s="109"/>
      <c r="T378" s="109"/>
      <c r="U378" s="109"/>
      <c r="V378" s="113"/>
      <c r="W378" s="109"/>
      <c r="X378" s="114"/>
    </row>
    <row r="379" spans="3:24" ht="15.75" customHeight="1" x14ac:dyDescent="0.2">
      <c r="C379" s="107"/>
      <c r="E379" s="108"/>
      <c r="F379" s="109"/>
      <c r="T379" s="109"/>
      <c r="U379" s="109"/>
      <c r="V379" s="113"/>
      <c r="W379" s="109"/>
      <c r="X379" s="114"/>
    </row>
    <row r="380" spans="3:24" ht="15.75" customHeight="1" x14ac:dyDescent="0.2">
      <c r="C380" s="107"/>
      <c r="E380" s="108"/>
      <c r="F380" s="109"/>
      <c r="T380" s="109"/>
      <c r="U380" s="109"/>
      <c r="V380" s="113"/>
      <c r="W380" s="109"/>
      <c r="X380" s="114"/>
    </row>
    <row r="381" spans="3:24" ht="15.75" customHeight="1" x14ac:dyDescent="0.2">
      <c r="C381" s="107"/>
      <c r="E381" s="108"/>
      <c r="F381" s="109"/>
      <c r="T381" s="109"/>
      <c r="U381" s="109"/>
      <c r="V381" s="113"/>
      <c r="W381" s="109"/>
      <c r="X381" s="114"/>
    </row>
    <row r="382" spans="3:24" ht="15.75" customHeight="1" x14ac:dyDescent="0.2">
      <c r="C382" s="107"/>
      <c r="E382" s="108"/>
      <c r="F382" s="109"/>
      <c r="T382" s="109"/>
      <c r="U382" s="109"/>
      <c r="V382" s="113"/>
      <c r="W382" s="109"/>
      <c r="X382" s="114"/>
    </row>
    <row r="383" spans="3:24" ht="15.75" customHeight="1" x14ac:dyDescent="0.2">
      <c r="C383" s="107"/>
      <c r="E383" s="108"/>
      <c r="F383" s="109"/>
      <c r="T383" s="109"/>
      <c r="U383" s="109"/>
      <c r="V383" s="113"/>
      <c r="W383" s="109"/>
      <c r="X383" s="114"/>
    </row>
    <row r="384" spans="3:24" ht="15.75" customHeight="1" x14ac:dyDescent="0.2">
      <c r="C384" s="107"/>
      <c r="E384" s="108"/>
      <c r="F384" s="109"/>
      <c r="T384" s="109"/>
      <c r="U384" s="109"/>
      <c r="V384" s="113"/>
      <c r="W384" s="109"/>
      <c r="X384" s="114"/>
    </row>
    <row r="385" spans="3:24" ht="15.75" customHeight="1" x14ac:dyDescent="0.2">
      <c r="C385" s="107"/>
      <c r="E385" s="108"/>
      <c r="F385" s="109"/>
      <c r="T385" s="109"/>
      <c r="U385" s="109"/>
      <c r="V385" s="113"/>
      <c r="W385" s="109"/>
      <c r="X385" s="114"/>
    </row>
    <row r="386" spans="3:24" ht="15.75" customHeight="1" x14ac:dyDescent="0.2">
      <c r="C386" s="107"/>
      <c r="E386" s="108"/>
      <c r="F386" s="109"/>
      <c r="T386" s="109"/>
      <c r="U386" s="109"/>
      <c r="V386" s="113"/>
      <c r="W386" s="109"/>
      <c r="X386" s="114"/>
    </row>
    <row r="387" spans="3:24" ht="15.75" customHeight="1" x14ac:dyDescent="0.2">
      <c r="C387" s="107"/>
      <c r="E387" s="108"/>
      <c r="F387" s="109"/>
      <c r="T387" s="109"/>
      <c r="U387" s="109"/>
      <c r="V387" s="113"/>
      <c r="W387" s="109"/>
      <c r="X387" s="114"/>
    </row>
    <row r="388" spans="3:24" ht="15.75" customHeight="1" x14ac:dyDescent="0.2">
      <c r="C388" s="107"/>
      <c r="E388" s="108"/>
      <c r="F388" s="109"/>
      <c r="T388" s="109"/>
      <c r="U388" s="109"/>
      <c r="V388" s="113"/>
      <c r="W388" s="109"/>
      <c r="X388" s="114"/>
    </row>
    <row r="389" spans="3:24" ht="15.75" customHeight="1" x14ac:dyDescent="0.2">
      <c r="C389" s="107"/>
      <c r="E389" s="108"/>
      <c r="F389" s="109"/>
      <c r="T389" s="109"/>
      <c r="U389" s="109"/>
      <c r="V389" s="113"/>
      <c r="W389" s="109"/>
      <c r="X389" s="114"/>
    </row>
    <row r="390" spans="3:24" ht="15.75" customHeight="1" x14ac:dyDescent="0.2">
      <c r="C390" s="107"/>
      <c r="E390" s="108"/>
      <c r="F390" s="109"/>
      <c r="T390" s="109"/>
      <c r="U390" s="109"/>
      <c r="V390" s="113"/>
      <c r="W390" s="109"/>
      <c r="X390" s="114"/>
    </row>
    <row r="391" spans="3:24" ht="15.75" customHeight="1" x14ac:dyDescent="0.2">
      <c r="C391" s="107"/>
      <c r="E391" s="108"/>
      <c r="F391" s="109"/>
      <c r="T391" s="109"/>
      <c r="U391" s="109"/>
      <c r="V391" s="113"/>
      <c r="W391" s="109"/>
      <c r="X391" s="114"/>
    </row>
    <row r="392" spans="3:24" ht="15.75" customHeight="1" x14ac:dyDescent="0.2">
      <c r="C392" s="107"/>
      <c r="E392" s="108"/>
      <c r="F392" s="109"/>
      <c r="T392" s="109"/>
      <c r="U392" s="109"/>
      <c r="V392" s="113"/>
      <c r="W392" s="109"/>
      <c r="X392" s="114"/>
    </row>
    <row r="393" spans="3:24" ht="15.75" customHeight="1" x14ac:dyDescent="0.2">
      <c r="C393" s="107"/>
      <c r="E393" s="108"/>
      <c r="F393" s="109"/>
      <c r="T393" s="109"/>
      <c r="U393" s="109"/>
      <c r="V393" s="113"/>
      <c r="W393" s="109"/>
      <c r="X393" s="114"/>
    </row>
    <row r="394" spans="3:24" ht="15.75" customHeight="1" x14ac:dyDescent="0.2">
      <c r="C394" s="107"/>
      <c r="E394" s="108"/>
      <c r="F394" s="109"/>
      <c r="T394" s="109"/>
      <c r="U394" s="109"/>
      <c r="V394" s="113"/>
      <c r="W394" s="109"/>
      <c r="X394" s="114"/>
    </row>
    <row r="395" spans="3:24" ht="15.75" customHeight="1" x14ac:dyDescent="0.2">
      <c r="C395" s="107"/>
      <c r="E395" s="108"/>
      <c r="F395" s="109"/>
      <c r="T395" s="109"/>
      <c r="U395" s="109"/>
      <c r="V395" s="113"/>
      <c r="W395" s="109"/>
      <c r="X395" s="114"/>
    </row>
    <row r="396" spans="3:24" ht="15.75" customHeight="1" x14ac:dyDescent="0.2">
      <c r="C396" s="107"/>
      <c r="E396" s="108"/>
      <c r="F396" s="109"/>
      <c r="T396" s="109"/>
      <c r="U396" s="109"/>
      <c r="V396" s="113"/>
      <c r="W396" s="109"/>
      <c r="X396" s="114"/>
    </row>
    <row r="397" spans="3:24" ht="15.75" customHeight="1" x14ac:dyDescent="0.2">
      <c r="C397" s="107"/>
      <c r="E397" s="108"/>
      <c r="F397" s="109"/>
      <c r="T397" s="109"/>
      <c r="U397" s="109"/>
      <c r="V397" s="113"/>
      <c r="W397" s="109"/>
      <c r="X397" s="114"/>
    </row>
    <row r="398" spans="3:24" ht="15.75" customHeight="1" x14ac:dyDescent="0.2">
      <c r="C398" s="107"/>
      <c r="E398" s="108"/>
      <c r="F398" s="109"/>
      <c r="T398" s="109"/>
      <c r="U398" s="109"/>
      <c r="V398" s="113"/>
      <c r="W398" s="109"/>
      <c r="X398" s="114"/>
    </row>
    <row r="399" spans="3:24" ht="15.75" customHeight="1" x14ac:dyDescent="0.2">
      <c r="C399" s="107"/>
      <c r="E399" s="108"/>
      <c r="F399" s="109"/>
      <c r="T399" s="109"/>
      <c r="U399" s="109"/>
      <c r="V399" s="113"/>
      <c r="W399" s="109"/>
      <c r="X399" s="114"/>
    </row>
    <row r="400" spans="3:24" ht="15.75" customHeight="1" x14ac:dyDescent="0.2">
      <c r="C400" s="107"/>
      <c r="E400" s="108"/>
      <c r="F400" s="109"/>
      <c r="T400" s="109"/>
      <c r="U400" s="109"/>
      <c r="V400" s="113"/>
      <c r="W400" s="109"/>
      <c r="X400" s="114"/>
    </row>
    <row r="401" spans="3:24" ht="15.75" customHeight="1" x14ac:dyDescent="0.2">
      <c r="C401" s="107"/>
      <c r="E401" s="108"/>
      <c r="F401" s="109"/>
      <c r="T401" s="109"/>
      <c r="U401" s="109"/>
      <c r="V401" s="113"/>
      <c r="W401" s="109"/>
      <c r="X401" s="114"/>
    </row>
    <row r="402" spans="3:24" ht="15.75" customHeight="1" x14ac:dyDescent="0.2">
      <c r="C402" s="107"/>
      <c r="E402" s="108"/>
      <c r="F402" s="109"/>
      <c r="T402" s="109"/>
      <c r="U402" s="109"/>
      <c r="V402" s="113"/>
      <c r="W402" s="109"/>
      <c r="X402" s="114"/>
    </row>
    <row r="403" spans="3:24" ht="15.75" customHeight="1" x14ac:dyDescent="0.2">
      <c r="C403" s="107"/>
      <c r="E403" s="108"/>
      <c r="F403" s="109"/>
      <c r="T403" s="109"/>
      <c r="U403" s="109"/>
      <c r="V403" s="113"/>
      <c r="W403" s="109"/>
      <c r="X403" s="114"/>
    </row>
    <row r="404" spans="3:24" ht="15.75" customHeight="1" x14ac:dyDescent="0.2">
      <c r="C404" s="107"/>
      <c r="E404" s="108"/>
      <c r="F404" s="109"/>
      <c r="T404" s="109"/>
      <c r="U404" s="109"/>
      <c r="V404" s="113"/>
      <c r="W404" s="109"/>
      <c r="X404" s="114"/>
    </row>
    <row r="405" spans="3:24" ht="15.75" customHeight="1" x14ac:dyDescent="0.2">
      <c r="C405" s="107"/>
      <c r="E405" s="108"/>
      <c r="F405" s="109"/>
      <c r="T405" s="109"/>
      <c r="U405" s="109"/>
      <c r="V405" s="113"/>
      <c r="W405" s="109"/>
      <c r="X405" s="114"/>
    </row>
    <row r="406" spans="3:24" ht="15.75" customHeight="1" x14ac:dyDescent="0.2">
      <c r="C406" s="107"/>
      <c r="E406" s="108"/>
      <c r="F406" s="109"/>
      <c r="T406" s="109"/>
      <c r="U406" s="109"/>
      <c r="V406" s="113"/>
      <c r="W406" s="109"/>
      <c r="X406" s="114"/>
    </row>
    <row r="407" spans="3:24" ht="15.75" customHeight="1" x14ac:dyDescent="0.2">
      <c r="C407" s="107"/>
      <c r="E407" s="108"/>
      <c r="F407" s="109"/>
      <c r="T407" s="109"/>
      <c r="U407" s="109"/>
      <c r="V407" s="113"/>
      <c r="W407" s="109"/>
      <c r="X407" s="114"/>
    </row>
    <row r="408" spans="3:24" ht="15.75" customHeight="1" x14ac:dyDescent="0.2">
      <c r="C408" s="107"/>
      <c r="E408" s="108"/>
      <c r="F408" s="109"/>
      <c r="T408" s="109"/>
      <c r="U408" s="109"/>
      <c r="V408" s="113"/>
      <c r="W408" s="109"/>
      <c r="X408" s="114"/>
    </row>
    <row r="409" spans="3:24" ht="15.75" customHeight="1" x14ac:dyDescent="0.2">
      <c r="C409" s="107"/>
      <c r="E409" s="108"/>
      <c r="F409" s="109"/>
      <c r="T409" s="109"/>
      <c r="U409" s="109"/>
      <c r="V409" s="113"/>
      <c r="W409" s="109"/>
      <c r="X409" s="114"/>
    </row>
    <row r="410" spans="3:24" ht="15.75" customHeight="1" x14ac:dyDescent="0.2">
      <c r="C410" s="107"/>
      <c r="E410" s="108"/>
      <c r="F410" s="109"/>
      <c r="T410" s="109"/>
      <c r="U410" s="109"/>
      <c r="V410" s="113"/>
      <c r="W410" s="109"/>
      <c r="X410" s="114"/>
    </row>
    <row r="411" spans="3:24" ht="15.75" customHeight="1" x14ac:dyDescent="0.2">
      <c r="C411" s="107"/>
      <c r="E411" s="108"/>
      <c r="F411" s="109"/>
      <c r="T411" s="109"/>
      <c r="U411" s="109"/>
      <c r="V411" s="113"/>
      <c r="W411" s="109"/>
      <c r="X411" s="114"/>
    </row>
    <row r="412" spans="3:24" ht="15.75" customHeight="1" x14ac:dyDescent="0.2">
      <c r="C412" s="107"/>
      <c r="E412" s="108"/>
      <c r="F412" s="109"/>
      <c r="T412" s="109"/>
      <c r="U412" s="109"/>
      <c r="V412" s="113"/>
      <c r="W412" s="109"/>
      <c r="X412" s="114"/>
    </row>
    <row r="413" spans="3:24" ht="15.75" customHeight="1" x14ac:dyDescent="0.2">
      <c r="C413" s="107"/>
      <c r="E413" s="108"/>
      <c r="F413" s="109"/>
      <c r="T413" s="109"/>
      <c r="U413" s="109"/>
      <c r="V413" s="113"/>
      <c r="W413" s="109"/>
      <c r="X413" s="114"/>
    </row>
    <row r="414" spans="3:24" ht="15.75" customHeight="1" x14ac:dyDescent="0.2">
      <c r="C414" s="107"/>
      <c r="E414" s="108"/>
      <c r="F414" s="109"/>
      <c r="T414" s="109"/>
      <c r="U414" s="109"/>
      <c r="V414" s="113"/>
      <c r="W414" s="109"/>
      <c r="X414" s="114"/>
    </row>
    <row r="415" spans="3:24" ht="15.75" customHeight="1" x14ac:dyDescent="0.2">
      <c r="C415" s="107"/>
      <c r="E415" s="108"/>
      <c r="F415" s="109"/>
      <c r="T415" s="109"/>
      <c r="U415" s="109"/>
      <c r="V415" s="113"/>
      <c r="W415" s="109"/>
      <c r="X415" s="114"/>
    </row>
    <row r="416" spans="3:24" ht="15.75" customHeight="1" x14ac:dyDescent="0.2">
      <c r="C416" s="107"/>
      <c r="E416" s="108"/>
      <c r="F416" s="109"/>
      <c r="T416" s="109"/>
      <c r="U416" s="109"/>
      <c r="V416" s="113"/>
      <c r="W416" s="109"/>
      <c r="X416" s="114"/>
    </row>
    <row r="417" spans="3:24" ht="15.75" customHeight="1" x14ac:dyDescent="0.2">
      <c r="C417" s="107"/>
      <c r="E417" s="108"/>
      <c r="F417" s="109"/>
      <c r="T417" s="109"/>
      <c r="U417" s="109"/>
      <c r="V417" s="113"/>
      <c r="W417" s="109"/>
      <c r="X417" s="114"/>
    </row>
    <row r="418" spans="3:24" ht="15.75" customHeight="1" x14ac:dyDescent="0.2">
      <c r="C418" s="107"/>
      <c r="E418" s="108"/>
      <c r="F418" s="109"/>
      <c r="T418" s="109"/>
      <c r="U418" s="109"/>
      <c r="V418" s="113"/>
      <c r="W418" s="109"/>
      <c r="X418" s="114"/>
    </row>
    <row r="419" spans="3:24" ht="15.75" customHeight="1" x14ac:dyDescent="0.2">
      <c r="C419" s="107"/>
      <c r="E419" s="108"/>
      <c r="F419" s="109"/>
      <c r="T419" s="109"/>
      <c r="U419" s="109"/>
      <c r="V419" s="113"/>
      <c r="W419" s="109"/>
      <c r="X419" s="114"/>
    </row>
    <row r="420" spans="3:24" ht="15.75" customHeight="1" x14ac:dyDescent="0.2">
      <c r="C420" s="107"/>
      <c r="E420" s="108"/>
      <c r="F420" s="109"/>
      <c r="T420" s="109"/>
      <c r="U420" s="109"/>
      <c r="V420" s="113"/>
      <c r="W420" s="109"/>
      <c r="X420" s="114"/>
    </row>
    <row r="421" spans="3:24" ht="15.75" customHeight="1" x14ac:dyDescent="0.2">
      <c r="C421" s="107"/>
      <c r="E421" s="108"/>
      <c r="F421" s="109"/>
      <c r="T421" s="109"/>
      <c r="U421" s="109"/>
      <c r="V421" s="113"/>
      <c r="W421" s="109"/>
      <c r="X421" s="114"/>
    </row>
    <row r="422" spans="3:24" ht="15.75" customHeight="1" x14ac:dyDescent="0.2">
      <c r="C422" s="107"/>
      <c r="E422" s="108"/>
      <c r="F422" s="109"/>
      <c r="T422" s="109"/>
      <c r="U422" s="109"/>
      <c r="V422" s="113"/>
      <c r="W422" s="109"/>
      <c r="X422" s="114"/>
    </row>
    <row r="423" spans="3:24" ht="15.75" customHeight="1" x14ac:dyDescent="0.2">
      <c r="C423" s="107"/>
      <c r="E423" s="108"/>
      <c r="F423" s="109"/>
      <c r="T423" s="109"/>
      <c r="U423" s="109"/>
      <c r="V423" s="113"/>
      <c r="W423" s="109"/>
      <c r="X423" s="114"/>
    </row>
    <row r="424" spans="3:24" ht="15.75" customHeight="1" x14ac:dyDescent="0.2">
      <c r="C424" s="107"/>
      <c r="E424" s="108"/>
      <c r="F424" s="109"/>
      <c r="T424" s="109"/>
      <c r="U424" s="109"/>
      <c r="V424" s="113"/>
      <c r="W424" s="109"/>
      <c r="X424" s="114"/>
    </row>
    <row r="425" spans="3:24" ht="15.75" customHeight="1" x14ac:dyDescent="0.2">
      <c r="C425" s="107"/>
      <c r="E425" s="108"/>
      <c r="F425" s="109"/>
      <c r="T425" s="109"/>
      <c r="U425" s="109"/>
      <c r="V425" s="113"/>
      <c r="W425" s="109"/>
      <c r="X425" s="114"/>
    </row>
    <row r="426" spans="3:24" ht="15.75" customHeight="1" x14ac:dyDescent="0.2">
      <c r="C426" s="107"/>
      <c r="E426" s="108"/>
      <c r="F426" s="109"/>
      <c r="T426" s="109"/>
      <c r="U426" s="109"/>
      <c r="V426" s="113"/>
      <c r="W426" s="109"/>
      <c r="X426" s="114"/>
    </row>
    <row r="427" spans="3:24" ht="15.75" customHeight="1" x14ac:dyDescent="0.2">
      <c r="C427" s="107"/>
      <c r="E427" s="108"/>
      <c r="F427" s="109"/>
      <c r="T427" s="109"/>
      <c r="U427" s="109"/>
      <c r="V427" s="113"/>
      <c r="W427" s="109"/>
      <c r="X427" s="114"/>
    </row>
    <row r="428" spans="3:24" ht="15.75" customHeight="1" x14ac:dyDescent="0.2">
      <c r="C428" s="107"/>
      <c r="E428" s="108"/>
      <c r="F428" s="109"/>
      <c r="T428" s="109"/>
      <c r="U428" s="109"/>
      <c r="V428" s="113"/>
      <c r="W428" s="109"/>
      <c r="X428" s="114"/>
    </row>
    <row r="429" spans="3:24" ht="15.75" customHeight="1" x14ac:dyDescent="0.2">
      <c r="C429" s="107"/>
      <c r="E429" s="108"/>
      <c r="F429" s="109"/>
      <c r="T429" s="109"/>
      <c r="U429" s="109"/>
      <c r="V429" s="113"/>
      <c r="W429" s="109"/>
      <c r="X429" s="114"/>
    </row>
    <row r="430" spans="3:24" ht="15.75" customHeight="1" x14ac:dyDescent="0.2">
      <c r="C430" s="107"/>
      <c r="E430" s="108"/>
      <c r="F430" s="109"/>
      <c r="T430" s="109"/>
      <c r="U430" s="109"/>
      <c r="V430" s="113"/>
      <c r="W430" s="109"/>
      <c r="X430" s="114"/>
    </row>
    <row r="431" spans="3:24" ht="15.75" customHeight="1" x14ac:dyDescent="0.2">
      <c r="C431" s="107"/>
      <c r="E431" s="108"/>
      <c r="F431" s="109"/>
      <c r="T431" s="109"/>
      <c r="U431" s="109"/>
      <c r="V431" s="113"/>
      <c r="W431" s="109"/>
      <c r="X431" s="114"/>
    </row>
    <row r="432" spans="3:24" ht="15.75" customHeight="1" x14ac:dyDescent="0.2">
      <c r="C432" s="107"/>
      <c r="E432" s="108"/>
      <c r="F432" s="109"/>
      <c r="T432" s="109"/>
      <c r="U432" s="109"/>
      <c r="V432" s="113"/>
      <c r="W432" s="109"/>
      <c r="X432" s="114"/>
    </row>
    <row r="433" spans="3:24" ht="15.75" customHeight="1" x14ac:dyDescent="0.2">
      <c r="C433" s="107"/>
      <c r="E433" s="108"/>
      <c r="F433" s="109"/>
      <c r="T433" s="109"/>
      <c r="U433" s="109"/>
      <c r="V433" s="113"/>
      <c r="W433" s="109"/>
      <c r="X433" s="114"/>
    </row>
    <row r="434" spans="3:24" ht="15.75" customHeight="1" x14ac:dyDescent="0.2">
      <c r="C434" s="107"/>
      <c r="E434" s="108"/>
      <c r="F434" s="109"/>
      <c r="T434" s="109"/>
      <c r="U434" s="109"/>
      <c r="V434" s="113"/>
      <c r="W434" s="109"/>
      <c r="X434" s="114"/>
    </row>
    <row r="435" spans="3:24" ht="15.75" customHeight="1" x14ac:dyDescent="0.2">
      <c r="C435" s="107"/>
      <c r="E435" s="108"/>
      <c r="F435" s="109"/>
      <c r="T435" s="109"/>
      <c r="U435" s="109"/>
      <c r="V435" s="113"/>
      <c r="W435" s="109"/>
      <c r="X435" s="114"/>
    </row>
    <row r="436" spans="3:24" ht="15.75" customHeight="1" x14ac:dyDescent="0.2">
      <c r="C436" s="107"/>
      <c r="E436" s="108"/>
      <c r="F436" s="109"/>
      <c r="T436" s="109"/>
      <c r="U436" s="109"/>
      <c r="V436" s="113"/>
      <c r="W436" s="109"/>
      <c r="X436" s="114"/>
    </row>
    <row r="437" spans="3:24" ht="15.75" customHeight="1" x14ac:dyDescent="0.2">
      <c r="C437" s="107"/>
      <c r="E437" s="108"/>
      <c r="F437" s="109"/>
      <c r="T437" s="109"/>
      <c r="U437" s="109"/>
      <c r="V437" s="113"/>
      <c r="W437" s="109"/>
      <c r="X437" s="114"/>
    </row>
    <row r="438" spans="3:24" ht="15.75" customHeight="1" x14ac:dyDescent="0.2">
      <c r="C438" s="107"/>
      <c r="E438" s="108"/>
      <c r="F438" s="109"/>
      <c r="T438" s="109"/>
      <c r="U438" s="109"/>
      <c r="V438" s="113"/>
      <c r="W438" s="109"/>
      <c r="X438" s="114"/>
    </row>
    <row r="439" spans="3:24" ht="15.75" customHeight="1" x14ac:dyDescent="0.2">
      <c r="C439" s="107"/>
      <c r="E439" s="108"/>
      <c r="F439" s="109"/>
      <c r="T439" s="109"/>
      <c r="U439" s="109"/>
      <c r="V439" s="113"/>
      <c r="W439" s="109"/>
      <c r="X439" s="114"/>
    </row>
    <row r="440" spans="3:24" ht="15.75" customHeight="1" x14ac:dyDescent="0.2">
      <c r="C440" s="107"/>
      <c r="E440" s="108"/>
      <c r="F440" s="109"/>
      <c r="T440" s="109"/>
      <c r="U440" s="109"/>
      <c r="V440" s="113"/>
      <c r="W440" s="109"/>
      <c r="X440" s="114"/>
    </row>
    <row r="441" spans="3:24" ht="15.75" customHeight="1" x14ac:dyDescent="0.2">
      <c r="C441" s="107"/>
      <c r="E441" s="108"/>
      <c r="F441" s="109"/>
      <c r="T441" s="109"/>
      <c r="U441" s="109"/>
      <c r="V441" s="113"/>
      <c r="W441" s="109"/>
      <c r="X441" s="114"/>
    </row>
    <row r="442" spans="3:24" ht="15.75" customHeight="1" x14ac:dyDescent="0.2">
      <c r="C442" s="107"/>
      <c r="E442" s="108"/>
      <c r="F442" s="109"/>
      <c r="T442" s="109"/>
      <c r="U442" s="109"/>
      <c r="V442" s="113"/>
      <c r="W442" s="109"/>
      <c r="X442" s="114"/>
    </row>
    <row r="443" spans="3:24" ht="15.75" customHeight="1" x14ac:dyDescent="0.2">
      <c r="C443" s="107"/>
      <c r="E443" s="108"/>
      <c r="F443" s="109"/>
      <c r="T443" s="109"/>
      <c r="U443" s="109"/>
      <c r="V443" s="113"/>
      <c r="W443" s="109"/>
      <c r="X443" s="114"/>
    </row>
    <row r="444" spans="3:24" ht="15.75" customHeight="1" x14ac:dyDescent="0.2">
      <c r="C444" s="107"/>
      <c r="E444" s="108"/>
      <c r="F444" s="109"/>
      <c r="T444" s="109"/>
      <c r="U444" s="109"/>
      <c r="V444" s="113"/>
      <c r="W444" s="109"/>
      <c r="X444" s="114"/>
    </row>
    <row r="445" spans="3:24" ht="15.75" customHeight="1" x14ac:dyDescent="0.2">
      <c r="C445" s="107"/>
      <c r="E445" s="108"/>
      <c r="F445" s="109"/>
      <c r="T445" s="109"/>
      <c r="U445" s="109"/>
      <c r="V445" s="113"/>
      <c r="W445" s="109"/>
      <c r="X445" s="114"/>
    </row>
    <row r="446" spans="3:24" ht="15.75" customHeight="1" x14ac:dyDescent="0.2">
      <c r="C446" s="107"/>
      <c r="E446" s="108"/>
      <c r="F446" s="109"/>
      <c r="T446" s="109"/>
      <c r="U446" s="109"/>
      <c r="V446" s="113"/>
      <c r="W446" s="109"/>
      <c r="X446" s="114"/>
    </row>
    <row r="447" spans="3:24" ht="15.75" customHeight="1" x14ac:dyDescent="0.2">
      <c r="C447" s="107"/>
      <c r="E447" s="108"/>
      <c r="F447" s="109"/>
      <c r="T447" s="109"/>
      <c r="U447" s="109"/>
      <c r="V447" s="113"/>
      <c r="W447" s="109"/>
      <c r="X447" s="114"/>
    </row>
    <row r="448" spans="3:24" ht="15.75" customHeight="1" x14ac:dyDescent="0.2">
      <c r="C448" s="107"/>
      <c r="E448" s="108"/>
      <c r="F448" s="109"/>
      <c r="T448" s="109"/>
      <c r="U448" s="109"/>
      <c r="V448" s="113"/>
      <c r="W448" s="109"/>
      <c r="X448" s="114"/>
    </row>
    <row r="449" spans="3:24" ht="15.75" customHeight="1" x14ac:dyDescent="0.2">
      <c r="C449" s="107"/>
      <c r="E449" s="108"/>
      <c r="F449" s="109"/>
      <c r="T449" s="109"/>
      <c r="U449" s="109"/>
      <c r="V449" s="113"/>
      <c r="W449" s="109"/>
      <c r="X449" s="114"/>
    </row>
    <row r="450" spans="3:24" ht="15.75" customHeight="1" x14ac:dyDescent="0.2">
      <c r="C450" s="107"/>
      <c r="E450" s="108"/>
      <c r="F450" s="109"/>
      <c r="T450" s="109"/>
      <c r="U450" s="109"/>
      <c r="V450" s="113"/>
      <c r="W450" s="109"/>
      <c r="X450" s="114"/>
    </row>
    <row r="451" spans="3:24" ht="15.75" customHeight="1" x14ac:dyDescent="0.2">
      <c r="C451" s="107"/>
      <c r="E451" s="108"/>
      <c r="F451" s="109"/>
      <c r="T451" s="109"/>
      <c r="U451" s="109"/>
      <c r="V451" s="113"/>
      <c r="W451" s="109"/>
      <c r="X451" s="114"/>
    </row>
    <row r="452" spans="3:24" ht="15.75" customHeight="1" x14ac:dyDescent="0.2">
      <c r="C452" s="107"/>
      <c r="E452" s="108"/>
      <c r="F452" s="109"/>
      <c r="T452" s="109"/>
      <c r="U452" s="109"/>
      <c r="V452" s="113"/>
      <c r="W452" s="109"/>
      <c r="X452" s="114"/>
    </row>
    <row r="453" spans="3:24" ht="15.75" customHeight="1" x14ac:dyDescent="0.2">
      <c r="C453" s="107"/>
      <c r="E453" s="108"/>
      <c r="F453" s="109"/>
      <c r="T453" s="109"/>
      <c r="U453" s="109"/>
      <c r="V453" s="113"/>
      <c r="W453" s="109"/>
      <c r="X453" s="114"/>
    </row>
    <row r="454" spans="3:24" ht="15.75" customHeight="1" x14ac:dyDescent="0.2">
      <c r="C454" s="107"/>
      <c r="E454" s="108"/>
      <c r="F454" s="109"/>
      <c r="T454" s="109"/>
      <c r="U454" s="109"/>
      <c r="V454" s="113"/>
      <c r="W454" s="109"/>
      <c r="X454" s="114"/>
    </row>
    <row r="455" spans="3:24" ht="15.75" customHeight="1" x14ac:dyDescent="0.2">
      <c r="C455" s="107"/>
      <c r="E455" s="108"/>
      <c r="F455" s="109"/>
      <c r="T455" s="109"/>
      <c r="U455" s="109"/>
      <c r="V455" s="113"/>
      <c r="W455" s="109"/>
      <c r="X455" s="114"/>
    </row>
    <row r="456" spans="3:24" ht="15.75" customHeight="1" x14ac:dyDescent="0.2">
      <c r="C456" s="107"/>
      <c r="E456" s="108"/>
      <c r="F456" s="109"/>
      <c r="T456" s="109"/>
      <c r="U456" s="109"/>
      <c r="V456" s="113"/>
      <c r="W456" s="109"/>
      <c r="X456" s="114"/>
    </row>
    <row r="457" spans="3:24" ht="15.75" customHeight="1" x14ac:dyDescent="0.2">
      <c r="C457" s="107"/>
      <c r="E457" s="108"/>
      <c r="F457" s="109"/>
      <c r="T457" s="109"/>
      <c r="U457" s="109"/>
      <c r="V457" s="113"/>
      <c r="W457" s="109"/>
      <c r="X457" s="114"/>
    </row>
    <row r="458" spans="3:24" ht="15.75" customHeight="1" x14ac:dyDescent="0.2">
      <c r="C458" s="107"/>
      <c r="E458" s="108"/>
      <c r="F458" s="109"/>
      <c r="T458" s="109"/>
      <c r="U458" s="109"/>
      <c r="V458" s="113"/>
      <c r="W458" s="109"/>
      <c r="X458" s="114"/>
    </row>
    <row r="459" spans="3:24" ht="15.75" customHeight="1" x14ac:dyDescent="0.2">
      <c r="C459" s="107"/>
      <c r="E459" s="108"/>
      <c r="F459" s="109"/>
      <c r="T459" s="109"/>
      <c r="U459" s="109"/>
      <c r="V459" s="113"/>
      <c r="W459" s="109"/>
      <c r="X459" s="114"/>
    </row>
    <row r="460" spans="3:24" ht="15.75" customHeight="1" x14ac:dyDescent="0.2">
      <c r="C460" s="107"/>
      <c r="E460" s="108"/>
      <c r="F460" s="109"/>
      <c r="T460" s="109"/>
      <c r="U460" s="109"/>
      <c r="V460" s="113"/>
      <c r="W460" s="109"/>
      <c r="X460" s="114"/>
    </row>
    <row r="461" spans="3:24" ht="15.75" customHeight="1" x14ac:dyDescent="0.2">
      <c r="C461" s="107"/>
      <c r="E461" s="108"/>
      <c r="F461" s="109"/>
      <c r="T461" s="109"/>
      <c r="U461" s="109"/>
      <c r="V461" s="113"/>
      <c r="W461" s="109"/>
      <c r="X461" s="114"/>
    </row>
    <row r="462" spans="3:24" ht="15.75" customHeight="1" x14ac:dyDescent="0.2">
      <c r="C462" s="107"/>
      <c r="E462" s="108"/>
      <c r="F462" s="109"/>
      <c r="T462" s="109"/>
      <c r="U462" s="109"/>
      <c r="V462" s="113"/>
      <c r="W462" s="109"/>
      <c r="X462" s="114"/>
    </row>
    <row r="463" spans="3:24" ht="15.75" customHeight="1" x14ac:dyDescent="0.2">
      <c r="C463" s="107"/>
      <c r="E463" s="108"/>
      <c r="F463" s="109"/>
      <c r="T463" s="109"/>
      <c r="U463" s="109"/>
      <c r="V463" s="113"/>
      <c r="W463" s="109"/>
      <c r="X463" s="114"/>
    </row>
    <row r="464" spans="3:24" ht="15.75" customHeight="1" x14ac:dyDescent="0.2">
      <c r="C464" s="107"/>
      <c r="E464" s="108"/>
      <c r="F464" s="109"/>
      <c r="T464" s="109"/>
      <c r="U464" s="109"/>
      <c r="V464" s="113"/>
      <c r="W464" s="109"/>
      <c r="X464" s="114"/>
    </row>
    <row r="465" spans="3:24" ht="15.75" customHeight="1" x14ac:dyDescent="0.2">
      <c r="C465" s="107"/>
      <c r="E465" s="108"/>
      <c r="F465" s="109"/>
      <c r="T465" s="109"/>
      <c r="U465" s="109"/>
      <c r="V465" s="113"/>
      <c r="W465" s="109"/>
      <c r="X465" s="114"/>
    </row>
    <row r="466" spans="3:24" ht="15.75" customHeight="1" x14ac:dyDescent="0.2">
      <c r="C466" s="107"/>
      <c r="E466" s="108"/>
      <c r="F466" s="109"/>
      <c r="T466" s="109"/>
      <c r="U466" s="109"/>
      <c r="V466" s="113"/>
      <c r="W466" s="109"/>
      <c r="X466" s="114"/>
    </row>
    <row r="467" spans="3:24" ht="15.75" customHeight="1" x14ac:dyDescent="0.2">
      <c r="C467" s="107"/>
      <c r="E467" s="108"/>
      <c r="F467" s="109"/>
      <c r="T467" s="109"/>
      <c r="U467" s="109"/>
      <c r="V467" s="113"/>
      <c r="W467" s="109"/>
      <c r="X467" s="114"/>
    </row>
    <row r="468" spans="3:24" ht="15.75" customHeight="1" x14ac:dyDescent="0.2">
      <c r="C468" s="107"/>
      <c r="E468" s="108"/>
      <c r="F468" s="109"/>
      <c r="T468" s="109"/>
      <c r="U468" s="109"/>
      <c r="V468" s="113"/>
      <c r="W468" s="109"/>
      <c r="X468" s="114"/>
    </row>
    <row r="469" spans="3:24" ht="15.75" customHeight="1" x14ac:dyDescent="0.2">
      <c r="C469" s="107"/>
      <c r="E469" s="108"/>
      <c r="F469" s="109"/>
      <c r="T469" s="109"/>
      <c r="U469" s="109"/>
      <c r="V469" s="113"/>
      <c r="W469" s="109"/>
      <c r="X469" s="114"/>
    </row>
    <row r="470" spans="3:24" ht="15.75" customHeight="1" x14ac:dyDescent="0.2">
      <c r="C470" s="107"/>
      <c r="E470" s="108"/>
      <c r="F470" s="109"/>
      <c r="T470" s="109"/>
      <c r="U470" s="109"/>
      <c r="V470" s="113"/>
      <c r="W470" s="109"/>
      <c r="X470" s="114"/>
    </row>
    <row r="471" spans="3:24" ht="15.75" customHeight="1" x14ac:dyDescent="0.2">
      <c r="C471" s="107"/>
      <c r="E471" s="108"/>
      <c r="F471" s="109"/>
      <c r="T471" s="109"/>
      <c r="U471" s="109"/>
      <c r="V471" s="113"/>
      <c r="W471" s="109"/>
      <c r="X471" s="114"/>
    </row>
    <row r="472" spans="3:24" ht="15.75" customHeight="1" x14ac:dyDescent="0.2">
      <c r="C472" s="107"/>
      <c r="E472" s="108"/>
      <c r="F472" s="109"/>
      <c r="T472" s="109"/>
      <c r="U472" s="109"/>
      <c r="V472" s="113"/>
      <c r="W472" s="109"/>
      <c r="X472" s="114"/>
    </row>
    <row r="473" spans="3:24" ht="15.75" customHeight="1" x14ac:dyDescent="0.2">
      <c r="C473" s="107"/>
      <c r="E473" s="108"/>
      <c r="F473" s="109"/>
      <c r="T473" s="109"/>
      <c r="U473" s="109"/>
      <c r="V473" s="113"/>
      <c r="W473" s="109"/>
      <c r="X473" s="114"/>
    </row>
    <row r="474" spans="3:24" ht="15.75" customHeight="1" x14ac:dyDescent="0.2">
      <c r="C474" s="107"/>
      <c r="E474" s="108"/>
      <c r="F474" s="109"/>
      <c r="T474" s="109"/>
      <c r="U474" s="109"/>
      <c r="V474" s="113"/>
      <c r="W474" s="109"/>
      <c r="X474" s="114"/>
    </row>
    <row r="475" spans="3:24" ht="15.75" customHeight="1" x14ac:dyDescent="0.2">
      <c r="C475" s="107"/>
      <c r="E475" s="108"/>
      <c r="F475" s="109"/>
      <c r="T475" s="109"/>
      <c r="U475" s="109"/>
      <c r="V475" s="113"/>
      <c r="W475" s="109"/>
      <c r="X475" s="114"/>
    </row>
    <row r="476" spans="3:24" ht="15.75" customHeight="1" x14ac:dyDescent="0.2">
      <c r="C476" s="107"/>
      <c r="E476" s="108"/>
      <c r="F476" s="109"/>
      <c r="T476" s="109"/>
      <c r="U476" s="109"/>
      <c r="V476" s="113"/>
      <c r="W476" s="109"/>
      <c r="X476" s="114"/>
    </row>
    <row r="477" spans="3:24" ht="15.75" customHeight="1" x14ac:dyDescent="0.2">
      <c r="C477" s="107"/>
      <c r="E477" s="108"/>
      <c r="F477" s="109"/>
      <c r="T477" s="109"/>
      <c r="U477" s="109"/>
      <c r="V477" s="113"/>
      <c r="W477" s="109"/>
      <c r="X477" s="114"/>
    </row>
    <row r="478" spans="3:24" ht="15.75" customHeight="1" x14ac:dyDescent="0.2">
      <c r="C478" s="107"/>
      <c r="E478" s="108"/>
      <c r="F478" s="109"/>
      <c r="T478" s="109"/>
      <c r="U478" s="109"/>
      <c r="V478" s="113"/>
      <c r="W478" s="109"/>
      <c r="X478" s="114"/>
    </row>
    <row r="479" spans="3:24" ht="15.75" customHeight="1" x14ac:dyDescent="0.2">
      <c r="C479" s="107"/>
      <c r="E479" s="108"/>
      <c r="F479" s="109"/>
      <c r="T479" s="109"/>
      <c r="U479" s="109"/>
      <c r="V479" s="113"/>
      <c r="W479" s="109"/>
      <c r="X479" s="114"/>
    </row>
    <row r="480" spans="3:24" ht="15.75" customHeight="1" x14ac:dyDescent="0.2">
      <c r="C480" s="107"/>
      <c r="E480" s="108"/>
      <c r="F480" s="109"/>
      <c r="T480" s="109"/>
      <c r="U480" s="109"/>
      <c r="V480" s="113"/>
      <c r="W480" s="109"/>
      <c r="X480" s="114"/>
    </row>
    <row r="481" spans="3:24" ht="15.75" customHeight="1" x14ac:dyDescent="0.2">
      <c r="C481" s="107"/>
      <c r="E481" s="108"/>
      <c r="F481" s="109"/>
      <c r="T481" s="109"/>
      <c r="U481" s="109"/>
      <c r="V481" s="113"/>
      <c r="W481" s="109"/>
      <c r="X481" s="114"/>
    </row>
    <row r="482" spans="3:24" ht="15.75" customHeight="1" x14ac:dyDescent="0.2">
      <c r="C482" s="107"/>
      <c r="E482" s="108"/>
      <c r="F482" s="109"/>
      <c r="T482" s="109"/>
      <c r="U482" s="109"/>
      <c r="V482" s="113"/>
      <c r="W482" s="109"/>
      <c r="X482" s="114"/>
    </row>
    <row r="483" spans="3:24" ht="15.75" customHeight="1" x14ac:dyDescent="0.2">
      <c r="C483" s="107"/>
      <c r="E483" s="108"/>
      <c r="F483" s="109"/>
      <c r="T483" s="109"/>
      <c r="U483" s="109"/>
      <c r="V483" s="113"/>
      <c r="W483" s="109"/>
      <c r="X483" s="114"/>
    </row>
    <row r="484" spans="3:24" ht="15.75" customHeight="1" x14ac:dyDescent="0.2">
      <c r="C484" s="107"/>
      <c r="E484" s="108"/>
      <c r="F484" s="109"/>
      <c r="T484" s="109"/>
      <c r="U484" s="109"/>
      <c r="V484" s="113"/>
      <c r="W484" s="109"/>
      <c r="X484" s="114"/>
    </row>
    <row r="485" spans="3:24" ht="15.75" customHeight="1" x14ac:dyDescent="0.2">
      <c r="C485" s="107"/>
      <c r="E485" s="108"/>
      <c r="F485" s="109"/>
      <c r="T485" s="109"/>
      <c r="U485" s="109"/>
      <c r="V485" s="113"/>
      <c r="W485" s="109"/>
      <c r="X485" s="114"/>
    </row>
    <row r="486" spans="3:24" ht="15.75" customHeight="1" x14ac:dyDescent="0.2">
      <c r="C486" s="107"/>
      <c r="E486" s="108"/>
      <c r="F486" s="109"/>
      <c r="T486" s="109"/>
      <c r="U486" s="109"/>
      <c r="V486" s="113"/>
      <c r="W486" s="109"/>
      <c r="X486" s="114"/>
    </row>
    <row r="487" spans="3:24" ht="15.75" customHeight="1" x14ac:dyDescent="0.2">
      <c r="C487" s="107"/>
      <c r="E487" s="108"/>
      <c r="F487" s="109"/>
      <c r="T487" s="109"/>
      <c r="U487" s="109"/>
      <c r="V487" s="113"/>
      <c r="W487" s="109"/>
      <c r="X487" s="114"/>
    </row>
    <row r="488" spans="3:24" ht="15.75" customHeight="1" x14ac:dyDescent="0.2">
      <c r="C488" s="107"/>
      <c r="E488" s="108"/>
      <c r="F488" s="109"/>
      <c r="T488" s="109"/>
      <c r="U488" s="109"/>
      <c r="V488" s="113"/>
      <c r="W488" s="109"/>
      <c r="X488" s="114"/>
    </row>
    <row r="489" spans="3:24" ht="15.75" customHeight="1" x14ac:dyDescent="0.2">
      <c r="C489" s="107"/>
      <c r="E489" s="108"/>
      <c r="F489" s="109"/>
      <c r="T489" s="109"/>
      <c r="U489" s="109"/>
      <c r="V489" s="113"/>
      <c r="W489" s="109"/>
      <c r="X489" s="114"/>
    </row>
    <row r="490" spans="3:24" ht="15.75" customHeight="1" x14ac:dyDescent="0.2">
      <c r="C490" s="107"/>
      <c r="E490" s="108"/>
      <c r="F490" s="109"/>
      <c r="T490" s="109"/>
      <c r="U490" s="109"/>
      <c r="V490" s="113"/>
      <c r="W490" s="109"/>
      <c r="X490" s="114"/>
    </row>
    <row r="491" spans="3:24" ht="15.75" customHeight="1" x14ac:dyDescent="0.2">
      <c r="C491" s="107"/>
      <c r="E491" s="108"/>
      <c r="F491" s="109"/>
      <c r="T491" s="109"/>
      <c r="U491" s="109"/>
      <c r="V491" s="113"/>
      <c r="W491" s="109"/>
      <c r="X491" s="114"/>
    </row>
    <row r="492" spans="3:24" ht="15.75" customHeight="1" x14ac:dyDescent="0.2">
      <c r="C492" s="107"/>
      <c r="E492" s="108"/>
      <c r="F492" s="109"/>
      <c r="T492" s="109"/>
      <c r="U492" s="109"/>
      <c r="V492" s="113"/>
      <c r="W492" s="109"/>
      <c r="X492" s="114"/>
    </row>
    <row r="493" spans="3:24" ht="15.75" customHeight="1" x14ac:dyDescent="0.2">
      <c r="C493" s="107"/>
      <c r="E493" s="108"/>
      <c r="F493" s="109"/>
      <c r="T493" s="109"/>
      <c r="U493" s="109"/>
      <c r="V493" s="113"/>
      <c r="W493" s="109"/>
      <c r="X493" s="114"/>
    </row>
    <row r="494" spans="3:24" ht="15.75" customHeight="1" x14ac:dyDescent="0.2">
      <c r="C494" s="107"/>
      <c r="E494" s="108"/>
      <c r="F494" s="109"/>
      <c r="T494" s="109"/>
      <c r="U494" s="109"/>
      <c r="V494" s="113"/>
      <c r="W494" s="109"/>
      <c r="X494" s="114"/>
    </row>
    <row r="495" spans="3:24" ht="15.75" customHeight="1" x14ac:dyDescent="0.2">
      <c r="C495" s="107"/>
      <c r="E495" s="108"/>
      <c r="F495" s="109"/>
      <c r="T495" s="109"/>
      <c r="U495" s="109"/>
      <c r="V495" s="113"/>
      <c r="W495" s="109"/>
      <c r="X495" s="114"/>
    </row>
    <row r="496" spans="3:24" ht="15.75" customHeight="1" x14ac:dyDescent="0.2">
      <c r="C496" s="107"/>
      <c r="E496" s="108"/>
      <c r="F496" s="109"/>
      <c r="T496" s="109"/>
      <c r="U496" s="109"/>
      <c r="V496" s="113"/>
      <c r="W496" s="109"/>
      <c r="X496" s="114"/>
    </row>
    <row r="497" spans="3:24" ht="15.75" customHeight="1" x14ac:dyDescent="0.2">
      <c r="C497" s="107"/>
      <c r="E497" s="108"/>
      <c r="F497" s="109"/>
      <c r="T497" s="109"/>
      <c r="U497" s="109"/>
      <c r="V497" s="113"/>
      <c r="W497" s="109"/>
      <c r="X497" s="114"/>
    </row>
    <row r="498" spans="3:24" ht="15.75" customHeight="1" x14ac:dyDescent="0.2">
      <c r="C498" s="107"/>
      <c r="E498" s="108"/>
      <c r="F498" s="109"/>
      <c r="T498" s="109"/>
      <c r="U498" s="109"/>
      <c r="V498" s="113"/>
      <c r="W498" s="109"/>
      <c r="X498" s="114"/>
    </row>
    <row r="499" spans="3:24" ht="15.75" customHeight="1" x14ac:dyDescent="0.2">
      <c r="C499" s="107"/>
      <c r="E499" s="108"/>
      <c r="F499" s="109"/>
      <c r="T499" s="109"/>
      <c r="U499" s="109"/>
      <c r="V499" s="113"/>
      <c r="W499" s="109"/>
      <c r="X499" s="114"/>
    </row>
    <row r="500" spans="3:24" ht="15.75" customHeight="1" x14ac:dyDescent="0.2">
      <c r="C500" s="107"/>
      <c r="E500" s="108"/>
      <c r="F500" s="109"/>
      <c r="T500" s="109"/>
      <c r="U500" s="109"/>
      <c r="V500" s="113"/>
      <c r="W500" s="109"/>
      <c r="X500" s="114"/>
    </row>
    <row r="501" spans="3:24" ht="15.75" customHeight="1" x14ac:dyDescent="0.2">
      <c r="C501" s="107"/>
      <c r="E501" s="108"/>
      <c r="F501" s="109"/>
      <c r="T501" s="109"/>
      <c r="U501" s="109"/>
      <c r="V501" s="113"/>
      <c r="W501" s="109"/>
      <c r="X501" s="114"/>
    </row>
    <row r="502" spans="3:24" ht="15.75" customHeight="1" x14ac:dyDescent="0.2">
      <c r="C502" s="107"/>
      <c r="E502" s="108"/>
      <c r="F502" s="109"/>
      <c r="T502" s="109"/>
      <c r="U502" s="109"/>
      <c r="V502" s="113"/>
      <c r="W502" s="109"/>
      <c r="X502" s="114"/>
    </row>
    <row r="503" spans="3:24" ht="15.75" customHeight="1" x14ac:dyDescent="0.2">
      <c r="C503" s="107"/>
      <c r="E503" s="108"/>
      <c r="F503" s="109"/>
      <c r="T503" s="109"/>
      <c r="U503" s="109"/>
      <c r="V503" s="113"/>
      <c r="W503" s="109"/>
      <c r="X503" s="114"/>
    </row>
    <row r="504" spans="3:24" ht="15.75" customHeight="1" x14ac:dyDescent="0.2">
      <c r="C504" s="107"/>
      <c r="E504" s="108"/>
      <c r="F504" s="109"/>
      <c r="T504" s="109"/>
      <c r="U504" s="109"/>
      <c r="V504" s="113"/>
      <c r="W504" s="109"/>
      <c r="X504" s="114"/>
    </row>
    <row r="505" spans="3:24" ht="15.75" customHeight="1" x14ac:dyDescent="0.2">
      <c r="C505" s="107"/>
      <c r="E505" s="108"/>
      <c r="F505" s="109"/>
      <c r="T505" s="109"/>
      <c r="U505" s="109"/>
      <c r="V505" s="113"/>
      <c r="W505" s="109"/>
      <c r="X505" s="114"/>
    </row>
    <row r="506" spans="3:24" ht="15.75" customHeight="1" x14ac:dyDescent="0.2">
      <c r="C506" s="107"/>
      <c r="E506" s="108"/>
      <c r="F506" s="109"/>
      <c r="T506" s="109"/>
      <c r="U506" s="109"/>
      <c r="V506" s="113"/>
      <c r="W506" s="109"/>
      <c r="X506" s="114"/>
    </row>
    <row r="507" spans="3:24" ht="15.75" customHeight="1" x14ac:dyDescent="0.2">
      <c r="C507" s="107"/>
      <c r="E507" s="108"/>
      <c r="F507" s="109"/>
      <c r="T507" s="109"/>
      <c r="U507" s="109"/>
      <c r="V507" s="113"/>
      <c r="W507" s="109"/>
      <c r="X507" s="114"/>
    </row>
    <row r="508" spans="3:24" ht="15.75" customHeight="1" x14ac:dyDescent="0.2">
      <c r="C508" s="107"/>
      <c r="E508" s="108"/>
      <c r="F508" s="109"/>
      <c r="T508" s="109"/>
      <c r="U508" s="109"/>
      <c r="V508" s="113"/>
      <c r="W508" s="109"/>
      <c r="X508" s="114"/>
    </row>
    <row r="509" spans="3:24" ht="15.75" customHeight="1" x14ac:dyDescent="0.2">
      <c r="C509" s="107"/>
      <c r="E509" s="108"/>
      <c r="F509" s="109"/>
      <c r="T509" s="109"/>
      <c r="U509" s="109"/>
      <c r="V509" s="113"/>
      <c r="W509" s="109"/>
      <c r="X509" s="114"/>
    </row>
    <row r="510" spans="3:24" ht="15.75" customHeight="1" x14ac:dyDescent="0.2">
      <c r="C510" s="107"/>
      <c r="E510" s="108"/>
      <c r="F510" s="109"/>
      <c r="T510" s="109"/>
      <c r="U510" s="109"/>
      <c r="V510" s="113"/>
      <c r="W510" s="109"/>
      <c r="X510" s="114"/>
    </row>
    <row r="511" spans="3:24" ht="15.75" customHeight="1" x14ac:dyDescent="0.2">
      <c r="C511" s="107"/>
      <c r="E511" s="108"/>
      <c r="F511" s="109"/>
      <c r="T511" s="109"/>
      <c r="U511" s="109"/>
      <c r="V511" s="113"/>
      <c r="W511" s="109"/>
      <c r="X511" s="114"/>
    </row>
    <row r="512" spans="3:24" ht="15.75" customHeight="1" x14ac:dyDescent="0.2">
      <c r="C512" s="107"/>
      <c r="E512" s="108"/>
      <c r="F512" s="109"/>
      <c r="T512" s="109"/>
      <c r="U512" s="109"/>
      <c r="V512" s="113"/>
      <c r="W512" s="109"/>
      <c r="X512" s="114"/>
    </row>
    <row r="513" spans="3:24" ht="15.75" customHeight="1" x14ac:dyDescent="0.2">
      <c r="C513" s="107"/>
      <c r="E513" s="108"/>
      <c r="F513" s="109"/>
      <c r="T513" s="109"/>
      <c r="U513" s="109"/>
      <c r="V513" s="113"/>
      <c r="W513" s="109"/>
      <c r="X513" s="114"/>
    </row>
    <row r="514" spans="3:24" ht="15.75" customHeight="1" x14ac:dyDescent="0.2">
      <c r="C514" s="107"/>
      <c r="E514" s="108"/>
      <c r="F514" s="109"/>
      <c r="T514" s="109"/>
      <c r="U514" s="109"/>
      <c r="V514" s="113"/>
      <c r="W514" s="109"/>
      <c r="X514" s="114"/>
    </row>
    <row r="515" spans="3:24" ht="15.75" customHeight="1" x14ac:dyDescent="0.2">
      <c r="C515" s="107"/>
      <c r="E515" s="108"/>
      <c r="F515" s="109"/>
      <c r="T515" s="109"/>
      <c r="U515" s="109"/>
      <c r="V515" s="113"/>
      <c r="W515" s="109"/>
      <c r="X515" s="114"/>
    </row>
    <row r="516" spans="3:24" ht="15.75" customHeight="1" x14ac:dyDescent="0.2">
      <c r="C516" s="107"/>
      <c r="E516" s="108"/>
      <c r="F516" s="109"/>
      <c r="T516" s="109"/>
      <c r="U516" s="109"/>
      <c r="V516" s="113"/>
      <c r="W516" s="109"/>
      <c r="X516" s="114"/>
    </row>
    <row r="517" spans="3:24" ht="15.75" customHeight="1" x14ac:dyDescent="0.2">
      <c r="C517" s="107"/>
      <c r="E517" s="108"/>
      <c r="F517" s="109"/>
      <c r="T517" s="109"/>
      <c r="U517" s="109"/>
      <c r="V517" s="113"/>
      <c r="W517" s="109"/>
      <c r="X517" s="114"/>
    </row>
    <row r="518" spans="3:24" ht="15.75" customHeight="1" x14ac:dyDescent="0.2">
      <c r="C518" s="107"/>
      <c r="E518" s="108"/>
      <c r="F518" s="109"/>
      <c r="T518" s="109"/>
      <c r="U518" s="109"/>
      <c r="V518" s="113"/>
      <c r="W518" s="109"/>
      <c r="X518" s="114"/>
    </row>
    <row r="519" spans="3:24" ht="15.75" customHeight="1" x14ac:dyDescent="0.2">
      <c r="C519" s="107"/>
      <c r="E519" s="108"/>
      <c r="F519" s="109"/>
      <c r="T519" s="109"/>
      <c r="U519" s="109"/>
      <c r="V519" s="113"/>
      <c r="W519" s="109"/>
      <c r="X519" s="114"/>
    </row>
    <row r="520" spans="3:24" ht="15.75" customHeight="1" x14ac:dyDescent="0.2">
      <c r="C520" s="107"/>
      <c r="E520" s="108"/>
      <c r="F520" s="109"/>
      <c r="T520" s="109"/>
      <c r="U520" s="109"/>
      <c r="V520" s="113"/>
      <c r="W520" s="109"/>
      <c r="X520" s="114"/>
    </row>
    <row r="521" spans="3:24" ht="15.75" customHeight="1" x14ac:dyDescent="0.2">
      <c r="C521" s="107"/>
      <c r="E521" s="108"/>
      <c r="F521" s="109"/>
      <c r="T521" s="109"/>
      <c r="U521" s="109"/>
      <c r="V521" s="113"/>
      <c r="W521" s="109"/>
      <c r="X521" s="114"/>
    </row>
    <row r="522" spans="3:24" ht="15.75" customHeight="1" x14ac:dyDescent="0.2">
      <c r="C522" s="107"/>
      <c r="E522" s="108"/>
      <c r="F522" s="109"/>
      <c r="T522" s="109"/>
      <c r="U522" s="109"/>
      <c r="V522" s="113"/>
      <c r="W522" s="109"/>
      <c r="X522" s="114"/>
    </row>
    <row r="523" spans="3:24" ht="15.75" customHeight="1" x14ac:dyDescent="0.2">
      <c r="C523" s="107"/>
      <c r="E523" s="108"/>
      <c r="F523" s="109"/>
      <c r="T523" s="109"/>
      <c r="U523" s="109"/>
      <c r="V523" s="113"/>
      <c r="W523" s="109"/>
      <c r="X523" s="114"/>
    </row>
    <row r="524" spans="3:24" ht="15.75" customHeight="1" x14ac:dyDescent="0.2">
      <c r="C524" s="107"/>
      <c r="E524" s="108"/>
      <c r="F524" s="109"/>
      <c r="T524" s="109"/>
      <c r="U524" s="109"/>
      <c r="V524" s="113"/>
      <c r="W524" s="109"/>
      <c r="X524" s="114"/>
    </row>
    <row r="525" spans="3:24" ht="15.75" customHeight="1" x14ac:dyDescent="0.2">
      <c r="C525" s="107"/>
      <c r="E525" s="108"/>
      <c r="F525" s="109"/>
      <c r="T525" s="109"/>
      <c r="U525" s="109"/>
      <c r="V525" s="113"/>
      <c r="W525" s="109"/>
      <c r="X525" s="114"/>
    </row>
    <row r="526" spans="3:24" ht="15.75" customHeight="1" x14ac:dyDescent="0.2">
      <c r="C526" s="107"/>
      <c r="E526" s="108"/>
      <c r="F526" s="109"/>
      <c r="T526" s="109"/>
      <c r="U526" s="109"/>
      <c r="V526" s="113"/>
      <c r="W526" s="109"/>
      <c r="X526" s="114"/>
    </row>
    <row r="527" spans="3:24" ht="15.75" customHeight="1" x14ac:dyDescent="0.2">
      <c r="C527" s="107"/>
      <c r="E527" s="108"/>
      <c r="F527" s="109"/>
      <c r="T527" s="109"/>
      <c r="U527" s="109"/>
      <c r="V527" s="113"/>
      <c r="W527" s="109"/>
      <c r="X527" s="114"/>
    </row>
    <row r="528" spans="3:24" ht="15.75" customHeight="1" x14ac:dyDescent="0.2">
      <c r="C528" s="107"/>
      <c r="E528" s="108"/>
      <c r="F528" s="109"/>
      <c r="T528" s="109"/>
      <c r="U528" s="109"/>
      <c r="V528" s="113"/>
      <c r="W528" s="109"/>
      <c r="X528" s="114"/>
    </row>
    <row r="529" spans="3:24" ht="15.75" customHeight="1" x14ac:dyDescent="0.2">
      <c r="C529" s="107"/>
      <c r="E529" s="108"/>
      <c r="F529" s="109"/>
      <c r="T529" s="109"/>
      <c r="U529" s="109"/>
      <c r="V529" s="113"/>
      <c r="W529" s="109"/>
      <c r="X529" s="114"/>
    </row>
    <row r="530" spans="3:24" ht="15.75" customHeight="1" x14ac:dyDescent="0.2">
      <c r="C530" s="107"/>
      <c r="E530" s="108"/>
      <c r="F530" s="109"/>
      <c r="T530" s="109"/>
      <c r="U530" s="109"/>
      <c r="V530" s="113"/>
      <c r="W530" s="109"/>
      <c r="X530" s="114"/>
    </row>
    <row r="531" spans="3:24" ht="15.75" customHeight="1" x14ac:dyDescent="0.2">
      <c r="C531" s="107"/>
      <c r="E531" s="108"/>
      <c r="F531" s="109"/>
      <c r="T531" s="109"/>
      <c r="U531" s="109"/>
      <c r="V531" s="113"/>
      <c r="W531" s="109"/>
      <c r="X531" s="114"/>
    </row>
    <row r="532" spans="3:24" ht="15.75" customHeight="1" x14ac:dyDescent="0.2">
      <c r="C532" s="107"/>
      <c r="E532" s="108"/>
      <c r="F532" s="109"/>
      <c r="T532" s="109"/>
      <c r="U532" s="109"/>
      <c r="V532" s="113"/>
      <c r="W532" s="109"/>
      <c r="X532" s="114"/>
    </row>
    <row r="533" spans="3:24" ht="15.75" customHeight="1" x14ac:dyDescent="0.2">
      <c r="C533" s="107"/>
      <c r="E533" s="108"/>
      <c r="F533" s="109"/>
      <c r="T533" s="109"/>
      <c r="U533" s="109"/>
      <c r="V533" s="113"/>
      <c r="W533" s="109"/>
      <c r="X533" s="114"/>
    </row>
    <row r="534" spans="3:24" ht="15.75" customHeight="1" x14ac:dyDescent="0.2">
      <c r="C534" s="107"/>
      <c r="E534" s="108"/>
      <c r="F534" s="109"/>
      <c r="T534" s="109"/>
      <c r="U534" s="109"/>
      <c r="V534" s="113"/>
      <c r="W534" s="109"/>
      <c r="X534" s="114"/>
    </row>
    <row r="535" spans="3:24" ht="15.75" customHeight="1" x14ac:dyDescent="0.2">
      <c r="C535" s="107"/>
      <c r="E535" s="108"/>
      <c r="F535" s="109"/>
      <c r="T535" s="109"/>
      <c r="U535" s="109"/>
      <c r="V535" s="113"/>
      <c r="W535" s="109"/>
      <c r="X535" s="114"/>
    </row>
    <row r="536" spans="3:24" ht="15.75" customHeight="1" x14ac:dyDescent="0.2">
      <c r="C536" s="107"/>
      <c r="E536" s="108"/>
      <c r="F536" s="109"/>
      <c r="T536" s="109"/>
      <c r="U536" s="109"/>
      <c r="V536" s="113"/>
      <c r="W536" s="109"/>
      <c r="X536" s="114"/>
    </row>
    <row r="537" spans="3:24" ht="15.75" customHeight="1" x14ac:dyDescent="0.2">
      <c r="C537" s="107"/>
      <c r="E537" s="108"/>
      <c r="F537" s="109"/>
      <c r="T537" s="109"/>
      <c r="U537" s="109"/>
      <c r="V537" s="113"/>
      <c r="W537" s="109"/>
      <c r="X537" s="114"/>
    </row>
    <row r="538" spans="3:24" ht="15.75" customHeight="1" x14ac:dyDescent="0.2">
      <c r="C538" s="107"/>
      <c r="E538" s="108"/>
      <c r="F538" s="109"/>
      <c r="T538" s="109"/>
      <c r="U538" s="109"/>
      <c r="V538" s="113"/>
      <c r="W538" s="109"/>
      <c r="X538" s="114"/>
    </row>
    <row r="539" spans="3:24" ht="15.75" customHeight="1" x14ac:dyDescent="0.2">
      <c r="C539" s="107"/>
      <c r="E539" s="108"/>
      <c r="F539" s="109"/>
      <c r="T539" s="109"/>
      <c r="U539" s="109"/>
      <c r="V539" s="113"/>
      <c r="W539" s="109"/>
      <c r="X539" s="114"/>
    </row>
    <row r="540" spans="3:24" ht="15.75" customHeight="1" x14ac:dyDescent="0.2">
      <c r="C540" s="107"/>
      <c r="E540" s="108"/>
      <c r="F540" s="109"/>
      <c r="T540" s="109"/>
      <c r="U540" s="109"/>
      <c r="V540" s="113"/>
      <c r="W540" s="109"/>
      <c r="X540" s="114"/>
    </row>
    <row r="541" spans="3:24" ht="15.75" customHeight="1" x14ac:dyDescent="0.2">
      <c r="C541" s="107"/>
      <c r="E541" s="108"/>
      <c r="F541" s="109"/>
      <c r="T541" s="109"/>
      <c r="U541" s="109"/>
      <c r="V541" s="113"/>
      <c r="W541" s="109"/>
      <c r="X541" s="114"/>
    </row>
    <row r="542" spans="3:24" ht="15.75" customHeight="1" x14ac:dyDescent="0.2">
      <c r="C542" s="107"/>
      <c r="E542" s="108"/>
      <c r="F542" s="109"/>
      <c r="T542" s="109"/>
      <c r="U542" s="109"/>
      <c r="V542" s="113"/>
      <c r="W542" s="109"/>
      <c r="X542" s="114"/>
    </row>
    <row r="543" spans="3:24" ht="15.75" customHeight="1" x14ac:dyDescent="0.2">
      <c r="C543" s="107"/>
      <c r="E543" s="108"/>
      <c r="F543" s="109"/>
      <c r="T543" s="109"/>
      <c r="U543" s="109"/>
      <c r="V543" s="113"/>
      <c r="W543" s="109"/>
      <c r="X543" s="114"/>
    </row>
    <row r="544" spans="3:24" ht="15.75" customHeight="1" x14ac:dyDescent="0.2">
      <c r="C544" s="107"/>
      <c r="E544" s="108"/>
      <c r="F544" s="109"/>
      <c r="T544" s="109"/>
      <c r="U544" s="109"/>
      <c r="V544" s="113"/>
      <c r="W544" s="109"/>
      <c r="X544" s="114"/>
    </row>
    <row r="545" spans="3:24" ht="15.75" customHeight="1" x14ac:dyDescent="0.2">
      <c r="C545" s="107"/>
      <c r="E545" s="108"/>
      <c r="F545" s="109"/>
      <c r="T545" s="109"/>
      <c r="U545" s="109"/>
      <c r="V545" s="113"/>
      <c r="W545" s="109"/>
      <c r="X545" s="114"/>
    </row>
    <row r="546" spans="3:24" ht="15.75" customHeight="1" x14ac:dyDescent="0.2">
      <c r="C546" s="107"/>
      <c r="E546" s="108"/>
      <c r="F546" s="109"/>
      <c r="T546" s="109"/>
      <c r="U546" s="109"/>
      <c r="V546" s="113"/>
      <c r="W546" s="109"/>
      <c r="X546" s="114"/>
    </row>
    <row r="547" spans="3:24" ht="15.75" customHeight="1" x14ac:dyDescent="0.2">
      <c r="C547" s="107"/>
      <c r="E547" s="108"/>
      <c r="F547" s="109"/>
      <c r="T547" s="109"/>
      <c r="U547" s="109"/>
      <c r="V547" s="113"/>
      <c r="W547" s="109"/>
      <c r="X547" s="114"/>
    </row>
    <row r="548" spans="3:24" ht="15.75" customHeight="1" x14ac:dyDescent="0.2">
      <c r="C548" s="107"/>
      <c r="E548" s="108"/>
      <c r="F548" s="109"/>
      <c r="T548" s="109"/>
      <c r="U548" s="109"/>
      <c r="V548" s="113"/>
      <c r="W548" s="109"/>
      <c r="X548" s="114"/>
    </row>
    <row r="549" spans="3:24" ht="15.75" customHeight="1" x14ac:dyDescent="0.2">
      <c r="C549" s="107"/>
      <c r="E549" s="108"/>
      <c r="F549" s="109"/>
      <c r="T549" s="109"/>
      <c r="U549" s="109"/>
      <c r="V549" s="113"/>
      <c r="W549" s="109"/>
      <c r="X549" s="114"/>
    </row>
    <row r="550" spans="3:24" ht="15.75" customHeight="1" x14ac:dyDescent="0.2">
      <c r="C550" s="107"/>
      <c r="E550" s="108"/>
      <c r="F550" s="109"/>
      <c r="T550" s="109"/>
      <c r="U550" s="109"/>
      <c r="V550" s="113"/>
      <c r="W550" s="109"/>
      <c r="X550" s="114"/>
    </row>
    <row r="551" spans="3:24" ht="15.75" customHeight="1" x14ac:dyDescent="0.2">
      <c r="C551" s="107"/>
      <c r="E551" s="108"/>
      <c r="F551" s="109"/>
      <c r="T551" s="109"/>
      <c r="U551" s="109"/>
      <c r="V551" s="113"/>
      <c r="W551" s="109"/>
      <c r="X551" s="114"/>
    </row>
    <row r="552" spans="3:24" ht="15.75" customHeight="1" x14ac:dyDescent="0.2">
      <c r="C552" s="107"/>
      <c r="E552" s="108"/>
      <c r="F552" s="109"/>
      <c r="T552" s="109"/>
      <c r="U552" s="109"/>
      <c r="V552" s="113"/>
      <c r="W552" s="109"/>
      <c r="X552" s="114"/>
    </row>
    <row r="553" spans="3:24" ht="15.75" customHeight="1" x14ac:dyDescent="0.2">
      <c r="C553" s="107"/>
      <c r="E553" s="108"/>
      <c r="F553" s="109"/>
      <c r="T553" s="109"/>
      <c r="U553" s="109"/>
      <c r="V553" s="113"/>
      <c r="W553" s="109"/>
      <c r="X553" s="114"/>
    </row>
    <row r="554" spans="3:24" ht="15.75" customHeight="1" x14ac:dyDescent="0.2">
      <c r="C554" s="107"/>
      <c r="E554" s="108"/>
      <c r="F554" s="109"/>
      <c r="T554" s="109"/>
      <c r="U554" s="109"/>
      <c r="V554" s="113"/>
      <c r="W554" s="109"/>
      <c r="X554" s="114"/>
    </row>
    <row r="555" spans="3:24" ht="15.75" customHeight="1" x14ac:dyDescent="0.2">
      <c r="C555" s="107"/>
      <c r="E555" s="108"/>
      <c r="F555" s="109"/>
      <c r="T555" s="109"/>
      <c r="U555" s="109"/>
      <c r="V555" s="113"/>
      <c r="W555" s="109"/>
      <c r="X555" s="114"/>
    </row>
    <row r="556" spans="3:24" ht="15.75" customHeight="1" x14ac:dyDescent="0.2">
      <c r="C556" s="107"/>
      <c r="E556" s="108"/>
      <c r="F556" s="109"/>
      <c r="T556" s="109"/>
      <c r="U556" s="109"/>
      <c r="V556" s="113"/>
      <c r="W556" s="109"/>
      <c r="X556" s="114"/>
    </row>
    <row r="557" spans="3:24" ht="15.75" customHeight="1" x14ac:dyDescent="0.2">
      <c r="C557" s="107"/>
      <c r="E557" s="108"/>
      <c r="F557" s="109"/>
      <c r="T557" s="109"/>
      <c r="U557" s="109"/>
      <c r="V557" s="113"/>
      <c r="W557" s="109"/>
      <c r="X557" s="114"/>
    </row>
    <row r="558" spans="3:24" ht="15.75" customHeight="1" x14ac:dyDescent="0.2">
      <c r="C558" s="107"/>
      <c r="E558" s="108"/>
      <c r="F558" s="109"/>
      <c r="T558" s="109"/>
      <c r="U558" s="109"/>
      <c r="V558" s="113"/>
      <c r="W558" s="109"/>
      <c r="X558" s="114"/>
    </row>
    <row r="559" spans="3:24" ht="15.75" customHeight="1" x14ac:dyDescent="0.2">
      <c r="C559" s="107"/>
      <c r="E559" s="108"/>
      <c r="F559" s="109"/>
      <c r="T559" s="109"/>
      <c r="U559" s="109"/>
      <c r="V559" s="113"/>
      <c r="W559" s="109"/>
      <c r="X559" s="114"/>
    </row>
    <row r="560" spans="3:24" ht="15.75" customHeight="1" x14ac:dyDescent="0.2">
      <c r="C560" s="107"/>
      <c r="E560" s="108"/>
      <c r="F560" s="109"/>
      <c r="T560" s="109"/>
      <c r="U560" s="109"/>
      <c r="V560" s="113"/>
      <c r="W560" s="109"/>
      <c r="X560" s="114"/>
    </row>
    <row r="561" spans="3:24" ht="15.75" customHeight="1" x14ac:dyDescent="0.2">
      <c r="C561" s="107"/>
      <c r="E561" s="108"/>
      <c r="F561" s="109"/>
      <c r="T561" s="109"/>
      <c r="U561" s="109"/>
      <c r="V561" s="113"/>
      <c r="W561" s="109"/>
      <c r="X561" s="114"/>
    </row>
    <row r="562" spans="3:24" ht="15.75" customHeight="1" x14ac:dyDescent="0.2">
      <c r="C562" s="107"/>
      <c r="E562" s="108"/>
      <c r="F562" s="109"/>
      <c r="T562" s="109"/>
      <c r="U562" s="109"/>
      <c r="V562" s="113"/>
      <c r="W562" s="109"/>
      <c r="X562" s="114"/>
    </row>
    <row r="563" spans="3:24" ht="15.75" customHeight="1" x14ac:dyDescent="0.2">
      <c r="C563" s="107"/>
      <c r="E563" s="108"/>
      <c r="F563" s="109"/>
      <c r="T563" s="109"/>
      <c r="U563" s="109"/>
      <c r="V563" s="113"/>
      <c r="W563" s="109"/>
      <c r="X563" s="114"/>
    </row>
    <row r="564" spans="3:24" ht="15.75" customHeight="1" x14ac:dyDescent="0.2">
      <c r="C564" s="107"/>
      <c r="E564" s="108"/>
      <c r="F564" s="109"/>
      <c r="T564" s="109"/>
      <c r="U564" s="109"/>
      <c r="V564" s="113"/>
      <c r="W564" s="109"/>
      <c r="X564" s="114"/>
    </row>
    <row r="565" spans="3:24" ht="15.75" customHeight="1" x14ac:dyDescent="0.2">
      <c r="C565" s="107"/>
      <c r="E565" s="108"/>
      <c r="F565" s="109"/>
      <c r="T565" s="109"/>
      <c r="U565" s="109"/>
      <c r="V565" s="113"/>
      <c r="W565" s="109"/>
      <c r="X565" s="114"/>
    </row>
    <row r="566" spans="3:24" ht="15.75" customHeight="1" x14ac:dyDescent="0.2">
      <c r="C566" s="107"/>
      <c r="E566" s="108"/>
      <c r="F566" s="109"/>
      <c r="T566" s="109"/>
      <c r="U566" s="109"/>
      <c r="V566" s="113"/>
      <c r="W566" s="109"/>
      <c r="X566" s="114"/>
    </row>
    <row r="567" spans="3:24" ht="15.75" customHeight="1" x14ac:dyDescent="0.2">
      <c r="C567" s="107"/>
      <c r="E567" s="108"/>
      <c r="F567" s="109"/>
      <c r="T567" s="109"/>
      <c r="U567" s="109"/>
      <c r="V567" s="113"/>
      <c r="W567" s="109"/>
      <c r="X567" s="114"/>
    </row>
    <row r="568" spans="3:24" ht="15.75" customHeight="1" x14ac:dyDescent="0.2">
      <c r="C568" s="107"/>
      <c r="E568" s="108"/>
      <c r="F568" s="109"/>
      <c r="T568" s="109"/>
      <c r="U568" s="109"/>
      <c r="V568" s="113"/>
      <c r="W568" s="109"/>
      <c r="X568" s="114"/>
    </row>
    <row r="569" spans="3:24" ht="15.75" customHeight="1" x14ac:dyDescent="0.2">
      <c r="C569" s="107"/>
      <c r="E569" s="108"/>
      <c r="F569" s="109"/>
      <c r="T569" s="109"/>
      <c r="U569" s="109"/>
      <c r="V569" s="113"/>
      <c r="W569" s="109"/>
      <c r="X569" s="114"/>
    </row>
    <row r="570" spans="3:24" ht="15.75" customHeight="1" x14ac:dyDescent="0.2">
      <c r="C570" s="107"/>
      <c r="E570" s="108"/>
      <c r="F570" s="109"/>
      <c r="T570" s="109"/>
      <c r="U570" s="109"/>
      <c r="V570" s="113"/>
      <c r="W570" s="109"/>
      <c r="X570" s="114"/>
    </row>
    <row r="571" spans="3:24" ht="15.75" customHeight="1" x14ac:dyDescent="0.2">
      <c r="C571" s="107"/>
      <c r="E571" s="108"/>
      <c r="F571" s="109"/>
      <c r="T571" s="109"/>
      <c r="U571" s="109"/>
      <c r="V571" s="113"/>
      <c r="W571" s="109"/>
      <c r="X571" s="114"/>
    </row>
    <row r="572" spans="3:24" ht="15.75" customHeight="1" x14ac:dyDescent="0.2">
      <c r="C572" s="107"/>
      <c r="E572" s="108"/>
      <c r="F572" s="109"/>
      <c r="T572" s="109"/>
      <c r="U572" s="109"/>
      <c r="V572" s="113"/>
      <c r="W572" s="109"/>
      <c r="X572" s="114"/>
    </row>
    <row r="573" spans="3:24" ht="15.75" customHeight="1" x14ac:dyDescent="0.2">
      <c r="C573" s="107"/>
      <c r="E573" s="108"/>
      <c r="F573" s="109"/>
      <c r="T573" s="109"/>
      <c r="U573" s="109"/>
      <c r="V573" s="113"/>
      <c r="W573" s="109"/>
      <c r="X573" s="114"/>
    </row>
    <row r="574" spans="3:24" ht="15.75" customHeight="1" x14ac:dyDescent="0.2">
      <c r="C574" s="107"/>
      <c r="E574" s="108"/>
      <c r="F574" s="109"/>
      <c r="T574" s="109"/>
      <c r="U574" s="109"/>
      <c r="V574" s="113"/>
      <c r="W574" s="109"/>
      <c r="X574" s="114"/>
    </row>
    <row r="575" spans="3:24" ht="15.75" customHeight="1" x14ac:dyDescent="0.2">
      <c r="C575" s="107"/>
      <c r="E575" s="108"/>
      <c r="F575" s="109"/>
      <c r="T575" s="109"/>
      <c r="U575" s="109"/>
      <c r="V575" s="113"/>
      <c r="W575" s="109"/>
      <c r="X575" s="114"/>
    </row>
    <row r="576" spans="3:24" ht="15.75" customHeight="1" x14ac:dyDescent="0.2">
      <c r="C576" s="107"/>
      <c r="E576" s="108"/>
      <c r="F576" s="109"/>
      <c r="T576" s="109"/>
      <c r="U576" s="109"/>
      <c r="V576" s="113"/>
      <c r="W576" s="109"/>
      <c r="X576" s="114"/>
    </row>
    <row r="577" spans="3:24" ht="15.75" customHeight="1" x14ac:dyDescent="0.2">
      <c r="C577" s="107"/>
      <c r="E577" s="108"/>
      <c r="F577" s="109"/>
      <c r="T577" s="109"/>
      <c r="U577" s="109"/>
      <c r="V577" s="113"/>
      <c r="W577" s="109"/>
      <c r="X577" s="114"/>
    </row>
    <row r="578" spans="3:24" ht="15.75" customHeight="1" x14ac:dyDescent="0.2">
      <c r="C578" s="107"/>
      <c r="E578" s="108"/>
      <c r="F578" s="109"/>
      <c r="T578" s="109"/>
      <c r="U578" s="109"/>
      <c r="V578" s="113"/>
      <c r="W578" s="109"/>
      <c r="X578" s="114"/>
    </row>
    <row r="579" spans="3:24" ht="15.75" customHeight="1" x14ac:dyDescent="0.2">
      <c r="C579" s="107"/>
      <c r="E579" s="108"/>
      <c r="F579" s="109"/>
      <c r="T579" s="109"/>
      <c r="U579" s="109"/>
      <c r="V579" s="113"/>
      <c r="W579" s="109"/>
      <c r="X579" s="114"/>
    </row>
    <row r="580" spans="3:24" ht="15.75" customHeight="1" x14ac:dyDescent="0.2">
      <c r="C580" s="107"/>
      <c r="E580" s="108"/>
      <c r="F580" s="109"/>
      <c r="T580" s="109"/>
      <c r="U580" s="109"/>
      <c r="V580" s="113"/>
      <c r="W580" s="109"/>
      <c r="X580" s="114"/>
    </row>
    <row r="581" spans="3:24" ht="15.75" customHeight="1" x14ac:dyDescent="0.2">
      <c r="C581" s="107"/>
      <c r="E581" s="108"/>
      <c r="F581" s="109"/>
      <c r="T581" s="109"/>
      <c r="U581" s="109"/>
      <c r="V581" s="113"/>
      <c r="W581" s="109"/>
      <c r="X581" s="114"/>
    </row>
    <row r="582" spans="3:24" ht="15.75" customHeight="1" x14ac:dyDescent="0.2">
      <c r="C582" s="107"/>
      <c r="E582" s="108"/>
      <c r="F582" s="109"/>
      <c r="T582" s="109"/>
      <c r="U582" s="109"/>
      <c r="V582" s="113"/>
      <c r="W582" s="109"/>
      <c r="X582" s="114"/>
    </row>
    <row r="583" spans="3:24" ht="15.75" customHeight="1" x14ac:dyDescent="0.2">
      <c r="C583" s="107"/>
      <c r="E583" s="108"/>
      <c r="F583" s="109"/>
      <c r="T583" s="109"/>
      <c r="U583" s="109"/>
      <c r="V583" s="113"/>
      <c r="W583" s="109"/>
      <c r="X583" s="114"/>
    </row>
    <row r="584" spans="3:24" ht="15.75" customHeight="1" x14ac:dyDescent="0.2">
      <c r="C584" s="107"/>
      <c r="E584" s="108"/>
      <c r="F584" s="109"/>
      <c r="T584" s="109"/>
      <c r="U584" s="109"/>
      <c r="V584" s="113"/>
      <c r="W584" s="109"/>
      <c r="X584" s="114"/>
    </row>
    <row r="585" spans="3:24" ht="15.75" customHeight="1" x14ac:dyDescent="0.2">
      <c r="C585" s="107"/>
      <c r="E585" s="108"/>
      <c r="F585" s="109"/>
      <c r="T585" s="109"/>
      <c r="U585" s="109"/>
      <c r="V585" s="113"/>
      <c r="W585" s="109"/>
      <c r="X585" s="114"/>
    </row>
    <row r="586" spans="3:24" ht="15.75" customHeight="1" x14ac:dyDescent="0.2">
      <c r="C586" s="107"/>
      <c r="E586" s="108"/>
      <c r="F586" s="109"/>
      <c r="T586" s="109"/>
      <c r="U586" s="109"/>
      <c r="V586" s="113"/>
      <c r="W586" s="109"/>
      <c r="X586" s="114"/>
    </row>
    <row r="587" spans="3:24" ht="15.75" customHeight="1" x14ac:dyDescent="0.2">
      <c r="C587" s="107"/>
      <c r="E587" s="108"/>
      <c r="F587" s="109"/>
      <c r="T587" s="109"/>
      <c r="U587" s="109"/>
      <c r="V587" s="113"/>
      <c r="W587" s="109"/>
      <c r="X587" s="114"/>
    </row>
    <row r="588" spans="3:24" ht="15.75" customHeight="1" x14ac:dyDescent="0.2">
      <c r="C588" s="107"/>
      <c r="E588" s="108"/>
      <c r="F588" s="109"/>
      <c r="T588" s="109"/>
      <c r="U588" s="109"/>
      <c r="V588" s="113"/>
      <c r="W588" s="109"/>
      <c r="X588" s="114"/>
    </row>
    <row r="589" spans="3:24" ht="15.75" customHeight="1" x14ac:dyDescent="0.2">
      <c r="C589" s="107"/>
      <c r="E589" s="108"/>
      <c r="F589" s="109"/>
      <c r="T589" s="109"/>
      <c r="U589" s="109"/>
      <c r="V589" s="113"/>
      <c r="W589" s="109"/>
      <c r="X589" s="114"/>
    </row>
    <row r="590" spans="3:24" ht="15.75" customHeight="1" x14ac:dyDescent="0.2">
      <c r="C590" s="107"/>
      <c r="E590" s="108"/>
      <c r="F590" s="109"/>
      <c r="T590" s="109"/>
      <c r="U590" s="109"/>
      <c r="V590" s="113"/>
      <c r="W590" s="109"/>
      <c r="X590" s="114"/>
    </row>
    <row r="591" spans="3:24" ht="15.75" customHeight="1" x14ac:dyDescent="0.2">
      <c r="C591" s="107"/>
      <c r="E591" s="108"/>
      <c r="F591" s="109"/>
      <c r="T591" s="109"/>
      <c r="U591" s="109"/>
      <c r="V591" s="113"/>
      <c r="W591" s="109"/>
      <c r="X591" s="114"/>
    </row>
    <row r="592" spans="3:24" ht="15.75" customHeight="1" x14ac:dyDescent="0.2">
      <c r="C592" s="107"/>
      <c r="E592" s="108"/>
      <c r="F592" s="109"/>
      <c r="T592" s="109"/>
      <c r="U592" s="109"/>
      <c r="V592" s="113"/>
      <c r="W592" s="109"/>
      <c r="X592" s="114"/>
    </row>
    <row r="593" spans="3:24" ht="15.75" customHeight="1" x14ac:dyDescent="0.2">
      <c r="C593" s="107"/>
      <c r="E593" s="108"/>
      <c r="F593" s="109"/>
      <c r="T593" s="109"/>
      <c r="U593" s="109"/>
      <c r="V593" s="113"/>
      <c r="W593" s="109"/>
      <c r="X593" s="114"/>
    </row>
    <row r="594" spans="3:24" ht="15.75" customHeight="1" x14ac:dyDescent="0.2">
      <c r="C594" s="107"/>
      <c r="E594" s="108"/>
      <c r="F594" s="109"/>
      <c r="T594" s="109"/>
      <c r="U594" s="109"/>
      <c r="V594" s="113"/>
      <c r="W594" s="109"/>
      <c r="X594" s="114"/>
    </row>
    <row r="595" spans="3:24" ht="15.75" customHeight="1" x14ac:dyDescent="0.2">
      <c r="C595" s="107"/>
      <c r="E595" s="108"/>
      <c r="F595" s="109"/>
      <c r="T595" s="109"/>
      <c r="U595" s="109"/>
      <c r="V595" s="113"/>
      <c r="W595" s="109"/>
      <c r="X595" s="114"/>
    </row>
    <row r="596" spans="3:24" ht="15.75" customHeight="1" x14ac:dyDescent="0.2">
      <c r="C596" s="107"/>
      <c r="E596" s="108"/>
      <c r="F596" s="109"/>
      <c r="T596" s="109"/>
      <c r="U596" s="109"/>
      <c r="V596" s="113"/>
      <c r="W596" s="109"/>
      <c r="X596" s="114"/>
    </row>
    <row r="597" spans="3:24" ht="15.75" customHeight="1" x14ac:dyDescent="0.2">
      <c r="C597" s="107"/>
      <c r="E597" s="108"/>
      <c r="F597" s="109"/>
      <c r="T597" s="109"/>
      <c r="U597" s="109"/>
      <c r="V597" s="113"/>
      <c r="W597" s="109"/>
      <c r="X597" s="114"/>
    </row>
    <row r="598" spans="3:24" ht="15.75" customHeight="1" x14ac:dyDescent="0.2">
      <c r="C598" s="107"/>
      <c r="E598" s="108"/>
      <c r="F598" s="109"/>
      <c r="T598" s="109"/>
      <c r="U598" s="109"/>
      <c r="V598" s="113"/>
      <c r="W598" s="109"/>
      <c r="X598" s="114"/>
    </row>
    <row r="599" spans="3:24" ht="15.75" customHeight="1" x14ac:dyDescent="0.2">
      <c r="C599" s="107"/>
      <c r="E599" s="108"/>
      <c r="F599" s="109"/>
      <c r="T599" s="109"/>
      <c r="U599" s="109"/>
      <c r="V599" s="113"/>
      <c r="W599" s="109"/>
      <c r="X599" s="114"/>
    </row>
    <row r="600" spans="3:24" ht="15.75" customHeight="1" x14ac:dyDescent="0.2">
      <c r="C600" s="107"/>
      <c r="E600" s="108"/>
      <c r="F600" s="109"/>
      <c r="T600" s="109"/>
      <c r="U600" s="109"/>
      <c r="V600" s="113"/>
      <c r="W600" s="109"/>
      <c r="X600" s="114"/>
    </row>
    <row r="601" spans="3:24" ht="15.75" customHeight="1" x14ac:dyDescent="0.2">
      <c r="C601" s="107"/>
      <c r="E601" s="108"/>
      <c r="F601" s="109"/>
      <c r="T601" s="109"/>
      <c r="U601" s="109"/>
      <c r="V601" s="113"/>
      <c r="W601" s="109"/>
      <c r="X601" s="114"/>
    </row>
    <row r="602" spans="3:24" ht="15.75" customHeight="1" x14ac:dyDescent="0.2">
      <c r="C602" s="107"/>
      <c r="E602" s="108"/>
      <c r="F602" s="109"/>
      <c r="T602" s="109"/>
      <c r="U602" s="109"/>
      <c r="V602" s="113"/>
      <c r="W602" s="109"/>
      <c r="X602" s="114"/>
    </row>
    <row r="603" spans="3:24" ht="15.75" customHeight="1" x14ac:dyDescent="0.2">
      <c r="C603" s="107"/>
      <c r="E603" s="108"/>
      <c r="F603" s="109"/>
      <c r="T603" s="109"/>
      <c r="U603" s="109"/>
      <c r="V603" s="113"/>
      <c r="W603" s="109"/>
      <c r="X603" s="114"/>
    </row>
    <row r="604" spans="3:24" ht="15.75" customHeight="1" x14ac:dyDescent="0.2">
      <c r="C604" s="107"/>
      <c r="E604" s="108"/>
      <c r="F604" s="109"/>
      <c r="T604" s="109"/>
      <c r="U604" s="109"/>
      <c r="V604" s="113"/>
      <c r="W604" s="109"/>
      <c r="X604" s="114"/>
    </row>
    <row r="605" spans="3:24" ht="15.75" customHeight="1" x14ac:dyDescent="0.2">
      <c r="C605" s="107"/>
      <c r="E605" s="108"/>
      <c r="F605" s="109"/>
      <c r="T605" s="109"/>
      <c r="U605" s="109"/>
      <c r="V605" s="113"/>
      <c r="W605" s="109"/>
      <c r="X605" s="114"/>
    </row>
    <row r="606" spans="3:24" ht="15.75" customHeight="1" x14ac:dyDescent="0.2">
      <c r="C606" s="107"/>
      <c r="E606" s="108"/>
      <c r="F606" s="109"/>
      <c r="T606" s="109"/>
      <c r="U606" s="109"/>
      <c r="V606" s="113"/>
      <c r="W606" s="109"/>
      <c r="X606" s="114"/>
    </row>
    <row r="607" spans="3:24" ht="15.75" customHeight="1" x14ac:dyDescent="0.2">
      <c r="C607" s="107"/>
      <c r="E607" s="108"/>
      <c r="F607" s="109"/>
      <c r="T607" s="109"/>
      <c r="U607" s="109"/>
      <c r="V607" s="113"/>
      <c r="W607" s="109"/>
      <c r="X607" s="114"/>
    </row>
    <row r="608" spans="3:24" ht="15.75" customHeight="1" x14ac:dyDescent="0.2">
      <c r="C608" s="107"/>
      <c r="E608" s="108"/>
      <c r="F608" s="109"/>
      <c r="T608" s="109"/>
      <c r="U608" s="109"/>
      <c r="V608" s="113"/>
      <c r="W608" s="109"/>
      <c r="X608" s="114"/>
    </row>
    <row r="609" spans="3:24" ht="15.75" customHeight="1" x14ac:dyDescent="0.2">
      <c r="C609" s="107"/>
      <c r="E609" s="108"/>
      <c r="F609" s="109"/>
      <c r="T609" s="109"/>
      <c r="U609" s="109"/>
      <c r="V609" s="113"/>
      <c r="W609" s="109"/>
      <c r="X609" s="114"/>
    </row>
    <row r="610" spans="3:24" ht="15.75" customHeight="1" x14ac:dyDescent="0.2">
      <c r="C610" s="107"/>
      <c r="E610" s="108"/>
      <c r="F610" s="109"/>
      <c r="T610" s="109"/>
      <c r="U610" s="109"/>
      <c r="V610" s="113"/>
      <c r="W610" s="109"/>
      <c r="X610" s="114"/>
    </row>
    <row r="611" spans="3:24" ht="15.75" customHeight="1" x14ac:dyDescent="0.2">
      <c r="C611" s="107"/>
      <c r="E611" s="108"/>
      <c r="F611" s="109"/>
      <c r="T611" s="109"/>
      <c r="U611" s="109"/>
      <c r="V611" s="113"/>
      <c r="W611" s="109"/>
      <c r="X611" s="114"/>
    </row>
    <row r="612" spans="3:24" ht="15.75" customHeight="1" x14ac:dyDescent="0.2">
      <c r="C612" s="107"/>
      <c r="E612" s="108"/>
      <c r="F612" s="109"/>
      <c r="T612" s="109"/>
      <c r="U612" s="109"/>
      <c r="V612" s="113"/>
      <c r="W612" s="109"/>
      <c r="X612" s="114"/>
    </row>
    <row r="613" spans="3:24" ht="15.75" customHeight="1" x14ac:dyDescent="0.2">
      <c r="C613" s="107"/>
      <c r="E613" s="108"/>
      <c r="F613" s="109"/>
      <c r="T613" s="109"/>
      <c r="U613" s="109"/>
      <c r="V613" s="113"/>
      <c r="W613" s="109"/>
      <c r="X613" s="114"/>
    </row>
    <row r="614" spans="3:24" ht="15.75" customHeight="1" x14ac:dyDescent="0.2">
      <c r="C614" s="107"/>
      <c r="E614" s="108"/>
      <c r="F614" s="109"/>
      <c r="T614" s="109"/>
      <c r="U614" s="109"/>
      <c r="V614" s="113"/>
      <c r="W614" s="109"/>
      <c r="X614" s="114"/>
    </row>
    <row r="615" spans="3:24" ht="15.75" customHeight="1" x14ac:dyDescent="0.2">
      <c r="C615" s="107"/>
      <c r="E615" s="108"/>
      <c r="F615" s="109"/>
      <c r="T615" s="109"/>
      <c r="U615" s="109"/>
      <c r="V615" s="113"/>
      <c r="W615" s="109"/>
      <c r="X615" s="114"/>
    </row>
    <row r="616" spans="3:24" ht="15.75" customHeight="1" x14ac:dyDescent="0.2">
      <c r="C616" s="107"/>
      <c r="E616" s="108"/>
      <c r="F616" s="109"/>
      <c r="T616" s="109"/>
      <c r="U616" s="109"/>
      <c r="V616" s="113"/>
      <c r="W616" s="109"/>
      <c r="X616" s="114"/>
    </row>
    <row r="617" spans="3:24" ht="15.75" customHeight="1" x14ac:dyDescent="0.2">
      <c r="C617" s="107"/>
      <c r="E617" s="108"/>
      <c r="F617" s="109"/>
      <c r="T617" s="109"/>
      <c r="U617" s="109"/>
      <c r="V617" s="113"/>
      <c r="W617" s="109"/>
      <c r="X617" s="114"/>
    </row>
    <row r="618" spans="3:24" ht="15.75" customHeight="1" x14ac:dyDescent="0.2">
      <c r="C618" s="107"/>
      <c r="E618" s="108"/>
      <c r="F618" s="109"/>
      <c r="T618" s="109"/>
      <c r="U618" s="109"/>
      <c r="V618" s="113"/>
      <c r="W618" s="109"/>
      <c r="X618" s="114"/>
    </row>
    <row r="619" spans="3:24" ht="15.75" customHeight="1" x14ac:dyDescent="0.2">
      <c r="C619" s="107"/>
      <c r="E619" s="108"/>
      <c r="F619" s="109"/>
      <c r="T619" s="109"/>
      <c r="U619" s="109"/>
      <c r="V619" s="113"/>
      <c r="W619" s="109"/>
      <c r="X619" s="114"/>
    </row>
    <row r="620" spans="3:24" ht="15.75" customHeight="1" x14ac:dyDescent="0.2">
      <c r="C620" s="107"/>
      <c r="E620" s="108"/>
      <c r="F620" s="109"/>
      <c r="T620" s="109"/>
      <c r="U620" s="109"/>
      <c r="V620" s="113"/>
      <c r="W620" s="109"/>
      <c r="X620" s="114"/>
    </row>
    <row r="621" spans="3:24" ht="15.75" customHeight="1" x14ac:dyDescent="0.2">
      <c r="C621" s="107"/>
      <c r="E621" s="108"/>
      <c r="F621" s="109"/>
      <c r="T621" s="109"/>
      <c r="U621" s="109"/>
      <c r="V621" s="113"/>
      <c r="W621" s="109"/>
      <c r="X621" s="114"/>
    </row>
    <row r="622" spans="3:24" ht="15.75" customHeight="1" x14ac:dyDescent="0.2">
      <c r="C622" s="107"/>
      <c r="E622" s="108"/>
      <c r="F622" s="109"/>
      <c r="T622" s="109"/>
      <c r="U622" s="109"/>
      <c r="V622" s="113"/>
      <c r="W622" s="109"/>
      <c r="X622" s="114"/>
    </row>
    <row r="623" spans="3:24" ht="15.75" customHeight="1" x14ac:dyDescent="0.2">
      <c r="C623" s="107"/>
      <c r="E623" s="108"/>
      <c r="F623" s="109"/>
      <c r="T623" s="109"/>
      <c r="U623" s="109"/>
      <c r="V623" s="113"/>
      <c r="W623" s="109"/>
      <c r="X623" s="114"/>
    </row>
    <row r="624" spans="3:24" ht="15.75" customHeight="1" x14ac:dyDescent="0.2">
      <c r="C624" s="107"/>
      <c r="E624" s="108"/>
      <c r="F624" s="109"/>
      <c r="T624" s="109"/>
      <c r="U624" s="109"/>
      <c r="V624" s="113"/>
      <c r="W624" s="109"/>
      <c r="X624" s="114"/>
    </row>
    <row r="625" spans="3:24" ht="15.75" customHeight="1" x14ac:dyDescent="0.2">
      <c r="C625" s="107"/>
      <c r="E625" s="108"/>
      <c r="F625" s="109"/>
      <c r="T625" s="109"/>
      <c r="U625" s="109"/>
      <c r="V625" s="113"/>
      <c r="W625" s="109"/>
      <c r="X625" s="114"/>
    </row>
    <row r="626" spans="3:24" ht="15.75" customHeight="1" x14ac:dyDescent="0.2">
      <c r="C626" s="107"/>
      <c r="E626" s="108"/>
      <c r="F626" s="109"/>
      <c r="T626" s="109"/>
      <c r="U626" s="109"/>
      <c r="V626" s="113"/>
      <c r="W626" s="109"/>
      <c r="X626" s="114"/>
    </row>
    <row r="627" spans="3:24" ht="15.75" customHeight="1" x14ac:dyDescent="0.2">
      <c r="C627" s="107"/>
      <c r="E627" s="108"/>
      <c r="F627" s="109"/>
      <c r="T627" s="109"/>
      <c r="U627" s="109"/>
      <c r="V627" s="113"/>
      <c r="W627" s="109"/>
      <c r="X627" s="114"/>
    </row>
    <row r="628" spans="3:24" ht="15.75" customHeight="1" x14ac:dyDescent="0.2">
      <c r="C628" s="107"/>
      <c r="E628" s="108"/>
      <c r="F628" s="109"/>
      <c r="T628" s="109"/>
      <c r="U628" s="109"/>
      <c r="V628" s="113"/>
      <c r="W628" s="109"/>
      <c r="X628" s="114"/>
    </row>
    <row r="629" spans="3:24" ht="15.75" customHeight="1" x14ac:dyDescent="0.2">
      <c r="C629" s="107"/>
      <c r="E629" s="108"/>
      <c r="F629" s="109"/>
      <c r="T629" s="109"/>
      <c r="U629" s="109"/>
      <c r="V629" s="113"/>
      <c r="W629" s="109"/>
      <c r="X629" s="114"/>
    </row>
    <row r="630" spans="3:24" ht="15.75" customHeight="1" x14ac:dyDescent="0.2">
      <c r="C630" s="107"/>
      <c r="E630" s="108"/>
      <c r="F630" s="109"/>
      <c r="T630" s="109"/>
      <c r="U630" s="109"/>
      <c r="V630" s="113"/>
      <c r="W630" s="109"/>
      <c r="X630" s="114"/>
    </row>
    <row r="631" spans="3:24" ht="15.75" customHeight="1" x14ac:dyDescent="0.2">
      <c r="C631" s="107"/>
      <c r="E631" s="108"/>
      <c r="F631" s="109"/>
      <c r="T631" s="109"/>
      <c r="U631" s="109"/>
      <c r="V631" s="113"/>
      <c r="W631" s="109"/>
      <c r="X631" s="114"/>
    </row>
    <row r="632" spans="3:24" ht="15.75" customHeight="1" x14ac:dyDescent="0.2">
      <c r="C632" s="107"/>
      <c r="E632" s="108"/>
      <c r="F632" s="109"/>
      <c r="T632" s="109"/>
      <c r="U632" s="109"/>
      <c r="V632" s="113"/>
      <c r="W632" s="109"/>
      <c r="X632" s="114"/>
    </row>
    <row r="633" spans="3:24" ht="15.75" customHeight="1" x14ac:dyDescent="0.2">
      <c r="C633" s="107"/>
      <c r="E633" s="108"/>
      <c r="F633" s="109"/>
      <c r="T633" s="109"/>
      <c r="U633" s="109"/>
      <c r="V633" s="113"/>
      <c r="W633" s="109"/>
      <c r="X633" s="114"/>
    </row>
    <row r="634" spans="3:24" ht="15.75" customHeight="1" x14ac:dyDescent="0.2">
      <c r="C634" s="107"/>
      <c r="E634" s="108"/>
      <c r="F634" s="109"/>
      <c r="T634" s="109"/>
      <c r="U634" s="109"/>
      <c r="V634" s="113"/>
      <c r="W634" s="109"/>
      <c r="X634" s="114"/>
    </row>
    <row r="635" spans="3:24" ht="15.75" customHeight="1" x14ac:dyDescent="0.2">
      <c r="C635" s="107"/>
      <c r="E635" s="108"/>
      <c r="F635" s="109"/>
      <c r="T635" s="109"/>
      <c r="U635" s="109"/>
      <c r="V635" s="113"/>
      <c r="W635" s="109"/>
      <c r="X635" s="114"/>
    </row>
    <row r="636" spans="3:24" ht="15.75" customHeight="1" x14ac:dyDescent="0.2">
      <c r="C636" s="107"/>
      <c r="E636" s="108"/>
      <c r="F636" s="109"/>
      <c r="T636" s="109"/>
      <c r="U636" s="109"/>
      <c r="V636" s="113"/>
      <c r="W636" s="109"/>
      <c r="X636" s="114"/>
    </row>
    <row r="637" spans="3:24" ht="15.75" customHeight="1" x14ac:dyDescent="0.2">
      <c r="C637" s="107"/>
      <c r="E637" s="108"/>
      <c r="F637" s="109"/>
      <c r="T637" s="109"/>
      <c r="U637" s="109"/>
      <c r="V637" s="113"/>
      <c r="W637" s="109"/>
      <c r="X637" s="114"/>
    </row>
    <row r="638" spans="3:24" ht="15.75" customHeight="1" x14ac:dyDescent="0.2">
      <c r="C638" s="107"/>
      <c r="E638" s="108"/>
      <c r="F638" s="109"/>
      <c r="T638" s="109"/>
      <c r="U638" s="109"/>
      <c r="V638" s="113"/>
      <c r="W638" s="109"/>
      <c r="X638" s="114"/>
    </row>
    <row r="639" spans="3:24" ht="15.75" customHeight="1" x14ac:dyDescent="0.2">
      <c r="C639" s="107"/>
      <c r="E639" s="108"/>
      <c r="F639" s="109"/>
      <c r="T639" s="109"/>
      <c r="U639" s="109"/>
      <c r="V639" s="113"/>
      <c r="W639" s="109"/>
      <c r="X639" s="114"/>
    </row>
    <row r="640" spans="3:24" ht="15.75" customHeight="1" x14ac:dyDescent="0.2">
      <c r="C640" s="107"/>
      <c r="E640" s="108"/>
      <c r="F640" s="109"/>
      <c r="T640" s="109"/>
      <c r="U640" s="109"/>
      <c r="V640" s="113"/>
      <c r="W640" s="109"/>
      <c r="X640" s="114"/>
    </row>
    <row r="641" spans="3:24" ht="15.75" customHeight="1" x14ac:dyDescent="0.2">
      <c r="C641" s="107"/>
      <c r="E641" s="108"/>
      <c r="F641" s="109"/>
      <c r="T641" s="109"/>
      <c r="U641" s="109"/>
      <c r="V641" s="113"/>
      <c r="W641" s="109"/>
      <c r="X641" s="114"/>
    </row>
    <row r="642" spans="3:24" ht="15.75" customHeight="1" x14ac:dyDescent="0.2">
      <c r="C642" s="107"/>
      <c r="E642" s="108"/>
      <c r="F642" s="109"/>
      <c r="T642" s="109"/>
      <c r="U642" s="109"/>
      <c r="V642" s="113"/>
      <c r="W642" s="109"/>
      <c r="X642" s="114"/>
    </row>
    <row r="643" spans="3:24" ht="15.75" customHeight="1" x14ac:dyDescent="0.2">
      <c r="C643" s="107"/>
      <c r="E643" s="108"/>
      <c r="F643" s="109"/>
      <c r="T643" s="109"/>
      <c r="U643" s="109"/>
      <c r="V643" s="113"/>
      <c r="W643" s="109"/>
      <c r="X643" s="114"/>
    </row>
    <row r="644" spans="3:24" ht="15.75" customHeight="1" x14ac:dyDescent="0.2">
      <c r="C644" s="107"/>
      <c r="E644" s="108"/>
      <c r="F644" s="109"/>
      <c r="T644" s="109"/>
      <c r="U644" s="109"/>
      <c r="V644" s="113"/>
      <c r="W644" s="109"/>
      <c r="X644" s="114"/>
    </row>
    <row r="645" spans="3:24" ht="15.75" customHeight="1" x14ac:dyDescent="0.2">
      <c r="C645" s="107"/>
      <c r="E645" s="108"/>
      <c r="F645" s="109"/>
      <c r="T645" s="109"/>
      <c r="U645" s="109"/>
      <c r="V645" s="113"/>
      <c r="W645" s="109"/>
      <c r="X645" s="114"/>
    </row>
    <row r="646" spans="3:24" ht="15.75" customHeight="1" x14ac:dyDescent="0.2">
      <c r="C646" s="107"/>
      <c r="E646" s="108"/>
      <c r="F646" s="109"/>
      <c r="T646" s="109"/>
      <c r="U646" s="109"/>
      <c r="V646" s="113"/>
      <c r="W646" s="109"/>
      <c r="X646" s="114"/>
    </row>
    <row r="647" spans="3:24" ht="15.75" customHeight="1" x14ac:dyDescent="0.2">
      <c r="C647" s="107"/>
      <c r="E647" s="108"/>
      <c r="F647" s="109"/>
      <c r="T647" s="109"/>
      <c r="U647" s="109"/>
      <c r="V647" s="113"/>
      <c r="W647" s="109"/>
      <c r="X647" s="114"/>
    </row>
    <row r="648" spans="3:24" ht="15.75" customHeight="1" x14ac:dyDescent="0.2">
      <c r="C648" s="107"/>
      <c r="E648" s="108"/>
      <c r="F648" s="109"/>
      <c r="T648" s="109"/>
      <c r="U648" s="109"/>
      <c r="V648" s="113"/>
      <c r="W648" s="109"/>
      <c r="X648" s="114"/>
    </row>
    <row r="649" spans="3:24" ht="15.75" customHeight="1" x14ac:dyDescent="0.2">
      <c r="C649" s="107"/>
      <c r="E649" s="108"/>
      <c r="F649" s="109"/>
      <c r="T649" s="109"/>
      <c r="U649" s="109"/>
      <c r="V649" s="113"/>
      <c r="W649" s="109"/>
      <c r="X649" s="114"/>
    </row>
    <row r="650" spans="3:24" ht="15.75" customHeight="1" x14ac:dyDescent="0.2">
      <c r="C650" s="107"/>
      <c r="E650" s="108"/>
      <c r="F650" s="109"/>
      <c r="T650" s="109"/>
      <c r="U650" s="109"/>
      <c r="V650" s="113"/>
      <c r="W650" s="109"/>
      <c r="X650" s="114"/>
    </row>
    <row r="651" spans="3:24" ht="15.75" customHeight="1" x14ac:dyDescent="0.2">
      <c r="C651" s="107"/>
      <c r="E651" s="108"/>
      <c r="F651" s="109"/>
      <c r="T651" s="109"/>
      <c r="U651" s="109"/>
      <c r="V651" s="113"/>
      <c r="W651" s="109"/>
      <c r="X651" s="114"/>
    </row>
    <row r="652" spans="3:24" ht="15.75" customHeight="1" x14ac:dyDescent="0.2">
      <c r="C652" s="107"/>
      <c r="E652" s="108"/>
      <c r="F652" s="109"/>
      <c r="T652" s="109"/>
      <c r="U652" s="109"/>
      <c r="V652" s="113"/>
      <c r="W652" s="109"/>
      <c r="X652" s="114"/>
    </row>
    <row r="653" spans="3:24" ht="15.75" customHeight="1" x14ac:dyDescent="0.2">
      <c r="C653" s="107"/>
      <c r="E653" s="108"/>
      <c r="F653" s="109"/>
      <c r="T653" s="109"/>
      <c r="U653" s="109"/>
      <c r="V653" s="113"/>
      <c r="W653" s="109"/>
      <c r="X653" s="114"/>
    </row>
    <row r="654" spans="3:24" ht="15.75" customHeight="1" x14ac:dyDescent="0.2">
      <c r="C654" s="107"/>
      <c r="E654" s="108"/>
      <c r="F654" s="109"/>
      <c r="T654" s="109"/>
      <c r="U654" s="109"/>
      <c r="V654" s="113"/>
      <c r="W654" s="109"/>
      <c r="X654" s="114"/>
    </row>
    <row r="655" spans="3:24" ht="15.75" customHeight="1" x14ac:dyDescent="0.2">
      <c r="C655" s="107"/>
      <c r="E655" s="108"/>
      <c r="F655" s="109"/>
      <c r="T655" s="109"/>
      <c r="U655" s="109"/>
      <c r="V655" s="113"/>
      <c r="W655" s="109"/>
      <c r="X655" s="114"/>
    </row>
    <row r="656" spans="3:24" ht="15.75" customHeight="1" x14ac:dyDescent="0.2">
      <c r="C656" s="107"/>
      <c r="E656" s="108"/>
      <c r="F656" s="109"/>
      <c r="T656" s="109"/>
      <c r="U656" s="109"/>
      <c r="V656" s="113"/>
      <c r="W656" s="109"/>
      <c r="X656" s="114"/>
    </row>
    <row r="657" spans="3:24" ht="15.75" customHeight="1" x14ac:dyDescent="0.2">
      <c r="C657" s="107"/>
      <c r="E657" s="108"/>
      <c r="F657" s="109"/>
      <c r="T657" s="109"/>
      <c r="U657" s="109"/>
      <c r="V657" s="113"/>
      <c r="W657" s="109"/>
      <c r="X657" s="114"/>
    </row>
    <row r="658" spans="3:24" ht="15.75" customHeight="1" x14ac:dyDescent="0.2">
      <c r="C658" s="107"/>
      <c r="E658" s="108"/>
      <c r="F658" s="109"/>
      <c r="T658" s="109"/>
      <c r="U658" s="109"/>
      <c r="V658" s="113"/>
      <c r="W658" s="109"/>
      <c r="X658" s="114"/>
    </row>
    <row r="659" spans="3:24" ht="15.75" customHeight="1" x14ac:dyDescent="0.2">
      <c r="C659" s="107"/>
      <c r="E659" s="108"/>
      <c r="F659" s="109"/>
      <c r="T659" s="109"/>
      <c r="U659" s="109"/>
      <c r="V659" s="113"/>
      <c r="W659" s="109"/>
      <c r="X659" s="114"/>
    </row>
    <row r="660" spans="3:24" ht="15.75" customHeight="1" x14ac:dyDescent="0.2">
      <c r="C660" s="107"/>
      <c r="E660" s="108"/>
      <c r="F660" s="109"/>
      <c r="T660" s="109"/>
      <c r="U660" s="109"/>
      <c r="V660" s="113"/>
      <c r="W660" s="109"/>
      <c r="X660" s="114"/>
    </row>
    <row r="661" spans="3:24" ht="15.75" customHeight="1" x14ac:dyDescent="0.2">
      <c r="C661" s="107"/>
      <c r="E661" s="108"/>
      <c r="F661" s="109"/>
      <c r="T661" s="109"/>
      <c r="U661" s="109"/>
      <c r="V661" s="113"/>
      <c r="W661" s="109"/>
      <c r="X661" s="114"/>
    </row>
    <row r="662" spans="3:24" ht="15.75" customHeight="1" x14ac:dyDescent="0.2">
      <c r="C662" s="107"/>
      <c r="E662" s="108"/>
      <c r="F662" s="109"/>
      <c r="T662" s="109"/>
      <c r="U662" s="109"/>
      <c r="V662" s="113"/>
      <c r="W662" s="109"/>
      <c r="X662" s="114"/>
    </row>
    <row r="663" spans="3:24" ht="15.75" customHeight="1" x14ac:dyDescent="0.2">
      <c r="C663" s="107"/>
      <c r="E663" s="108"/>
      <c r="F663" s="109"/>
      <c r="T663" s="109"/>
      <c r="U663" s="109"/>
      <c r="V663" s="113"/>
      <c r="W663" s="109"/>
      <c r="X663" s="114"/>
    </row>
    <row r="664" spans="3:24" ht="15.75" customHeight="1" x14ac:dyDescent="0.2">
      <c r="C664" s="107"/>
      <c r="E664" s="108"/>
      <c r="F664" s="109"/>
      <c r="T664" s="109"/>
      <c r="U664" s="109"/>
      <c r="V664" s="113"/>
      <c r="W664" s="109"/>
      <c r="X664" s="114"/>
    </row>
    <row r="665" spans="3:24" ht="15.75" customHeight="1" x14ac:dyDescent="0.2">
      <c r="C665" s="107"/>
      <c r="E665" s="108"/>
      <c r="F665" s="109"/>
      <c r="T665" s="109"/>
      <c r="U665" s="109"/>
      <c r="V665" s="113"/>
      <c r="W665" s="109"/>
      <c r="X665" s="114"/>
    </row>
    <row r="666" spans="3:24" ht="15.75" customHeight="1" x14ac:dyDescent="0.2">
      <c r="C666" s="107"/>
      <c r="E666" s="108"/>
      <c r="F666" s="109"/>
      <c r="T666" s="109"/>
      <c r="U666" s="109"/>
      <c r="V666" s="113"/>
      <c r="W666" s="109"/>
      <c r="X666" s="114"/>
    </row>
    <row r="667" spans="3:24" ht="15.75" customHeight="1" x14ac:dyDescent="0.2">
      <c r="C667" s="107"/>
      <c r="E667" s="108"/>
      <c r="F667" s="109"/>
      <c r="T667" s="109"/>
      <c r="U667" s="109"/>
      <c r="V667" s="113"/>
      <c r="W667" s="109"/>
      <c r="X667" s="114"/>
    </row>
    <row r="668" spans="3:24" ht="15.75" customHeight="1" x14ac:dyDescent="0.2">
      <c r="C668" s="107"/>
      <c r="E668" s="108"/>
      <c r="F668" s="109"/>
      <c r="T668" s="109"/>
      <c r="U668" s="109"/>
      <c r="V668" s="113"/>
      <c r="W668" s="109"/>
      <c r="X668" s="114"/>
    </row>
    <row r="669" spans="3:24" ht="15.75" customHeight="1" x14ac:dyDescent="0.2">
      <c r="C669" s="107"/>
      <c r="E669" s="108"/>
      <c r="F669" s="109"/>
      <c r="T669" s="109"/>
      <c r="U669" s="109"/>
      <c r="V669" s="113"/>
      <c r="W669" s="109"/>
      <c r="X669" s="114"/>
    </row>
    <row r="670" spans="3:24" ht="15.75" customHeight="1" x14ac:dyDescent="0.2">
      <c r="C670" s="107"/>
      <c r="E670" s="108"/>
      <c r="F670" s="109"/>
      <c r="T670" s="109"/>
      <c r="U670" s="109"/>
      <c r="V670" s="113"/>
      <c r="W670" s="109"/>
      <c r="X670" s="114"/>
    </row>
    <row r="671" spans="3:24" ht="15.75" customHeight="1" x14ac:dyDescent="0.2">
      <c r="C671" s="107"/>
      <c r="E671" s="108"/>
      <c r="F671" s="109"/>
      <c r="T671" s="109"/>
      <c r="U671" s="109"/>
      <c r="V671" s="113"/>
      <c r="W671" s="109"/>
      <c r="X671" s="114"/>
    </row>
    <row r="672" spans="3:24" ht="15.75" customHeight="1" x14ac:dyDescent="0.2">
      <c r="C672" s="107"/>
      <c r="E672" s="108"/>
      <c r="F672" s="109"/>
      <c r="T672" s="109"/>
      <c r="U672" s="109"/>
      <c r="V672" s="113"/>
      <c r="W672" s="109"/>
      <c r="X672" s="114"/>
    </row>
    <row r="673" spans="3:24" ht="15.75" customHeight="1" x14ac:dyDescent="0.2">
      <c r="C673" s="107"/>
      <c r="E673" s="108"/>
      <c r="F673" s="109"/>
      <c r="T673" s="109"/>
      <c r="U673" s="109"/>
      <c r="V673" s="113"/>
      <c r="W673" s="109"/>
      <c r="X673" s="114"/>
    </row>
    <row r="674" spans="3:24" ht="15.75" customHeight="1" x14ac:dyDescent="0.2">
      <c r="C674" s="107"/>
      <c r="E674" s="108"/>
      <c r="F674" s="109"/>
      <c r="T674" s="109"/>
      <c r="U674" s="109"/>
      <c r="V674" s="113"/>
      <c r="W674" s="109"/>
      <c r="X674" s="114"/>
    </row>
    <row r="675" spans="3:24" ht="15.75" customHeight="1" x14ac:dyDescent="0.2">
      <c r="C675" s="107"/>
      <c r="E675" s="108"/>
      <c r="F675" s="109"/>
      <c r="T675" s="109"/>
      <c r="U675" s="109"/>
      <c r="V675" s="113"/>
      <c r="W675" s="109"/>
      <c r="X675" s="114"/>
    </row>
    <row r="676" spans="3:24" ht="15.75" customHeight="1" x14ac:dyDescent="0.2">
      <c r="C676" s="107"/>
      <c r="E676" s="108"/>
      <c r="F676" s="109"/>
      <c r="T676" s="109"/>
      <c r="U676" s="109"/>
      <c r="V676" s="113"/>
      <c r="W676" s="109"/>
      <c r="X676" s="114"/>
    </row>
    <row r="677" spans="3:24" ht="15.75" customHeight="1" x14ac:dyDescent="0.2">
      <c r="C677" s="107"/>
      <c r="E677" s="108"/>
      <c r="F677" s="109"/>
      <c r="T677" s="109"/>
      <c r="U677" s="109"/>
      <c r="V677" s="113"/>
      <c r="W677" s="109"/>
      <c r="X677" s="114"/>
    </row>
    <row r="678" spans="3:24" ht="15.75" customHeight="1" x14ac:dyDescent="0.2">
      <c r="C678" s="107"/>
      <c r="E678" s="108"/>
      <c r="F678" s="109"/>
      <c r="T678" s="109"/>
      <c r="U678" s="109"/>
      <c r="V678" s="113"/>
      <c r="W678" s="109"/>
      <c r="X678" s="114"/>
    </row>
    <row r="679" spans="3:24" ht="15.75" customHeight="1" x14ac:dyDescent="0.2">
      <c r="C679" s="107"/>
      <c r="E679" s="108"/>
      <c r="F679" s="109"/>
      <c r="T679" s="109"/>
      <c r="U679" s="109"/>
      <c r="V679" s="113"/>
      <c r="W679" s="109"/>
      <c r="X679" s="114"/>
    </row>
    <row r="680" spans="3:24" ht="15.75" customHeight="1" x14ac:dyDescent="0.2">
      <c r="C680" s="107"/>
      <c r="E680" s="108"/>
      <c r="F680" s="109"/>
      <c r="T680" s="109"/>
      <c r="U680" s="109"/>
      <c r="V680" s="113"/>
      <c r="W680" s="109"/>
      <c r="X680" s="114"/>
    </row>
    <row r="681" spans="3:24" ht="15.75" customHeight="1" x14ac:dyDescent="0.2">
      <c r="C681" s="107"/>
      <c r="E681" s="108"/>
      <c r="F681" s="109"/>
      <c r="T681" s="109"/>
      <c r="U681" s="109"/>
      <c r="V681" s="113"/>
      <c r="W681" s="109"/>
      <c r="X681" s="114"/>
    </row>
    <row r="682" spans="3:24" ht="15.75" customHeight="1" x14ac:dyDescent="0.2">
      <c r="C682" s="107"/>
      <c r="E682" s="108"/>
      <c r="F682" s="109"/>
      <c r="T682" s="109"/>
      <c r="U682" s="109"/>
      <c r="V682" s="113"/>
      <c r="W682" s="109"/>
      <c r="X682" s="114"/>
    </row>
    <row r="683" spans="3:24" ht="15.75" customHeight="1" x14ac:dyDescent="0.2">
      <c r="C683" s="107"/>
      <c r="E683" s="108"/>
      <c r="F683" s="109"/>
      <c r="T683" s="109"/>
      <c r="U683" s="109"/>
      <c r="V683" s="113"/>
      <c r="W683" s="109"/>
      <c r="X683" s="114"/>
    </row>
    <row r="684" spans="3:24" ht="15.75" customHeight="1" x14ac:dyDescent="0.2">
      <c r="C684" s="107"/>
      <c r="E684" s="108"/>
      <c r="F684" s="109"/>
      <c r="T684" s="109"/>
      <c r="U684" s="109"/>
      <c r="V684" s="113"/>
      <c r="W684" s="109"/>
      <c r="X684" s="114"/>
    </row>
    <row r="685" spans="3:24" ht="15.75" customHeight="1" x14ac:dyDescent="0.2">
      <c r="C685" s="107"/>
      <c r="E685" s="108"/>
      <c r="F685" s="109"/>
      <c r="T685" s="109"/>
      <c r="U685" s="109"/>
      <c r="V685" s="113"/>
      <c r="W685" s="109"/>
      <c r="X685" s="114"/>
    </row>
    <row r="686" spans="3:24" ht="15.75" customHeight="1" x14ac:dyDescent="0.2">
      <c r="C686" s="107"/>
      <c r="E686" s="108"/>
      <c r="F686" s="109"/>
      <c r="T686" s="109"/>
      <c r="U686" s="109"/>
      <c r="V686" s="113"/>
      <c r="W686" s="109"/>
      <c r="X686" s="114"/>
    </row>
    <row r="687" spans="3:24" ht="15.75" customHeight="1" x14ac:dyDescent="0.2">
      <c r="C687" s="107"/>
      <c r="E687" s="108"/>
      <c r="F687" s="109"/>
      <c r="T687" s="109"/>
      <c r="U687" s="109"/>
      <c r="V687" s="113"/>
      <c r="W687" s="109"/>
      <c r="X687" s="114"/>
    </row>
    <row r="688" spans="3:24" ht="15.75" customHeight="1" x14ac:dyDescent="0.2">
      <c r="C688" s="107"/>
      <c r="E688" s="108"/>
      <c r="F688" s="109"/>
      <c r="T688" s="109"/>
      <c r="U688" s="109"/>
      <c r="V688" s="113"/>
      <c r="W688" s="109"/>
      <c r="X688" s="114"/>
    </row>
    <row r="689" spans="3:24" ht="15.75" customHeight="1" x14ac:dyDescent="0.2">
      <c r="C689" s="107"/>
      <c r="E689" s="108"/>
      <c r="F689" s="109"/>
      <c r="T689" s="109"/>
      <c r="U689" s="109"/>
      <c r="V689" s="113"/>
      <c r="W689" s="109"/>
      <c r="X689" s="114"/>
    </row>
    <row r="690" spans="3:24" ht="15.75" customHeight="1" x14ac:dyDescent="0.2">
      <c r="C690" s="107"/>
      <c r="E690" s="108"/>
      <c r="F690" s="109"/>
      <c r="T690" s="109"/>
      <c r="U690" s="109"/>
      <c r="V690" s="113"/>
      <c r="W690" s="109"/>
      <c r="X690" s="114"/>
    </row>
    <row r="691" spans="3:24" ht="15.75" customHeight="1" x14ac:dyDescent="0.2">
      <c r="C691" s="107"/>
      <c r="E691" s="108"/>
      <c r="F691" s="109"/>
      <c r="T691" s="109"/>
      <c r="U691" s="109"/>
      <c r="V691" s="113"/>
      <c r="W691" s="109"/>
      <c r="X691" s="114"/>
    </row>
    <row r="692" spans="3:24" ht="15.75" customHeight="1" x14ac:dyDescent="0.2">
      <c r="C692" s="107"/>
      <c r="E692" s="108"/>
      <c r="F692" s="109"/>
      <c r="T692" s="109"/>
      <c r="U692" s="109"/>
      <c r="V692" s="113"/>
      <c r="W692" s="109"/>
      <c r="X692" s="114"/>
    </row>
    <row r="693" spans="3:24" ht="15.75" customHeight="1" x14ac:dyDescent="0.2">
      <c r="C693" s="107"/>
      <c r="E693" s="108"/>
      <c r="F693" s="109"/>
      <c r="T693" s="109"/>
      <c r="U693" s="109"/>
      <c r="V693" s="113"/>
      <c r="W693" s="109"/>
      <c r="X693" s="114"/>
    </row>
    <row r="694" spans="3:24" ht="15.75" customHeight="1" x14ac:dyDescent="0.2">
      <c r="C694" s="107"/>
      <c r="E694" s="108"/>
      <c r="F694" s="109"/>
      <c r="T694" s="109"/>
      <c r="U694" s="109"/>
      <c r="V694" s="113"/>
      <c r="W694" s="109"/>
      <c r="X694" s="114"/>
    </row>
    <row r="695" spans="3:24" ht="15.75" customHeight="1" x14ac:dyDescent="0.2">
      <c r="C695" s="107"/>
      <c r="E695" s="108"/>
      <c r="F695" s="109"/>
      <c r="T695" s="109"/>
      <c r="U695" s="109"/>
      <c r="V695" s="113"/>
      <c r="W695" s="109"/>
      <c r="X695" s="114"/>
    </row>
    <row r="696" spans="3:24" ht="15.75" customHeight="1" x14ac:dyDescent="0.2">
      <c r="C696" s="107"/>
      <c r="E696" s="108"/>
      <c r="F696" s="109"/>
      <c r="T696" s="109"/>
      <c r="U696" s="109"/>
      <c r="V696" s="113"/>
      <c r="W696" s="109"/>
      <c r="X696" s="114"/>
    </row>
    <row r="697" spans="3:24" ht="15.75" customHeight="1" x14ac:dyDescent="0.2">
      <c r="C697" s="107"/>
      <c r="E697" s="108"/>
      <c r="F697" s="109"/>
      <c r="T697" s="109"/>
      <c r="U697" s="109"/>
      <c r="V697" s="113"/>
      <c r="W697" s="109"/>
      <c r="X697" s="114"/>
    </row>
    <row r="698" spans="3:24" ht="15.75" customHeight="1" x14ac:dyDescent="0.2">
      <c r="C698" s="107"/>
      <c r="E698" s="108"/>
      <c r="F698" s="109"/>
      <c r="T698" s="109"/>
      <c r="U698" s="109"/>
      <c r="V698" s="113"/>
      <c r="W698" s="109"/>
      <c r="X698" s="114"/>
    </row>
    <row r="699" spans="3:24" ht="15.75" customHeight="1" x14ac:dyDescent="0.2">
      <c r="C699" s="107"/>
      <c r="E699" s="108"/>
      <c r="F699" s="109"/>
      <c r="T699" s="109"/>
      <c r="U699" s="109"/>
      <c r="V699" s="113"/>
      <c r="W699" s="109"/>
      <c r="X699" s="114"/>
    </row>
    <row r="700" spans="3:24" ht="15.75" customHeight="1" x14ac:dyDescent="0.2">
      <c r="C700" s="107"/>
      <c r="E700" s="108"/>
      <c r="F700" s="109"/>
      <c r="T700" s="109"/>
      <c r="U700" s="109"/>
      <c r="V700" s="113"/>
      <c r="W700" s="109"/>
      <c r="X700" s="114"/>
    </row>
    <row r="701" spans="3:24" ht="15.75" customHeight="1" x14ac:dyDescent="0.2">
      <c r="C701" s="107"/>
      <c r="E701" s="108"/>
      <c r="F701" s="109"/>
      <c r="T701" s="109"/>
      <c r="U701" s="109"/>
      <c r="V701" s="113"/>
      <c r="W701" s="109"/>
      <c r="X701" s="114"/>
    </row>
    <row r="702" spans="3:24" ht="15.75" customHeight="1" x14ac:dyDescent="0.2">
      <c r="C702" s="107"/>
      <c r="E702" s="108"/>
      <c r="F702" s="109"/>
      <c r="T702" s="109"/>
      <c r="U702" s="109"/>
      <c r="V702" s="113"/>
      <c r="W702" s="109"/>
      <c r="X702" s="114"/>
    </row>
    <row r="703" spans="3:24" ht="15.75" customHeight="1" x14ac:dyDescent="0.2">
      <c r="C703" s="107"/>
      <c r="E703" s="108"/>
      <c r="F703" s="109"/>
      <c r="T703" s="109"/>
      <c r="U703" s="109"/>
      <c r="V703" s="113"/>
      <c r="W703" s="109"/>
      <c r="X703" s="114"/>
    </row>
    <row r="704" spans="3:24" ht="15.75" customHeight="1" x14ac:dyDescent="0.2">
      <c r="C704" s="107"/>
      <c r="E704" s="108"/>
      <c r="F704" s="109"/>
      <c r="T704" s="109"/>
      <c r="U704" s="109"/>
      <c r="V704" s="113"/>
      <c r="W704" s="109"/>
      <c r="X704" s="114"/>
    </row>
    <row r="705" spans="3:24" ht="15.75" customHeight="1" x14ac:dyDescent="0.2">
      <c r="C705" s="107"/>
      <c r="E705" s="108"/>
      <c r="F705" s="109"/>
      <c r="T705" s="109"/>
      <c r="U705" s="109"/>
      <c r="V705" s="113"/>
      <c r="W705" s="109"/>
      <c r="X705" s="114"/>
    </row>
    <row r="706" spans="3:24" ht="15.75" customHeight="1" x14ac:dyDescent="0.2">
      <c r="C706" s="107"/>
      <c r="E706" s="108"/>
      <c r="F706" s="109"/>
      <c r="T706" s="109"/>
      <c r="U706" s="109"/>
      <c r="V706" s="113"/>
      <c r="W706" s="109"/>
      <c r="X706" s="114"/>
    </row>
    <row r="707" spans="3:24" ht="15.75" customHeight="1" x14ac:dyDescent="0.2">
      <c r="C707" s="107"/>
      <c r="E707" s="108"/>
      <c r="F707" s="109"/>
      <c r="T707" s="109"/>
      <c r="U707" s="109"/>
      <c r="V707" s="113"/>
      <c r="W707" s="109"/>
      <c r="X707" s="114"/>
    </row>
    <row r="708" spans="3:24" ht="15.75" customHeight="1" x14ac:dyDescent="0.2">
      <c r="C708" s="107"/>
      <c r="E708" s="108"/>
      <c r="F708" s="109"/>
      <c r="T708" s="109"/>
      <c r="U708" s="109"/>
      <c r="V708" s="113"/>
      <c r="W708" s="109"/>
      <c r="X708" s="114"/>
    </row>
    <row r="709" spans="3:24" ht="15.75" customHeight="1" x14ac:dyDescent="0.2">
      <c r="C709" s="107"/>
      <c r="E709" s="108"/>
      <c r="F709" s="109"/>
      <c r="T709" s="109"/>
      <c r="U709" s="109"/>
      <c r="V709" s="113"/>
      <c r="W709" s="109"/>
      <c r="X709" s="114"/>
    </row>
    <row r="710" spans="3:24" ht="15.75" customHeight="1" x14ac:dyDescent="0.2">
      <c r="C710" s="107"/>
      <c r="E710" s="108"/>
      <c r="F710" s="109"/>
      <c r="T710" s="109"/>
      <c r="U710" s="109"/>
      <c r="V710" s="113"/>
      <c r="W710" s="109"/>
      <c r="X710" s="114"/>
    </row>
    <row r="711" spans="3:24" ht="15.75" customHeight="1" x14ac:dyDescent="0.2">
      <c r="C711" s="107"/>
      <c r="E711" s="108"/>
      <c r="F711" s="109"/>
      <c r="T711" s="109"/>
      <c r="U711" s="109"/>
      <c r="V711" s="113"/>
      <c r="W711" s="109"/>
      <c r="X711" s="114"/>
    </row>
    <row r="712" spans="3:24" ht="15.75" customHeight="1" x14ac:dyDescent="0.2">
      <c r="C712" s="107"/>
      <c r="E712" s="108"/>
      <c r="F712" s="109"/>
      <c r="T712" s="109"/>
      <c r="U712" s="109"/>
      <c r="V712" s="113"/>
      <c r="W712" s="109"/>
      <c r="X712" s="114"/>
    </row>
    <row r="713" spans="3:24" ht="15.75" customHeight="1" x14ac:dyDescent="0.2">
      <c r="C713" s="107"/>
      <c r="E713" s="108"/>
      <c r="F713" s="109"/>
      <c r="T713" s="109"/>
      <c r="U713" s="109"/>
      <c r="V713" s="113"/>
      <c r="W713" s="109"/>
      <c r="X713" s="114"/>
    </row>
    <row r="714" spans="3:24" ht="15.75" customHeight="1" x14ac:dyDescent="0.2">
      <c r="C714" s="107"/>
      <c r="E714" s="108"/>
      <c r="F714" s="109"/>
      <c r="T714" s="109"/>
      <c r="U714" s="109"/>
      <c r="V714" s="113"/>
      <c r="W714" s="109"/>
      <c r="X714" s="114"/>
    </row>
    <row r="715" spans="3:24" ht="15.75" customHeight="1" x14ac:dyDescent="0.2">
      <c r="C715" s="107"/>
      <c r="E715" s="108"/>
      <c r="F715" s="109"/>
      <c r="T715" s="109"/>
      <c r="U715" s="109"/>
      <c r="V715" s="113"/>
      <c r="W715" s="109"/>
      <c r="X715" s="114"/>
    </row>
    <row r="716" spans="3:24" ht="15.75" customHeight="1" x14ac:dyDescent="0.2">
      <c r="C716" s="107"/>
      <c r="E716" s="108"/>
      <c r="F716" s="109"/>
      <c r="T716" s="109"/>
      <c r="U716" s="109"/>
      <c r="V716" s="113"/>
      <c r="W716" s="109"/>
      <c r="X716" s="114"/>
    </row>
    <row r="717" spans="3:24" ht="15.75" customHeight="1" x14ac:dyDescent="0.2">
      <c r="C717" s="107"/>
      <c r="E717" s="108"/>
      <c r="F717" s="109"/>
      <c r="T717" s="109"/>
      <c r="U717" s="109"/>
      <c r="V717" s="113"/>
      <c r="W717" s="109"/>
      <c r="X717" s="114"/>
    </row>
    <row r="718" spans="3:24" ht="15.75" customHeight="1" x14ac:dyDescent="0.2">
      <c r="C718" s="107"/>
      <c r="E718" s="108"/>
      <c r="F718" s="109"/>
      <c r="T718" s="109"/>
      <c r="U718" s="109"/>
      <c r="V718" s="113"/>
      <c r="W718" s="109"/>
      <c r="X718" s="114"/>
    </row>
    <row r="719" spans="3:24" ht="15.75" customHeight="1" x14ac:dyDescent="0.2">
      <c r="C719" s="107"/>
      <c r="E719" s="108"/>
      <c r="F719" s="109"/>
      <c r="T719" s="109"/>
      <c r="U719" s="109"/>
      <c r="V719" s="113"/>
      <c r="W719" s="109"/>
      <c r="X719" s="114"/>
    </row>
    <row r="720" spans="3:24" ht="15.75" customHeight="1" x14ac:dyDescent="0.2">
      <c r="C720" s="107"/>
      <c r="E720" s="108"/>
      <c r="F720" s="109"/>
      <c r="T720" s="109"/>
      <c r="U720" s="109"/>
      <c r="V720" s="113"/>
      <c r="W720" s="109"/>
      <c r="X720" s="114"/>
    </row>
    <row r="721" spans="3:24" ht="15.75" customHeight="1" x14ac:dyDescent="0.2">
      <c r="C721" s="107"/>
      <c r="E721" s="108"/>
      <c r="F721" s="109"/>
      <c r="T721" s="109"/>
      <c r="U721" s="109"/>
      <c r="V721" s="113"/>
      <c r="W721" s="109"/>
      <c r="X721" s="114"/>
    </row>
    <row r="722" spans="3:24" ht="15.75" customHeight="1" x14ac:dyDescent="0.2">
      <c r="C722" s="107"/>
      <c r="E722" s="108"/>
      <c r="F722" s="109"/>
      <c r="T722" s="109"/>
      <c r="U722" s="109"/>
      <c r="V722" s="113"/>
      <c r="W722" s="109"/>
      <c r="X722" s="114"/>
    </row>
    <row r="723" spans="3:24" ht="15.75" customHeight="1" x14ac:dyDescent="0.2">
      <c r="C723" s="107"/>
      <c r="E723" s="108"/>
      <c r="F723" s="109"/>
      <c r="T723" s="109"/>
      <c r="U723" s="109"/>
      <c r="V723" s="113"/>
      <c r="W723" s="109"/>
      <c r="X723" s="114"/>
    </row>
    <row r="724" spans="3:24" ht="15.75" customHeight="1" x14ac:dyDescent="0.2">
      <c r="C724" s="107"/>
      <c r="E724" s="108"/>
      <c r="F724" s="109"/>
      <c r="T724" s="109"/>
      <c r="U724" s="109"/>
      <c r="V724" s="113"/>
      <c r="W724" s="109"/>
      <c r="X724" s="114"/>
    </row>
    <row r="725" spans="3:24" ht="15.75" customHeight="1" x14ac:dyDescent="0.2">
      <c r="C725" s="107"/>
      <c r="E725" s="108"/>
      <c r="F725" s="109"/>
      <c r="T725" s="109"/>
      <c r="U725" s="109"/>
      <c r="V725" s="113"/>
      <c r="W725" s="109"/>
      <c r="X725" s="114"/>
    </row>
    <row r="726" spans="3:24" ht="15.75" customHeight="1" x14ac:dyDescent="0.2">
      <c r="C726" s="107"/>
      <c r="E726" s="108"/>
      <c r="F726" s="109"/>
      <c r="T726" s="109"/>
      <c r="U726" s="109"/>
      <c r="V726" s="113"/>
      <c r="W726" s="109"/>
      <c r="X726" s="114"/>
    </row>
    <row r="727" spans="3:24" ht="15.75" customHeight="1" x14ac:dyDescent="0.2">
      <c r="C727" s="107"/>
      <c r="E727" s="108"/>
      <c r="F727" s="109"/>
      <c r="T727" s="109"/>
      <c r="U727" s="109"/>
      <c r="V727" s="113"/>
      <c r="W727" s="109"/>
      <c r="X727" s="114"/>
    </row>
    <row r="728" spans="3:24" ht="15.75" customHeight="1" x14ac:dyDescent="0.2">
      <c r="C728" s="107"/>
      <c r="E728" s="108"/>
      <c r="F728" s="109"/>
      <c r="T728" s="109"/>
      <c r="U728" s="109"/>
      <c r="V728" s="113"/>
      <c r="W728" s="109"/>
      <c r="X728" s="114"/>
    </row>
    <row r="729" spans="3:24" ht="15.75" customHeight="1" x14ac:dyDescent="0.2">
      <c r="C729" s="107"/>
      <c r="E729" s="108"/>
      <c r="F729" s="109"/>
      <c r="T729" s="109"/>
      <c r="U729" s="109"/>
      <c r="V729" s="113"/>
      <c r="W729" s="109"/>
      <c r="X729" s="114"/>
    </row>
    <row r="730" spans="3:24" ht="15.75" customHeight="1" x14ac:dyDescent="0.2">
      <c r="C730" s="107"/>
      <c r="E730" s="108"/>
      <c r="F730" s="109"/>
      <c r="T730" s="109"/>
      <c r="U730" s="109"/>
      <c r="V730" s="113"/>
      <c r="W730" s="109"/>
      <c r="X730" s="114"/>
    </row>
    <row r="731" spans="3:24" ht="15.75" customHeight="1" x14ac:dyDescent="0.2">
      <c r="C731" s="107"/>
      <c r="E731" s="108"/>
      <c r="F731" s="109"/>
      <c r="T731" s="109"/>
      <c r="U731" s="109"/>
      <c r="V731" s="113"/>
      <c r="W731" s="109"/>
      <c r="X731" s="114"/>
    </row>
    <row r="732" spans="3:24" ht="15.75" customHeight="1" x14ac:dyDescent="0.2">
      <c r="C732" s="107"/>
      <c r="E732" s="108"/>
      <c r="F732" s="109"/>
      <c r="T732" s="109"/>
      <c r="U732" s="109"/>
      <c r="V732" s="113"/>
      <c r="W732" s="109"/>
      <c r="X732" s="114"/>
    </row>
    <row r="733" spans="3:24" ht="15.75" customHeight="1" x14ac:dyDescent="0.2">
      <c r="C733" s="107"/>
      <c r="E733" s="108"/>
      <c r="F733" s="109"/>
      <c r="T733" s="109"/>
      <c r="U733" s="109"/>
      <c r="V733" s="113"/>
      <c r="W733" s="109"/>
      <c r="X733" s="114"/>
    </row>
    <row r="734" spans="3:24" ht="15.75" customHeight="1" x14ac:dyDescent="0.2">
      <c r="C734" s="107"/>
      <c r="E734" s="108"/>
      <c r="F734" s="109"/>
      <c r="T734" s="109"/>
      <c r="U734" s="109"/>
      <c r="V734" s="113"/>
      <c r="W734" s="109"/>
      <c r="X734" s="114"/>
    </row>
    <row r="735" spans="3:24" ht="15.75" customHeight="1" x14ac:dyDescent="0.2">
      <c r="C735" s="107"/>
      <c r="E735" s="108"/>
      <c r="F735" s="109"/>
      <c r="T735" s="109"/>
      <c r="U735" s="109"/>
      <c r="V735" s="113"/>
      <c r="W735" s="109"/>
      <c r="X735" s="114"/>
    </row>
    <row r="736" spans="3:24" ht="15.75" customHeight="1" x14ac:dyDescent="0.2">
      <c r="C736" s="107"/>
      <c r="E736" s="108"/>
      <c r="F736" s="109"/>
      <c r="T736" s="109"/>
      <c r="U736" s="109"/>
      <c r="V736" s="113"/>
      <c r="W736" s="109"/>
      <c r="X736" s="114"/>
    </row>
    <row r="737" spans="3:24" ht="15.75" customHeight="1" x14ac:dyDescent="0.2">
      <c r="C737" s="107"/>
      <c r="E737" s="108"/>
      <c r="F737" s="109"/>
      <c r="T737" s="109"/>
      <c r="U737" s="109"/>
      <c r="V737" s="113"/>
      <c r="W737" s="109"/>
      <c r="X737" s="114"/>
    </row>
    <row r="738" spans="3:24" ht="15.75" customHeight="1" x14ac:dyDescent="0.2">
      <c r="C738" s="107"/>
      <c r="E738" s="108"/>
      <c r="F738" s="109"/>
      <c r="T738" s="109"/>
      <c r="U738" s="109"/>
      <c r="V738" s="113"/>
      <c r="W738" s="109"/>
      <c r="X738" s="114"/>
    </row>
    <row r="739" spans="3:24" ht="15.75" customHeight="1" x14ac:dyDescent="0.2">
      <c r="C739" s="107"/>
      <c r="E739" s="108"/>
      <c r="F739" s="109"/>
      <c r="T739" s="109"/>
      <c r="U739" s="109"/>
      <c r="V739" s="113"/>
      <c r="W739" s="109"/>
      <c r="X739" s="114"/>
    </row>
    <row r="740" spans="3:24" ht="15.75" customHeight="1" x14ac:dyDescent="0.2">
      <c r="C740" s="107"/>
      <c r="E740" s="108"/>
      <c r="F740" s="109"/>
      <c r="T740" s="109"/>
      <c r="U740" s="109"/>
      <c r="V740" s="113"/>
      <c r="W740" s="109"/>
      <c r="X740" s="114"/>
    </row>
    <row r="741" spans="3:24" ht="15.75" customHeight="1" x14ac:dyDescent="0.2">
      <c r="C741" s="107"/>
      <c r="E741" s="108"/>
      <c r="F741" s="109"/>
      <c r="T741" s="109"/>
      <c r="U741" s="109"/>
      <c r="V741" s="113"/>
      <c r="W741" s="109"/>
      <c r="X741" s="114"/>
    </row>
    <row r="742" spans="3:24" ht="15.75" customHeight="1" x14ac:dyDescent="0.2">
      <c r="C742" s="107"/>
      <c r="E742" s="108"/>
      <c r="F742" s="109"/>
      <c r="T742" s="109"/>
      <c r="U742" s="109"/>
      <c r="V742" s="113"/>
      <c r="W742" s="109"/>
      <c r="X742" s="114"/>
    </row>
    <row r="743" spans="3:24" ht="15.75" customHeight="1" x14ac:dyDescent="0.2">
      <c r="C743" s="107"/>
      <c r="E743" s="108"/>
      <c r="F743" s="109"/>
      <c r="T743" s="109"/>
      <c r="U743" s="109"/>
      <c r="V743" s="113"/>
      <c r="W743" s="109"/>
      <c r="X743" s="114"/>
    </row>
    <row r="744" spans="3:24" ht="15.75" customHeight="1" x14ac:dyDescent="0.2">
      <c r="C744" s="107"/>
      <c r="E744" s="108"/>
      <c r="F744" s="109"/>
      <c r="T744" s="109"/>
      <c r="U744" s="109"/>
      <c r="V744" s="113"/>
      <c r="W744" s="109"/>
      <c r="X744" s="114"/>
    </row>
    <row r="745" spans="3:24" ht="15.75" customHeight="1" x14ac:dyDescent="0.2">
      <c r="C745" s="107"/>
      <c r="E745" s="108"/>
      <c r="F745" s="109"/>
      <c r="T745" s="109"/>
      <c r="U745" s="109"/>
      <c r="V745" s="113"/>
      <c r="W745" s="109"/>
      <c r="X745" s="114"/>
    </row>
    <row r="746" spans="3:24" ht="15.75" customHeight="1" x14ac:dyDescent="0.2">
      <c r="C746" s="107"/>
      <c r="E746" s="108"/>
      <c r="F746" s="109"/>
      <c r="T746" s="109"/>
      <c r="U746" s="109"/>
      <c r="V746" s="113"/>
      <c r="W746" s="109"/>
      <c r="X746" s="114"/>
    </row>
    <row r="747" spans="3:24" ht="15.75" customHeight="1" x14ac:dyDescent="0.2">
      <c r="C747" s="107"/>
      <c r="E747" s="108"/>
      <c r="F747" s="109"/>
      <c r="T747" s="109"/>
      <c r="U747" s="109"/>
      <c r="V747" s="113"/>
      <c r="W747" s="109"/>
      <c r="X747" s="114"/>
    </row>
    <row r="748" spans="3:24" ht="15.75" customHeight="1" x14ac:dyDescent="0.2">
      <c r="C748" s="107"/>
      <c r="E748" s="108"/>
      <c r="F748" s="109"/>
      <c r="T748" s="109"/>
      <c r="U748" s="109"/>
      <c r="V748" s="113"/>
      <c r="W748" s="109"/>
      <c r="X748" s="114"/>
    </row>
    <row r="749" spans="3:24" ht="15.75" customHeight="1" x14ac:dyDescent="0.2">
      <c r="C749" s="107"/>
      <c r="E749" s="108"/>
      <c r="F749" s="109"/>
      <c r="T749" s="109"/>
      <c r="U749" s="109"/>
      <c r="V749" s="113"/>
      <c r="W749" s="109"/>
      <c r="X749" s="114"/>
    </row>
    <row r="750" spans="3:24" ht="15.75" customHeight="1" x14ac:dyDescent="0.2">
      <c r="C750" s="107"/>
      <c r="E750" s="108"/>
      <c r="F750" s="109"/>
      <c r="T750" s="109"/>
      <c r="U750" s="109"/>
      <c r="V750" s="113"/>
      <c r="W750" s="109"/>
      <c r="X750" s="114"/>
    </row>
    <row r="751" spans="3:24" ht="15.75" customHeight="1" x14ac:dyDescent="0.2">
      <c r="C751" s="107"/>
      <c r="E751" s="108"/>
      <c r="F751" s="109"/>
      <c r="T751" s="109"/>
      <c r="U751" s="109"/>
      <c r="V751" s="113"/>
      <c r="W751" s="109"/>
      <c r="X751" s="114"/>
    </row>
    <row r="752" spans="3:24" ht="15.75" customHeight="1" x14ac:dyDescent="0.2">
      <c r="C752" s="107"/>
      <c r="E752" s="108"/>
      <c r="F752" s="109"/>
      <c r="T752" s="109"/>
      <c r="U752" s="109"/>
      <c r="V752" s="113"/>
      <c r="W752" s="109"/>
      <c r="X752" s="114"/>
    </row>
    <row r="753" spans="3:24" ht="15.75" customHeight="1" x14ac:dyDescent="0.2">
      <c r="C753" s="107"/>
      <c r="E753" s="108"/>
      <c r="F753" s="109"/>
      <c r="T753" s="109"/>
      <c r="U753" s="109"/>
      <c r="V753" s="113"/>
      <c r="W753" s="109"/>
      <c r="X753" s="114"/>
    </row>
    <row r="754" spans="3:24" ht="15.75" customHeight="1" x14ac:dyDescent="0.2">
      <c r="C754" s="107"/>
      <c r="E754" s="108"/>
      <c r="F754" s="109"/>
      <c r="T754" s="109"/>
      <c r="U754" s="109"/>
      <c r="V754" s="113"/>
      <c r="W754" s="109"/>
      <c r="X754" s="114"/>
    </row>
    <row r="755" spans="3:24" ht="15.75" customHeight="1" x14ac:dyDescent="0.2">
      <c r="C755" s="107"/>
      <c r="E755" s="108"/>
      <c r="F755" s="109"/>
      <c r="T755" s="109"/>
      <c r="U755" s="109"/>
      <c r="V755" s="113"/>
      <c r="W755" s="109"/>
      <c r="X755" s="114"/>
    </row>
    <row r="756" spans="3:24" ht="15.75" customHeight="1" x14ac:dyDescent="0.2">
      <c r="C756" s="107"/>
      <c r="E756" s="108"/>
      <c r="F756" s="109"/>
      <c r="T756" s="109"/>
      <c r="U756" s="109"/>
      <c r="V756" s="113"/>
      <c r="W756" s="109"/>
      <c r="X756" s="114"/>
    </row>
    <row r="757" spans="3:24" ht="15.75" customHeight="1" x14ac:dyDescent="0.2">
      <c r="C757" s="107"/>
      <c r="E757" s="108"/>
      <c r="F757" s="109"/>
      <c r="T757" s="109"/>
      <c r="U757" s="109"/>
      <c r="V757" s="113"/>
      <c r="W757" s="109"/>
      <c r="X757" s="114"/>
    </row>
    <row r="758" spans="3:24" ht="15.75" customHeight="1" x14ac:dyDescent="0.2">
      <c r="C758" s="107"/>
      <c r="E758" s="108"/>
      <c r="F758" s="109"/>
      <c r="T758" s="109"/>
      <c r="U758" s="109"/>
      <c r="V758" s="113"/>
      <c r="W758" s="109"/>
      <c r="X758" s="114"/>
    </row>
    <row r="759" spans="3:24" ht="15.75" customHeight="1" x14ac:dyDescent="0.2">
      <c r="C759" s="107"/>
      <c r="E759" s="108"/>
      <c r="F759" s="109"/>
      <c r="T759" s="109"/>
      <c r="U759" s="109"/>
      <c r="V759" s="113"/>
      <c r="W759" s="109"/>
      <c r="X759" s="114"/>
    </row>
    <row r="760" spans="3:24" ht="15.75" customHeight="1" x14ac:dyDescent="0.2">
      <c r="C760" s="107"/>
      <c r="E760" s="108"/>
      <c r="F760" s="109"/>
      <c r="T760" s="109"/>
      <c r="U760" s="109"/>
      <c r="V760" s="113"/>
      <c r="W760" s="109"/>
      <c r="X760" s="114"/>
    </row>
    <row r="761" spans="3:24" ht="15.75" customHeight="1" x14ac:dyDescent="0.2">
      <c r="C761" s="107"/>
      <c r="E761" s="108"/>
      <c r="F761" s="109"/>
      <c r="T761" s="109"/>
      <c r="U761" s="109"/>
      <c r="V761" s="113"/>
      <c r="W761" s="109"/>
      <c r="X761" s="114"/>
    </row>
    <row r="762" spans="3:24" ht="15.75" customHeight="1" x14ac:dyDescent="0.2">
      <c r="C762" s="107"/>
      <c r="E762" s="108"/>
      <c r="F762" s="109"/>
      <c r="T762" s="109"/>
      <c r="U762" s="109"/>
      <c r="V762" s="113"/>
      <c r="W762" s="109"/>
      <c r="X762" s="114"/>
    </row>
    <row r="763" spans="3:24" ht="15.75" customHeight="1" x14ac:dyDescent="0.2">
      <c r="C763" s="107"/>
      <c r="E763" s="108"/>
      <c r="F763" s="109"/>
      <c r="T763" s="109"/>
      <c r="U763" s="109"/>
      <c r="V763" s="113"/>
      <c r="W763" s="109"/>
      <c r="X763" s="114"/>
    </row>
    <row r="764" spans="3:24" ht="15.75" customHeight="1" x14ac:dyDescent="0.2">
      <c r="C764" s="107"/>
      <c r="E764" s="108"/>
      <c r="F764" s="109"/>
      <c r="T764" s="109"/>
      <c r="U764" s="109"/>
      <c r="V764" s="113"/>
      <c r="W764" s="109"/>
      <c r="X764" s="114"/>
    </row>
    <row r="765" spans="3:24" ht="15.75" customHeight="1" x14ac:dyDescent="0.2">
      <c r="C765" s="107"/>
      <c r="E765" s="108"/>
      <c r="F765" s="109"/>
      <c r="T765" s="109"/>
      <c r="U765" s="109"/>
      <c r="V765" s="113"/>
      <c r="W765" s="109"/>
      <c r="X765" s="114"/>
    </row>
    <row r="766" spans="3:24" ht="15.75" customHeight="1" x14ac:dyDescent="0.2">
      <c r="C766" s="107"/>
      <c r="E766" s="108"/>
      <c r="F766" s="109"/>
      <c r="T766" s="109"/>
      <c r="U766" s="109"/>
      <c r="V766" s="113"/>
      <c r="W766" s="109"/>
      <c r="X766" s="114"/>
    </row>
    <row r="767" spans="3:24" ht="15.75" customHeight="1" x14ac:dyDescent="0.2">
      <c r="C767" s="107"/>
      <c r="E767" s="108"/>
      <c r="F767" s="109"/>
      <c r="T767" s="109"/>
      <c r="U767" s="109"/>
      <c r="V767" s="113"/>
      <c r="W767" s="109"/>
      <c r="X767" s="114"/>
    </row>
    <row r="768" spans="3:24" ht="15.75" customHeight="1" x14ac:dyDescent="0.2">
      <c r="C768" s="107"/>
      <c r="E768" s="108"/>
      <c r="F768" s="109"/>
      <c r="T768" s="109"/>
      <c r="U768" s="109"/>
      <c r="V768" s="113"/>
      <c r="W768" s="109"/>
      <c r="X768" s="114"/>
    </row>
    <row r="769" spans="3:24" ht="15.75" customHeight="1" x14ac:dyDescent="0.2">
      <c r="C769" s="107"/>
      <c r="E769" s="108"/>
      <c r="F769" s="109"/>
      <c r="T769" s="109"/>
      <c r="U769" s="109"/>
      <c r="V769" s="113"/>
      <c r="W769" s="109"/>
      <c r="X769" s="114"/>
    </row>
    <row r="770" spans="3:24" ht="15.75" customHeight="1" x14ac:dyDescent="0.2">
      <c r="C770" s="107"/>
      <c r="E770" s="108"/>
      <c r="F770" s="109"/>
      <c r="T770" s="109"/>
      <c r="U770" s="109"/>
      <c r="V770" s="113"/>
      <c r="W770" s="109"/>
      <c r="X770" s="114"/>
    </row>
    <row r="771" spans="3:24" ht="15.75" customHeight="1" x14ac:dyDescent="0.2">
      <c r="C771" s="107"/>
      <c r="E771" s="108"/>
      <c r="F771" s="109"/>
      <c r="T771" s="109"/>
      <c r="U771" s="109"/>
      <c r="V771" s="113"/>
      <c r="W771" s="109"/>
      <c r="X771" s="114"/>
    </row>
    <row r="772" spans="3:24" ht="15.75" customHeight="1" x14ac:dyDescent="0.2">
      <c r="C772" s="107"/>
      <c r="E772" s="108"/>
      <c r="F772" s="109"/>
      <c r="T772" s="109"/>
      <c r="U772" s="109"/>
      <c r="V772" s="113"/>
      <c r="W772" s="109"/>
      <c r="X772" s="114"/>
    </row>
    <row r="773" spans="3:24" ht="15.75" customHeight="1" x14ac:dyDescent="0.2">
      <c r="C773" s="107"/>
      <c r="E773" s="108"/>
      <c r="F773" s="109"/>
      <c r="T773" s="109"/>
      <c r="U773" s="109"/>
      <c r="V773" s="113"/>
      <c r="W773" s="109"/>
      <c r="X773" s="114"/>
    </row>
    <row r="774" spans="3:24" ht="15.75" customHeight="1" x14ac:dyDescent="0.2">
      <c r="C774" s="107"/>
      <c r="E774" s="108"/>
      <c r="F774" s="109"/>
      <c r="T774" s="109"/>
      <c r="U774" s="109"/>
      <c r="V774" s="113"/>
      <c r="W774" s="109"/>
      <c r="X774" s="114"/>
    </row>
    <row r="775" spans="3:24" ht="15.75" customHeight="1" x14ac:dyDescent="0.2">
      <c r="C775" s="107"/>
      <c r="E775" s="108"/>
      <c r="F775" s="109"/>
      <c r="T775" s="109"/>
      <c r="U775" s="109"/>
      <c r="V775" s="113"/>
      <c r="W775" s="109"/>
      <c r="X775" s="114"/>
    </row>
    <row r="776" spans="3:24" ht="15.75" customHeight="1" x14ac:dyDescent="0.2">
      <c r="C776" s="107"/>
      <c r="E776" s="108"/>
      <c r="F776" s="109"/>
      <c r="T776" s="109"/>
      <c r="U776" s="109"/>
      <c r="V776" s="113"/>
      <c r="W776" s="109"/>
      <c r="X776" s="114"/>
    </row>
    <row r="777" spans="3:24" ht="15.75" customHeight="1" x14ac:dyDescent="0.2">
      <c r="C777" s="107"/>
      <c r="E777" s="108"/>
      <c r="F777" s="109"/>
      <c r="T777" s="109"/>
      <c r="U777" s="109"/>
      <c r="V777" s="113"/>
      <c r="W777" s="109"/>
      <c r="X777" s="114"/>
    </row>
    <row r="778" spans="3:24" ht="15.75" customHeight="1" x14ac:dyDescent="0.2">
      <c r="C778" s="107"/>
      <c r="E778" s="108"/>
      <c r="F778" s="109"/>
      <c r="T778" s="109"/>
      <c r="U778" s="109"/>
      <c r="V778" s="113"/>
      <c r="W778" s="109"/>
      <c r="X778" s="114"/>
    </row>
    <row r="779" spans="3:24" ht="15.75" customHeight="1" x14ac:dyDescent="0.2">
      <c r="C779" s="107"/>
      <c r="E779" s="108"/>
      <c r="F779" s="109"/>
      <c r="T779" s="109"/>
      <c r="U779" s="109"/>
      <c r="V779" s="113"/>
      <c r="W779" s="109"/>
      <c r="X779" s="114"/>
    </row>
    <row r="780" spans="3:24" ht="15.75" customHeight="1" x14ac:dyDescent="0.2">
      <c r="C780" s="107"/>
      <c r="E780" s="108"/>
      <c r="F780" s="109"/>
      <c r="T780" s="109"/>
      <c r="U780" s="109"/>
      <c r="V780" s="113"/>
      <c r="W780" s="109"/>
      <c r="X780" s="114"/>
    </row>
    <row r="781" spans="3:24" ht="15.75" customHeight="1" x14ac:dyDescent="0.2">
      <c r="C781" s="107"/>
      <c r="E781" s="108"/>
      <c r="F781" s="109"/>
      <c r="T781" s="109"/>
      <c r="U781" s="109"/>
      <c r="V781" s="113"/>
      <c r="W781" s="109"/>
      <c r="X781" s="114"/>
    </row>
    <row r="782" spans="3:24" ht="15.75" customHeight="1" x14ac:dyDescent="0.2">
      <c r="C782" s="107"/>
      <c r="E782" s="108"/>
      <c r="F782" s="109"/>
      <c r="T782" s="109"/>
      <c r="U782" s="109"/>
      <c r="V782" s="113"/>
      <c r="W782" s="109"/>
      <c r="X782" s="114"/>
    </row>
    <row r="783" spans="3:24" ht="15.75" customHeight="1" x14ac:dyDescent="0.2">
      <c r="C783" s="107"/>
      <c r="E783" s="108"/>
      <c r="F783" s="109"/>
      <c r="T783" s="109"/>
      <c r="U783" s="109"/>
      <c r="V783" s="113"/>
      <c r="W783" s="109"/>
      <c r="X783" s="114"/>
    </row>
    <row r="784" spans="3:24" ht="15.75" customHeight="1" x14ac:dyDescent="0.2">
      <c r="C784" s="107"/>
      <c r="E784" s="108"/>
      <c r="F784" s="109"/>
      <c r="T784" s="109"/>
      <c r="U784" s="109"/>
      <c r="V784" s="113"/>
      <c r="W784" s="109"/>
      <c r="X784" s="114"/>
    </row>
    <row r="785" spans="3:24" ht="15.75" customHeight="1" x14ac:dyDescent="0.2">
      <c r="C785" s="107"/>
      <c r="E785" s="108"/>
      <c r="F785" s="109"/>
      <c r="T785" s="109"/>
      <c r="U785" s="109"/>
      <c r="V785" s="113"/>
      <c r="W785" s="109"/>
      <c r="X785" s="114"/>
    </row>
    <row r="786" spans="3:24" ht="15.75" customHeight="1" x14ac:dyDescent="0.2">
      <c r="C786" s="107"/>
      <c r="E786" s="108"/>
      <c r="F786" s="109"/>
      <c r="T786" s="109"/>
      <c r="U786" s="109"/>
      <c r="V786" s="113"/>
      <c r="W786" s="109"/>
      <c r="X786" s="114"/>
    </row>
    <row r="787" spans="3:24" ht="15.75" customHeight="1" x14ac:dyDescent="0.2">
      <c r="C787" s="107"/>
      <c r="E787" s="108"/>
      <c r="F787" s="109"/>
      <c r="T787" s="109"/>
      <c r="U787" s="109"/>
      <c r="V787" s="113"/>
      <c r="W787" s="109"/>
      <c r="X787" s="114"/>
    </row>
    <row r="788" spans="3:24" ht="15.75" customHeight="1" x14ac:dyDescent="0.2">
      <c r="C788" s="107"/>
      <c r="E788" s="108"/>
      <c r="F788" s="109"/>
      <c r="T788" s="109"/>
      <c r="U788" s="109"/>
      <c r="V788" s="113"/>
      <c r="W788" s="109"/>
      <c r="X788" s="114"/>
    </row>
    <row r="789" spans="3:24" ht="15.75" customHeight="1" x14ac:dyDescent="0.2">
      <c r="C789" s="107"/>
      <c r="E789" s="108"/>
      <c r="F789" s="109"/>
      <c r="T789" s="109"/>
      <c r="U789" s="109"/>
      <c r="V789" s="113"/>
      <c r="W789" s="109"/>
      <c r="X789" s="114"/>
    </row>
    <row r="790" spans="3:24" ht="15.75" customHeight="1" x14ac:dyDescent="0.2">
      <c r="C790" s="107"/>
      <c r="E790" s="108"/>
      <c r="F790" s="109"/>
      <c r="T790" s="109"/>
      <c r="U790" s="109"/>
      <c r="V790" s="113"/>
      <c r="W790" s="109"/>
      <c r="X790" s="114"/>
    </row>
    <row r="791" spans="3:24" ht="15.75" customHeight="1" x14ac:dyDescent="0.2">
      <c r="C791" s="107"/>
      <c r="E791" s="108"/>
      <c r="F791" s="109"/>
      <c r="T791" s="109"/>
      <c r="U791" s="109"/>
      <c r="V791" s="113"/>
      <c r="W791" s="109"/>
      <c r="X791" s="114"/>
    </row>
    <row r="792" spans="3:24" ht="15.75" customHeight="1" x14ac:dyDescent="0.2">
      <c r="C792" s="107"/>
      <c r="E792" s="108"/>
      <c r="F792" s="109"/>
      <c r="T792" s="109"/>
      <c r="U792" s="109"/>
      <c r="V792" s="113"/>
      <c r="W792" s="109"/>
      <c r="X792" s="114"/>
    </row>
    <row r="793" spans="3:24" ht="15.75" customHeight="1" x14ac:dyDescent="0.2">
      <c r="C793" s="107"/>
      <c r="E793" s="108"/>
      <c r="F793" s="109"/>
      <c r="T793" s="109"/>
      <c r="U793" s="109"/>
      <c r="V793" s="113"/>
      <c r="W793" s="109"/>
      <c r="X793" s="114"/>
    </row>
    <row r="794" spans="3:24" ht="15.75" customHeight="1" x14ac:dyDescent="0.2">
      <c r="C794" s="107"/>
      <c r="E794" s="108"/>
      <c r="F794" s="109"/>
      <c r="T794" s="109"/>
      <c r="U794" s="109"/>
      <c r="V794" s="113"/>
      <c r="W794" s="109"/>
      <c r="X794" s="114"/>
    </row>
    <row r="795" spans="3:24" ht="15.75" customHeight="1" x14ac:dyDescent="0.2">
      <c r="C795" s="107"/>
      <c r="E795" s="108"/>
      <c r="F795" s="109"/>
      <c r="T795" s="109"/>
      <c r="U795" s="109"/>
      <c r="V795" s="113"/>
      <c r="W795" s="109"/>
      <c r="X795" s="114"/>
    </row>
    <row r="796" spans="3:24" ht="15.75" customHeight="1" x14ac:dyDescent="0.2">
      <c r="C796" s="107"/>
      <c r="E796" s="108"/>
      <c r="F796" s="109"/>
      <c r="T796" s="109"/>
      <c r="U796" s="109"/>
      <c r="V796" s="113"/>
      <c r="W796" s="109"/>
      <c r="X796" s="114"/>
    </row>
    <row r="797" spans="3:24" ht="15.75" customHeight="1" x14ac:dyDescent="0.2">
      <c r="C797" s="107"/>
      <c r="E797" s="108"/>
      <c r="F797" s="109"/>
      <c r="T797" s="109"/>
      <c r="U797" s="109"/>
      <c r="V797" s="113"/>
      <c r="W797" s="109"/>
      <c r="X797" s="114"/>
    </row>
    <row r="798" spans="3:24" ht="15.75" customHeight="1" x14ac:dyDescent="0.2">
      <c r="C798" s="107"/>
      <c r="E798" s="108"/>
      <c r="F798" s="109"/>
      <c r="T798" s="109"/>
      <c r="U798" s="109"/>
      <c r="V798" s="113"/>
      <c r="W798" s="109"/>
      <c r="X798" s="114"/>
    </row>
    <row r="799" spans="3:24" ht="15.75" customHeight="1" x14ac:dyDescent="0.2">
      <c r="C799" s="107"/>
      <c r="E799" s="108"/>
      <c r="F799" s="109"/>
      <c r="T799" s="109"/>
      <c r="U799" s="109"/>
      <c r="V799" s="113"/>
      <c r="W799" s="109"/>
      <c r="X799" s="114"/>
    </row>
    <row r="800" spans="3:24" ht="15.75" customHeight="1" x14ac:dyDescent="0.2">
      <c r="C800" s="107"/>
      <c r="E800" s="108"/>
      <c r="F800" s="109"/>
      <c r="T800" s="109"/>
      <c r="U800" s="109"/>
      <c r="V800" s="113"/>
      <c r="W800" s="109"/>
      <c r="X800" s="114"/>
    </row>
    <row r="801" spans="3:24" ht="15.75" customHeight="1" x14ac:dyDescent="0.2">
      <c r="C801" s="107"/>
      <c r="E801" s="108"/>
      <c r="F801" s="109"/>
      <c r="T801" s="109"/>
      <c r="U801" s="109"/>
      <c r="V801" s="113"/>
      <c r="W801" s="109"/>
      <c r="X801" s="114"/>
    </row>
    <row r="802" spans="3:24" ht="15.75" customHeight="1" x14ac:dyDescent="0.2">
      <c r="C802" s="107"/>
      <c r="E802" s="108"/>
      <c r="F802" s="109"/>
      <c r="T802" s="109"/>
      <c r="U802" s="109"/>
      <c r="V802" s="113"/>
      <c r="W802" s="109"/>
      <c r="X802" s="114"/>
    </row>
    <row r="803" spans="3:24" ht="15.75" customHeight="1" x14ac:dyDescent="0.2">
      <c r="C803" s="107"/>
      <c r="E803" s="108"/>
      <c r="F803" s="109"/>
      <c r="T803" s="109"/>
      <c r="U803" s="109"/>
      <c r="V803" s="113"/>
      <c r="W803" s="109"/>
      <c r="X803" s="114"/>
    </row>
    <row r="804" spans="3:24" ht="15.75" customHeight="1" x14ac:dyDescent="0.2">
      <c r="C804" s="107"/>
      <c r="E804" s="108"/>
      <c r="F804" s="109"/>
      <c r="T804" s="109"/>
      <c r="U804" s="109"/>
      <c r="V804" s="113"/>
      <c r="W804" s="109"/>
      <c r="X804" s="114"/>
    </row>
    <row r="805" spans="3:24" ht="15.75" customHeight="1" x14ac:dyDescent="0.2">
      <c r="C805" s="107"/>
      <c r="E805" s="108"/>
      <c r="F805" s="109"/>
      <c r="T805" s="109"/>
      <c r="U805" s="109"/>
      <c r="V805" s="113"/>
      <c r="W805" s="109"/>
      <c r="X805" s="114"/>
    </row>
    <row r="806" spans="3:24" ht="15.75" customHeight="1" x14ac:dyDescent="0.2">
      <c r="C806" s="107"/>
      <c r="E806" s="108"/>
      <c r="F806" s="109"/>
      <c r="T806" s="109"/>
      <c r="U806" s="109"/>
      <c r="V806" s="113"/>
      <c r="W806" s="109"/>
      <c r="X806" s="114"/>
    </row>
    <row r="807" spans="3:24" ht="15.75" customHeight="1" x14ac:dyDescent="0.2">
      <c r="C807" s="107"/>
      <c r="E807" s="108"/>
      <c r="F807" s="109"/>
      <c r="T807" s="109"/>
      <c r="U807" s="109"/>
      <c r="V807" s="113"/>
      <c r="W807" s="109"/>
      <c r="X807" s="114"/>
    </row>
    <row r="808" spans="3:24" ht="15.75" customHeight="1" x14ac:dyDescent="0.2">
      <c r="C808" s="107"/>
      <c r="E808" s="108"/>
      <c r="F808" s="109"/>
      <c r="T808" s="109"/>
      <c r="U808" s="109"/>
      <c r="V808" s="113"/>
      <c r="W808" s="109"/>
      <c r="X808" s="114"/>
    </row>
    <row r="809" spans="3:24" ht="15.75" customHeight="1" x14ac:dyDescent="0.2">
      <c r="C809" s="107"/>
      <c r="E809" s="108"/>
      <c r="F809" s="109"/>
      <c r="T809" s="109"/>
      <c r="U809" s="109"/>
      <c r="V809" s="113"/>
      <c r="W809" s="109"/>
      <c r="X809" s="114"/>
    </row>
    <row r="810" spans="3:24" ht="15.75" customHeight="1" x14ac:dyDescent="0.2">
      <c r="C810" s="107"/>
      <c r="E810" s="108"/>
      <c r="F810" s="109"/>
      <c r="T810" s="109"/>
      <c r="U810" s="109"/>
      <c r="V810" s="113"/>
      <c r="W810" s="109"/>
      <c r="X810" s="114"/>
    </row>
    <row r="811" spans="3:24" ht="15.75" customHeight="1" x14ac:dyDescent="0.2">
      <c r="C811" s="107"/>
      <c r="E811" s="108"/>
      <c r="F811" s="109"/>
      <c r="T811" s="109"/>
      <c r="U811" s="109"/>
      <c r="V811" s="113"/>
      <c r="W811" s="109"/>
      <c r="X811" s="114"/>
    </row>
    <row r="812" spans="3:24" ht="15.75" customHeight="1" x14ac:dyDescent="0.2">
      <c r="C812" s="107"/>
      <c r="E812" s="108"/>
      <c r="F812" s="109"/>
      <c r="T812" s="109"/>
      <c r="U812" s="109"/>
      <c r="V812" s="113"/>
      <c r="W812" s="109"/>
      <c r="X812" s="114"/>
    </row>
    <row r="813" spans="3:24" ht="15.75" customHeight="1" x14ac:dyDescent="0.2">
      <c r="C813" s="107"/>
      <c r="E813" s="108"/>
      <c r="F813" s="109"/>
      <c r="T813" s="109"/>
      <c r="U813" s="109"/>
      <c r="V813" s="113"/>
      <c r="W813" s="109"/>
      <c r="X813" s="114"/>
    </row>
    <row r="814" spans="3:24" ht="15.75" customHeight="1" x14ac:dyDescent="0.2">
      <c r="C814" s="107"/>
      <c r="E814" s="108"/>
      <c r="F814" s="109"/>
      <c r="T814" s="109"/>
      <c r="U814" s="109"/>
      <c r="V814" s="113"/>
      <c r="W814" s="109"/>
      <c r="X814" s="114"/>
    </row>
    <row r="815" spans="3:24" ht="15.75" customHeight="1" x14ac:dyDescent="0.2">
      <c r="C815" s="107"/>
      <c r="E815" s="108"/>
      <c r="F815" s="109"/>
      <c r="T815" s="109"/>
      <c r="U815" s="109"/>
      <c r="V815" s="113"/>
      <c r="W815" s="109"/>
      <c r="X815" s="114"/>
    </row>
    <row r="816" spans="3:24" ht="15.75" customHeight="1" x14ac:dyDescent="0.2">
      <c r="C816" s="107"/>
      <c r="E816" s="108"/>
      <c r="F816" s="109"/>
      <c r="T816" s="109"/>
      <c r="U816" s="109"/>
      <c r="V816" s="113"/>
      <c r="W816" s="109"/>
      <c r="X816" s="114"/>
    </row>
    <row r="817" spans="3:24" ht="15.75" customHeight="1" x14ac:dyDescent="0.2">
      <c r="C817" s="107"/>
      <c r="E817" s="108"/>
      <c r="F817" s="109"/>
      <c r="T817" s="109"/>
      <c r="U817" s="109"/>
      <c r="V817" s="113"/>
      <c r="W817" s="109"/>
      <c r="X817" s="114"/>
    </row>
    <row r="818" spans="3:24" ht="15.75" customHeight="1" x14ac:dyDescent="0.2">
      <c r="C818" s="107"/>
      <c r="E818" s="108"/>
      <c r="F818" s="109"/>
      <c r="T818" s="109"/>
      <c r="U818" s="109"/>
      <c r="V818" s="113"/>
      <c r="W818" s="109"/>
      <c r="X818" s="114"/>
    </row>
    <row r="819" spans="3:24" ht="15.75" customHeight="1" x14ac:dyDescent="0.2">
      <c r="C819" s="107"/>
      <c r="E819" s="108"/>
      <c r="F819" s="109"/>
      <c r="T819" s="109"/>
      <c r="U819" s="109"/>
      <c r="V819" s="113"/>
      <c r="W819" s="109"/>
      <c r="X819" s="114"/>
    </row>
    <row r="820" spans="3:24" ht="15.75" customHeight="1" x14ac:dyDescent="0.2">
      <c r="C820" s="107"/>
      <c r="E820" s="108"/>
      <c r="F820" s="109"/>
      <c r="T820" s="109"/>
      <c r="U820" s="109"/>
      <c r="V820" s="113"/>
      <c r="W820" s="109"/>
      <c r="X820" s="114"/>
    </row>
    <row r="821" spans="3:24" ht="15.75" customHeight="1" x14ac:dyDescent="0.2">
      <c r="C821" s="107"/>
      <c r="E821" s="108"/>
      <c r="F821" s="109"/>
      <c r="T821" s="109"/>
      <c r="U821" s="109"/>
      <c r="V821" s="113"/>
      <c r="W821" s="109"/>
      <c r="X821" s="114"/>
    </row>
    <row r="822" spans="3:24" ht="15.75" customHeight="1" x14ac:dyDescent="0.2">
      <c r="C822" s="107"/>
      <c r="E822" s="108"/>
      <c r="F822" s="109"/>
      <c r="T822" s="109"/>
      <c r="U822" s="109"/>
      <c r="V822" s="113"/>
      <c r="W822" s="109"/>
      <c r="X822" s="114"/>
    </row>
    <row r="823" spans="3:24" ht="15.75" customHeight="1" x14ac:dyDescent="0.2">
      <c r="C823" s="107"/>
      <c r="E823" s="108"/>
      <c r="F823" s="109"/>
      <c r="T823" s="109"/>
      <c r="U823" s="109"/>
      <c r="V823" s="113"/>
      <c r="W823" s="109"/>
      <c r="X823" s="114"/>
    </row>
    <row r="824" spans="3:24" ht="15.75" customHeight="1" x14ac:dyDescent="0.2">
      <c r="C824" s="107"/>
      <c r="E824" s="108"/>
      <c r="F824" s="109"/>
      <c r="T824" s="109"/>
      <c r="U824" s="109"/>
      <c r="V824" s="113"/>
      <c r="W824" s="109"/>
      <c r="X824" s="114"/>
    </row>
    <row r="825" spans="3:24" ht="15.75" customHeight="1" x14ac:dyDescent="0.2">
      <c r="C825" s="107"/>
      <c r="E825" s="108"/>
      <c r="F825" s="109"/>
      <c r="T825" s="109"/>
      <c r="U825" s="109"/>
      <c r="V825" s="113"/>
      <c r="W825" s="109"/>
      <c r="X825" s="114"/>
    </row>
    <row r="826" spans="3:24" ht="15.75" customHeight="1" x14ac:dyDescent="0.2">
      <c r="C826" s="107"/>
      <c r="E826" s="108"/>
      <c r="F826" s="109"/>
      <c r="T826" s="109"/>
      <c r="U826" s="109"/>
      <c r="V826" s="113"/>
      <c r="W826" s="109"/>
      <c r="X826" s="114"/>
    </row>
    <row r="827" spans="3:24" ht="15.75" customHeight="1" x14ac:dyDescent="0.2">
      <c r="C827" s="107"/>
      <c r="E827" s="108"/>
      <c r="F827" s="109"/>
      <c r="T827" s="109"/>
      <c r="U827" s="109"/>
      <c r="V827" s="113"/>
      <c r="W827" s="109"/>
      <c r="X827" s="114"/>
    </row>
    <row r="828" spans="3:24" ht="15.75" customHeight="1" x14ac:dyDescent="0.2">
      <c r="C828" s="107"/>
      <c r="E828" s="108"/>
      <c r="F828" s="109"/>
      <c r="T828" s="109"/>
      <c r="U828" s="109"/>
      <c r="V828" s="113"/>
      <c r="W828" s="109"/>
      <c r="X828" s="114"/>
    </row>
    <row r="829" spans="3:24" ht="15.75" customHeight="1" x14ac:dyDescent="0.2">
      <c r="C829" s="107"/>
      <c r="E829" s="108"/>
      <c r="F829" s="109"/>
      <c r="T829" s="109"/>
      <c r="U829" s="109"/>
      <c r="V829" s="113"/>
      <c r="W829" s="109"/>
      <c r="X829" s="114"/>
    </row>
    <row r="830" spans="3:24" ht="15.75" customHeight="1" x14ac:dyDescent="0.2">
      <c r="C830" s="107"/>
      <c r="E830" s="108"/>
      <c r="F830" s="109"/>
      <c r="T830" s="109"/>
      <c r="U830" s="109"/>
      <c r="V830" s="113"/>
      <c r="W830" s="109"/>
      <c r="X830" s="114"/>
    </row>
    <row r="831" spans="3:24" ht="15.75" customHeight="1" x14ac:dyDescent="0.2">
      <c r="C831" s="107"/>
      <c r="E831" s="108"/>
      <c r="F831" s="109"/>
      <c r="T831" s="109"/>
      <c r="U831" s="109"/>
      <c r="V831" s="113"/>
      <c r="W831" s="109"/>
      <c r="X831" s="114"/>
    </row>
    <row r="832" spans="3:24" ht="15.75" customHeight="1" x14ac:dyDescent="0.2">
      <c r="C832" s="107"/>
      <c r="E832" s="108"/>
      <c r="F832" s="109"/>
      <c r="T832" s="109"/>
      <c r="U832" s="109"/>
      <c r="V832" s="113"/>
      <c r="W832" s="109"/>
      <c r="X832" s="114"/>
    </row>
    <row r="833" spans="3:24" ht="15.75" customHeight="1" x14ac:dyDescent="0.2">
      <c r="C833" s="107"/>
      <c r="E833" s="108"/>
      <c r="F833" s="109"/>
      <c r="T833" s="109"/>
      <c r="U833" s="109"/>
      <c r="V833" s="113"/>
      <c r="W833" s="109"/>
      <c r="X833" s="114"/>
    </row>
    <row r="834" spans="3:24" ht="15.75" customHeight="1" x14ac:dyDescent="0.2">
      <c r="C834" s="107"/>
      <c r="E834" s="108"/>
      <c r="F834" s="109"/>
      <c r="T834" s="109"/>
      <c r="U834" s="109"/>
      <c r="V834" s="113"/>
      <c r="W834" s="109"/>
      <c r="X834" s="114"/>
    </row>
    <row r="835" spans="3:24" ht="15.75" customHeight="1" x14ac:dyDescent="0.2">
      <c r="C835" s="107"/>
      <c r="E835" s="108"/>
      <c r="F835" s="109"/>
      <c r="T835" s="109"/>
      <c r="U835" s="109"/>
      <c r="V835" s="113"/>
      <c r="W835" s="109"/>
      <c r="X835" s="114"/>
    </row>
    <row r="836" spans="3:24" ht="15.75" customHeight="1" x14ac:dyDescent="0.2">
      <c r="C836" s="107"/>
      <c r="E836" s="108"/>
      <c r="F836" s="109"/>
      <c r="T836" s="109"/>
      <c r="U836" s="109"/>
      <c r="V836" s="113"/>
      <c r="W836" s="109"/>
      <c r="X836" s="114"/>
    </row>
    <row r="837" spans="3:24" ht="15.75" customHeight="1" x14ac:dyDescent="0.2">
      <c r="C837" s="107"/>
      <c r="E837" s="108"/>
      <c r="F837" s="109"/>
      <c r="T837" s="109"/>
      <c r="U837" s="109"/>
      <c r="V837" s="113"/>
      <c r="W837" s="109"/>
      <c r="X837" s="114"/>
    </row>
    <row r="838" spans="3:24" ht="15.75" customHeight="1" x14ac:dyDescent="0.2">
      <c r="C838" s="107"/>
      <c r="E838" s="108"/>
      <c r="F838" s="109"/>
      <c r="T838" s="109"/>
      <c r="U838" s="109"/>
      <c r="V838" s="113"/>
      <c r="W838" s="109"/>
      <c r="X838" s="114"/>
    </row>
    <row r="839" spans="3:24" ht="15.75" customHeight="1" x14ac:dyDescent="0.2">
      <c r="C839" s="107"/>
      <c r="E839" s="108"/>
      <c r="F839" s="109"/>
      <c r="T839" s="109"/>
      <c r="U839" s="109"/>
      <c r="V839" s="113"/>
      <c r="W839" s="109"/>
      <c r="X839" s="114"/>
    </row>
    <row r="840" spans="3:24" ht="15.75" customHeight="1" x14ac:dyDescent="0.2">
      <c r="C840" s="107"/>
      <c r="E840" s="108"/>
      <c r="F840" s="109"/>
      <c r="T840" s="109"/>
      <c r="U840" s="109"/>
      <c r="V840" s="113"/>
      <c r="W840" s="109"/>
      <c r="X840" s="114"/>
    </row>
    <row r="841" spans="3:24" ht="15.75" customHeight="1" x14ac:dyDescent="0.2">
      <c r="C841" s="107"/>
      <c r="E841" s="108"/>
      <c r="F841" s="109"/>
      <c r="T841" s="109"/>
      <c r="U841" s="109"/>
      <c r="V841" s="113"/>
      <c r="W841" s="109"/>
      <c r="X841" s="114"/>
    </row>
    <row r="842" spans="3:24" ht="15.75" customHeight="1" x14ac:dyDescent="0.2">
      <c r="C842" s="107"/>
      <c r="E842" s="108"/>
      <c r="F842" s="109"/>
      <c r="T842" s="109"/>
      <c r="U842" s="109"/>
      <c r="V842" s="113"/>
      <c r="W842" s="109"/>
      <c r="X842" s="114"/>
    </row>
    <row r="843" spans="3:24" ht="15.75" customHeight="1" x14ac:dyDescent="0.2">
      <c r="C843" s="107"/>
      <c r="E843" s="108"/>
      <c r="F843" s="109"/>
      <c r="T843" s="109"/>
      <c r="U843" s="109"/>
      <c r="V843" s="113"/>
      <c r="W843" s="109"/>
      <c r="X843" s="114"/>
    </row>
    <row r="844" spans="3:24" ht="15.75" customHeight="1" x14ac:dyDescent="0.2">
      <c r="C844" s="107"/>
      <c r="E844" s="108"/>
      <c r="F844" s="109"/>
      <c r="T844" s="109"/>
      <c r="U844" s="109"/>
      <c r="V844" s="113"/>
      <c r="W844" s="109"/>
      <c r="X844" s="114"/>
    </row>
    <row r="845" spans="3:24" ht="15.75" customHeight="1" x14ac:dyDescent="0.2">
      <c r="C845" s="107"/>
      <c r="E845" s="108"/>
      <c r="F845" s="109"/>
      <c r="T845" s="109"/>
      <c r="U845" s="109"/>
      <c r="V845" s="113"/>
      <c r="W845" s="109"/>
      <c r="X845" s="114"/>
    </row>
    <row r="846" spans="3:24" ht="15.75" customHeight="1" x14ac:dyDescent="0.2">
      <c r="C846" s="107"/>
      <c r="E846" s="108"/>
      <c r="F846" s="109"/>
      <c r="T846" s="109"/>
      <c r="U846" s="109"/>
      <c r="V846" s="113"/>
      <c r="W846" s="109"/>
      <c r="X846" s="114"/>
    </row>
    <row r="847" spans="3:24" ht="15.75" customHeight="1" x14ac:dyDescent="0.2">
      <c r="C847" s="107"/>
      <c r="E847" s="108"/>
      <c r="F847" s="109"/>
      <c r="T847" s="109"/>
      <c r="U847" s="109"/>
      <c r="V847" s="113"/>
      <c r="W847" s="109"/>
      <c r="X847" s="114"/>
    </row>
    <row r="848" spans="3:24" ht="15.75" customHeight="1" x14ac:dyDescent="0.2">
      <c r="C848" s="107"/>
      <c r="E848" s="108"/>
      <c r="F848" s="109"/>
      <c r="T848" s="109"/>
      <c r="U848" s="109"/>
      <c r="V848" s="113"/>
      <c r="W848" s="109"/>
      <c r="X848" s="114"/>
    </row>
    <row r="849" spans="3:24" ht="15.75" customHeight="1" x14ac:dyDescent="0.2">
      <c r="C849" s="107"/>
      <c r="E849" s="108"/>
      <c r="F849" s="109"/>
      <c r="T849" s="109"/>
      <c r="U849" s="109"/>
      <c r="V849" s="113"/>
      <c r="W849" s="109"/>
      <c r="X849" s="114"/>
    </row>
    <row r="850" spans="3:24" ht="15.75" customHeight="1" x14ac:dyDescent="0.2">
      <c r="C850" s="107"/>
      <c r="E850" s="108"/>
      <c r="F850" s="109"/>
      <c r="T850" s="109"/>
      <c r="U850" s="109"/>
      <c r="V850" s="113"/>
      <c r="W850" s="109"/>
      <c r="X850" s="114"/>
    </row>
    <row r="851" spans="3:24" ht="15.75" customHeight="1" x14ac:dyDescent="0.2">
      <c r="C851" s="107"/>
      <c r="E851" s="108"/>
      <c r="F851" s="109"/>
      <c r="T851" s="109"/>
      <c r="U851" s="109"/>
      <c r="V851" s="113"/>
      <c r="W851" s="109"/>
      <c r="X851" s="114"/>
    </row>
    <row r="852" spans="3:24" ht="15.75" customHeight="1" x14ac:dyDescent="0.2">
      <c r="C852" s="107"/>
      <c r="E852" s="108"/>
      <c r="F852" s="109"/>
      <c r="T852" s="109"/>
      <c r="U852" s="109"/>
      <c r="V852" s="113"/>
      <c r="W852" s="109"/>
      <c r="X852" s="114"/>
    </row>
    <row r="853" spans="3:24" ht="15.75" customHeight="1" x14ac:dyDescent="0.2">
      <c r="C853" s="107"/>
      <c r="E853" s="108"/>
      <c r="F853" s="109"/>
      <c r="T853" s="109"/>
      <c r="U853" s="109"/>
      <c r="V853" s="113"/>
      <c r="W853" s="109"/>
      <c r="X853" s="114"/>
    </row>
    <row r="854" spans="3:24" ht="15.75" customHeight="1" x14ac:dyDescent="0.2">
      <c r="C854" s="107"/>
      <c r="E854" s="108"/>
      <c r="F854" s="109"/>
      <c r="T854" s="109"/>
      <c r="U854" s="109"/>
      <c r="V854" s="113"/>
      <c r="W854" s="109"/>
      <c r="X854" s="114"/>
    </row>
    <row r="855" spans="3:24" ht="15.75" customHeight="1" x14ac:dyDescent="0.2">
      <c r="C855" s="107"/>
      <c r="E855" s="108"/>
      <c r="F855" s="109"/>
      <c r="T855" s="109"/>
      <c r="U855" s="109"/>
      <c r="V855" s="113"/>
      <c r="W855" s="109"/>
      <c r="X855" s="114"/>
    </row>
    <row r="856" spans="3:24" ht="15.75" customHeight="1" x14ac:dyDescent="0.2">
      <c r="C856" s="107"/>
      <c r="E856" s="108"/>
      <c r="F856" s="109"/>
      <c r="T856" s="109"/>
      <c r="U856" s="109"/>
      <c r="V856" s="113"/>
      <c r="W856" s="109"/>
      <c r="X856" s="114"/>
    </row>
    <row r="857" spans="3:24" ht="15.75" customHeight="1" x14ac:dyDescent="0.2">
      <c r="C857" s="107"/>
      <c r="E857" s="108"/>
      <c r="F857" s="109"/>
      <c r="T857" s="109"/>
      <c r="U857" s="109"/>
      <c r="V857" s="113"/>
      <c r="W857" s="109"/>
      <c r="X857" s="114"/>
    </row>
    <row r="858" spans="3:24" ht="15.75" customHeight="1" x14ac:dyDescent="0.2">
      <c r="C858" s="107"/>
      <c r="E858" s="108"/>
      <c r="F858" s="109"/>
      <c r="T858" s="109"/>
      <c r="U858" s="109"/>
      <c r="V858" s="113"/>
      <c r="W858" s="109"/>
      <c r="X858" s="114"/>
    </row>
    <row r="859" spans="3:24" ht="15.75" customHeight="1" x14ac:dyDescent="0.2">
      <c r="C859" s="107"/>
      <c r="E859" s="108"/>
      <c r="F859" s="109"/>
      <c r="T859" s="109"/>
      <c r="U859" s="109"/>
      <c r="V859" s="113"/>
      <c r="W859" s="109"/>
      <c r="X859" s="114"/>
    </row>
    <row r="860" spans="3:24" ht="15.75" customHeight="1" x14ac:dyDescent="0.2">
      <c r="C860" s="107"/>
      <c r="E860" s="108"/>
      <c r="F860" s="109"/>
      <c r="T860" s="109"/>
      <c r="U860" s="109"/>
      <c r="V860" s="113"/>
      <c r="W860" s="109"/>
      <c r="X860" s="114"/>
    </row>
    <row r="861" spans="3:24" ht="15.75" customHeight="1" x14ac:dyDescent="0.2">
      <c r="C861" s="107"/>
      <c r="E861" s="108"/>
      <c r="F861" s="109"/>
      <c r="T861" s="109"/>
      <c r="U861" s="109"/>
      <c r="V861" s="113"/>
      <c r="W861" s="109"/>
      <c r="X861" s="114"/>
    </row>
    <row r="862" spans="3:24" ht="15.75" customHeight="1" x14ac:dyDescent="0.2">
      <c r="C862" s="107"/>
      <c r="E862" s="108"/>
      <c r="F862" s="109"/>
      <c r="T862" s="109"/>
      <c r="U862" s="109"/>
      <c r="V862" s="113"/>
      <c r="W862" s="109"/>
      <c r="X862" s="114"/>
    </row>
    <row r="863" spans="3:24" ht="15.75" customHeight="1" x14ac:dyDescent="0.2">
      <c r="C863" s="107"/>
      <c r="E863" s="108"/>
      <c r="F863" s="109"/>
      <c r="T863" s="109"/>
      <c r="U863" s="109"/>
      <c r="V863" s="113"/>
      <c r="W863" s="109"/>
      <c r="X863" s="114"/>
    </row>
    <row r="864" spans="3:24" ht="15.75" customHeight="1" x14ac:dyDescent="0.2">
      <c r="C864" s="107"/>
      <c r="E864" s="108"/>
      <c r="F864" s="109"/>
      <c r="T864" s="109"/>
      <c r="U864" s="109"/>
      <c r="V864" s="113"/>
      <c r="W864" s="109"/>
      <c r="X864" s="114"/>
    </row>
    <row r="865" spans="3:24" ht="15.75" customHeight="1" x14ac:dyDescent="0.2">
      <c r="C865" s="107"/>
      <c r="E865" s="108"/>
      <c r="F865" s="109"/>
      <c r="T865" s="109"/>
      <c r="U865" s="109"/>
      <c r="V865" s="113"/>
      <c r="W865" s="109"/>
      <c r="X865" s="114"/>
    </row>
    <row r="866" spans="3:24" ht="15.75" customHeight="1" x14ac:dyDescent="0.2">
      <c r="C866" s="107"/>
      <c r="E866" s="108"/>
      <c r="F866" s="109"/>
      <c r="T866" s="109"/>
      <c r="U866" s="109"/>
      <c r="V866" s="113"/>
      <c r="W866" s="109"/>
      <c r="X866" s="114"/>
    </row>
    <row r="867" spans="3:24" ht="15.75" customHeight="1" x14ac:dyDescent="0.2">
      <c r="C867" s="107"/>
      <c r="E867" s="108"/>
      <c r="F867" s="109"/>
      <c r="T867" s="109"/>
      <c r="U867" s="109"/>
      <c r="V867" s="113"/>
      <c r="W867" s="109"/>
      <c r="X867" s="114"/>
    </row>
    <row r="868" spans="3:24" ht="15.75" customHeight="1" x14ac:dyDescent="0.2">
      <c r="C868" s="107"/>
      <c r="E868" s="108"/>
      <c r="F868" s="109"/>
      <c r="T868" s="109"/>
      <c r="U868" s="109"/>
      <c r="V868" s="113"/>
      <c r="W868" s="109"/>
      <c r="X868" s="114"/>
    </row>
    <row r="869" spans="3:24" ht="15.75" customHeight="1" x14ac:dyDescent="0.2">
      <c r="C869" s="107"/>
      <c r="E869" s="108"/>
      <c r="F869" s="109"/>
      <c r="T869" s="109"/>
      <c r="U869" s="109"/>
      <c r="V869" s="113"/>
      <c r="W869" s="109"/>
      <c r="X869" s="114"/>
    </row>
    <row r="870" spans="3:24" ht="15.75" customHeight="1" x14ac:dyDescent="0.2">
      <c r="C870" s="107"/>
      <c r="E870" s="108"/>
      <c r="F870" s="109"/>
      <c r="T870" s="109"/>
      <c r="U870" s="109"/>
      <c r="V870" s="113"/>
      <c r="W870" s="109"/>
      <c r="X870" s="114"/>
    </row>
    <row r="871" spans="3:24" ht="15.75" customHeight="1" x14ac:dyDescent="0.2">
      <c r="C871" s="107"/>
      <c r="E871" s="108"/>
      <c r="F871" s="109"/>
      <c r="T871" s="109"/>
      <c r="U871" s="109"/>
      <c r="V871" s="113"/>
      <c r="W871" s="109"/>
      <c r="X871" s="114"/>
    </row>
    <row r="872" spans="3:24" ht="15.75" customHeight="1" x14ac:dyDescent="0.2">
      <c r="C872" s="107"/>
      <c r="E872" s="108"/>
      <c r="F872" s="109"/>
      <c r="T872" s="109"/>
      <c r="U872" s="109"/>
      <c r="V872" s="113"/>
      <c r="W872" s="109"/>
      <c r="X872" s="114"/>
    </row>
    <row r="873" spans="3:24" ht="15.75" customHeight="1" x14ac:dyDescent="0.2">
      <c r="C873" s="107"/>
      <c r="E873" s="108"/>
      <c r="F873" s="109"/>
      <c r="T873" s="109"/>
      <c r="U873" s="109"/>
      <c r="V873" s="113"/>
      <c r="W873" s="109"/>
      <c r="X873" s="114"/>
    </row>
    <row r="874" spans="3:24" ht="15.75" customHeight="1" x14ac:dyDescent="0.2">
      <c r="C874" s="107"/>
      <c r="E874" s="108"/>
      <c r="F874" s="109"/>
      <c r="T874" s="109"/>
      <c r="U874" s="109"/>
      <c r="V874" s="113"/>
      <c r="W874" s="109"/>
      <c r="X874" s="114"/>
    </row>
    <row r="875" spans="3:24" ht="15.75" customHeight="1" x14ac:dyDescent="0.2">
      <c r="C875" s="107"/>
      <c r="E875" s="108"/>
      <c r="F875" s="109"/>
      <c r="T875" s="109"/>
      <c r="U875" s="109"/>
      <c r="V875" s="113"/>
      <c r="W875" s="109"/>
      <c r="X875" s="114"/>
    </row>
    <row r="876" spans="3:24" ht="15.75" customHeight="1" x14ac:dyDescent="0.2">
      <c r="C876" s="107"/>
      <c r="E876" s="108"/>
      <c r="F876" s="109"/>
      <c r="T876" s="109"/>
      <c r="U876" s="109"/>
      <c r="V876" s="113"/>
      <c r="W876" s="109"/>
      <c r="X876" s="114"/>
    </row>
    <row r="877" spans="3:24" ht="15.75" customHeight="1" x14ac:dyDescent="0.2">
      <c r="C877" s="107"/>
      <c r="E877" s="108"/>
      <c r="F877" s="109"/>
      <c r="T877" s="109"/>
      <c r="U877" s="109"/>
      <c r="V877" s="113"/>
      <c r="W877" s="109"/>
      <c r="X877" s="114"/>
    </row>
    <row r="878" spans="3:24" ht="15.75" customHeight="1" x14ac:dyDescent="0.2">
      <c r="C878" s="107"/>
      <c r="E878" s="108"/>
      <c r="F878" s="109"/>
      <c r="T878" s="109"/>
      <c r="U878" s="109"/>
      <c r="V878" s="113"/>
      <c r="W878" s="109"/>
      <c r="X878" s="114"/>
    </row>
    <row r="879" spans="3:24" ht="15.75" customHeight="1" x14ac:dyDescent="0.2">
      <c r="C879" s="107"/>
      <c r="E879" s="108"/>
      <c r="F879" s="109"/>
      <c r="T879" s="109"/>
      <c r="U879" s="109"/>
      <c r="V879" s="113"/>
      <c r="W879" s="109"/>
      <c r="X879" s="114"/>
    </row>
    <row r="880" spans="3:24" ht="15.75" customHeight="1" x14ac:dyDescent="0.2">
      <c r="C880" s="107"/>
      <c r="E880" s="108"/>
      <c r="F880" s="109"/>
      <c r="T880" s="109"/>
      <c r="U880" s="109"/>
      <c r="V880" s="113"/>
      <c r="W880" s="109"/>
      <c r="X880" s="114"/>
    </row>
    <row r="881" spans="3:24" ht="15.75" customHeight="1" x14ac:dyDescent="0.2">
      <c r="C881" s="107"/>
      <c r="E881" s="108"/>
      <c r="F881" s="109"/>
      <c r="T881" s="109"/>
      <c r="U881" s="109"/>
      <c r="V881" s="113"/>
      <c r="W881" s="109"/>
      <c r="X881" s="114"/>
    </row>
    <row r="882" spans="3:24" ht="15.75" customHeight="1" x14ac:dyDescent="0.2">
      <c r="C882" s="107"/>
      <c r="E882" s="108"/>
      <c r="F882" s="109"/>
      <c r="T882" s="109"/>
      <c r="U882" s="109"/>
      <c r="V882" s="113"/>
      <c r="W882" s="109"/>
      <c r="X882" s="114"/>
    </row>
    <row r="883" spans="3:24" ht="15.75" customHeight="1" x14ac:dyDescent="0.2">
      <c r="C883" s="107"/>
      <c r="E883" s="108"/>
      <c r="F883" s="109"/>
      <c r="T883" s="109"/>
      <c r="U883" s="109"/>
      <c r="V883" s="113"/>
      <c r="W883" s="109"/>
      <c r="X883" s="114"/>
    </row>
    <row r="884" spans="3:24" ht="15.75" customHeight="1" x14ac:dyDescent="0.2">
      <c r="C884" s="107"/>
      <c r="E884" s="108"/>
      <c r="F884" s="109"/>
      <c r="T884" s="109"/>
      <c r="U884" s="109"/>
      <c r="V884" s="113"/>
      <c r="W884" s="109"/>
      <c r="X884" s="114"/>
    </row>
    <row r="885" spans="3:24" ht="15.75" customHeight="1" x14ac:dyDescent="0.2">
      <c r="C885" s="107"/>
      <c r="E885" s="108"/>
      <c r="F885" s="109"/>
      <c r="T885" s="109"/>
      <c r="U885" s="109"/>
      <c r="V885" s="113"/>
      <c r="W885" s="109"/>
      <c r="X885" s="114"/>
    </row>
    <row r="886" spans="3:24" ht="15.75" customHeight="1" x14ac:dyDescent="0.2">
      <c r="C886" s="107"/>
      <c r="E886" s="108"/>
      <c r="F886" s="109"/>
      <c r="T886" s="109"/>
      <c r="U886" s="109"/>
      <c r="V886" s="113"/>
      <c r="W886" s="109"/>
      <c r="X886" s="114"/>
    </row>
    <row r="887" spans="3:24" ht="15.75" customHeight="1" x14ac:dyDescent="0.2">
      <c r="C887" s="107"/>
      <c r="E887" s="108"/>
      <c r="F887" s="109"/>
      <c r="T887" s="109"/>
      <c r="U887" s="109"/>
      <c r="V887" s="113"/>
      <c r="W887" s="109"/>
      <c r="X887" s="114"/>
    </row>
    <row r="888" spans="3:24" ht="15.75" customHeight="1" x14ac:dyDescent="0.2">
      <c r="C888" s="107"/>
      <c r="E888" s="108"/>
      <c r="F888" s="109"/>
      <c r="T888" s="109"/>
      <c r="U888" s="109"/>
      <c r="V888" s="113"/>
      <c r="W888" s="109"/>
      <c r="X888" s="114"/>
    </row>
    <row r="889" spans="3:24" ht="15.75" customHeight="1" x14ac:dyDescent="0.2">
      <c r="C889" s="107"/>
      <c r="E889" s="108"/>
      <c r="F889" s="109"/>
      <c r="T889" s="109"/>
      <c r="U889" s="109"/>
      <c r="V889" s="113"/>
      <c r="W889" s="109"/>
      <c r="X889" s="114"/>
    </row>
    <row r="890" spans="3:24" ht="15.75" customHeight="1" x14ac:dyDescent="0.2">
      <c r="C890" s="107"/>
      <c r="E890" s="108"/>
      <c r="F890" s="109"/>
      <c r="T890" s="109"/>
      <c r="U890" s="109"/>
      <c r="V890" s="113"/>
      <c r="W890" s="109"/>
      <c r="X890" s="114"/>
    </row>
    <row r="891" spans="3:24" ht="15.75" customHeight="1" x14ac:dyDescent="0.2">
      <c r="C891" s="107"/>
      <c r="E891" s="108"/>
      <c r="F891" s="109"/>
      <c r="T891" s="109"/>
      <c r="U891" s="109"/>
      <c r="V891" s="113"/>
      <c r="W891" s="109"/>
      <c r="X891" s="114"/>
    </row>
    <row r="892" spans="3:24" ht="15.75" customHeight="1" x14ac:dyDescent="0.2">
      <c r="C892" s="107"/>
      <c r="E892" s="108"/>
      <c r="F892" s="109"/>
      <c r="T892" s="109"/>
      <c r="U892" s="109"/>
      <c r="V892" s="113"/>
      <c r="W892" s="109"/>
      <c r="X892" s="114"/>
    </row>
    <row r="893" spans="3:24" ht="15.75" customHeight="1" x14ac:dyDescent="0.2">
      <c r="C893" s="107"/>
      <c r="E893" s="108"/>
      <c r="F893" s="109"/>
      <c r="T893" s="109"/>
      <c r="U893" s="109"/>
      <c r="V893" s="113"/>
      <c r="W893" s="109"/>
      <c r="X893" s="114"/>
    </row>
    <row r="894" spans="3:24" ht="15.75" customHeight="1" x14ac:dyDescent="0.2">
      <c r="C894" s="107"/>
      <c r="E894" s="108"/>
      <c r="F894" s="109"/>
      <c r="T894" s="109"/>
      <c r="U894" s="109"/>
      <c r="V894" s="113"/>
      <c r="W894" s="109"/>
      <c r="X894" s="114"/>
    </row>
    <row r="895" spans="3:24" ht="15.75" customHeight="1" x14ac:dyDescent="0.2">
      <c r="C895" s="107"/>
      <c r="E895" s="108"/>
      <c r="F895" s="109"/>
      <c r="T895" s="109"/>
      <c r="U895" s="109"/>
      <c r="V895" s="113"/>
      <c r="W895" s="109"/>
      <c r="X895" s="114"/>
    </row>
    <row r="896" spans="3:24" ht="15.75" customHeight="1" x14ac:dyDescent="0.2">
      <c r="C896" s="107"/>
      <c r="E896" s="108"/>
      <c r="F896" s="109"/>
      <c r="T896" s="109"/>
      <c r="U896" s="109"/>
      <c r="V896" s="113"/>
      <c r="W896" s="109"/>
      <c r="X896" s="114"/>
    </row>
    <row r="897" spans="3:24" ht="15.75" customHeight="1" x14ac:dyDescent="0.2">
      <c r="C897" s="107"/>
      <c r="E897" s="108"/>
      <c r="F897" s="109"/>
      <c r="T897" s="109"/>
      <c r="U897" s="109"/>
      <c r="V897" s="113"/>
      <c r="W897" s="109"/>
      <c r="X897" s="114"/>
    </row>
    <row r="898" spans="3:24" ht="15.75" customHeight="1" x14ac:dyDescent="0.2">
      <c r="C898" s="107"/>
      <c r="E898" s="108"/>
      <c r="F898" s="109"/>
      <c r="T898" s="109"/>
      <c r="U898" s="109"/>
      <c r="V898" s="113"/>
      <c r="W898" s="109"/>
      <c r="X898" s="114"/>
    </row>
    <row r="899" spans="3:24" ht="15.75" customHeight="1" x14ac:dyDescent="0.2">
      <c r="C899" s="107"/>
      <c r="E899" s="108"/>
      <c r="F899" s="109"/>
      <c r="T899" s="109"/>
      <c r="U899" s="109"/>
      <c r="V899" s="113"/>
      <c r="W899" s="109"/>
      <c r="X899" s="114"/>
    </row>
    <row r="900" spans="3:24" ht="15.75" customHeight="1" x14ac:dyDescent="0.2">
      <c r="C900" s="107"/>
      <c r="E900" s="108"/>
      <c r="F900" s="109"/>
      <c r="T900" s="109"/>
      <c r="U900" s="109"/>
      <c r="V900" s="113"/>
      <c r="W900" s="109"/>
      <c r="X900" s="114"/>
    </row>
    <row r="901" spans="3:24" ht="15.75" customHeight="1" x14ac:dyDescent="0.2">
      <c r="C901" s="107"/>
      <c r="E901" s="108"/>
      <c r="F901" s="109"/>
      <c r="T901" s="109"/>
      <c r="U901" s="109"/>
      <c r="V901" s="113"/>
      <c r="W901" s="109"/>
      <c r="X901" s="114"/>
    </row>
    <row r="902" spans="3:24" ht="15.75" customHeight="1" x14ac:dyDescent="0.2">
      <c r="C902" s="107"/>
      <c r="E902" s="108"/>
      <c r="F902" s="109"/>
      <c r="T902" s="109"/>
      <c r="U902" s="109"/>
      <c r="V902" s="113"/>
      <c r="W902" s="109"/>
      <c r="X902" s="114"/>
    </row>
    <row r="903" spans="3:24" ht="15.75" customHeight="1" x14ac:dyDescent="0.2">
      <c r="C903" s="107"/>
      <c r="E903" s="108"/>
      <c r="F903" s="109"/>
      <c r="T903" s="109"/>
      <c r="U903" s="109"/>
      <c r="V903" s="113"/>
      <c r="W903" s="109"/>
      <c r="X903" s="114"/>
    </row>
    <row r="904" spans="3:24" ht="15.75" customHeight="1" x14ac:dyDescent="0.2">
      <c r="C904" s="107"/>
      <c r="E904" s="108"/>
      <c r="F904" s="109"/>
      <c r="T904" s="109"/>
      <c r="U904" s="109"/>
      <c r="V904" s="113"/>
      <c r="W904" s="109"/>
      <c r="X904" s="114"/>
    </row>
    <row r="905" spans="3:24" ht="15.75" customHeight="1" x14ac:dyDescent="0.2">
      <c r="C905" s="107"/>
      <c r="E905" s="108"/>
      <c r="F905" s="109"/>
      <c r="T905" s="109"/>
      <c r="U905" s="109"/>
      <c r="V905" s="113"/>
      <c r="W905" s="109"/>
      <c r="X905" s="114"/>
    </row>
    <row r="906" spans="3:24" ht="15.75" customHeight="1" x14ac:dyDescent="0.2">
      <c r="C906" s="107"/>
      <c r="E906" s="108"/>
      <c r="F906" s="109"/>
      <c r="T906" s="109"/>
      <c r="U906" s="109"/>
      <c r="V906" s="113"/>
      <c r="W906" s="109"/>
      <c r="X906" s="114"/>
    </row>
    <row r="907" spans="3:24" ht="15.75" customHeight="1" x14ac:dyDescent="0.2">
      <c r="C907" s="107"/>
      <c r="E907" s="108"/>
      <c r="F907" s="109"/>
      <c r="T907" s="109"/>
      <c r="U907" s="109"/>
      <c r="V907" s="113"/>
      <c r="W907" s="109"/>
      <c r="X907" s="114"/>
    </row>
    <row r="908" spans="3:24" ht="15.75" customHeight="1" x14ac:dyDescent="0.2">
      <c r="C908" s="107"/>
      <c r="E908" s="108"/>
      <c r="F908" s="109"/>
      <c r="T908" s="109"/>
      <c r="U908" s="109"/>
      <c r="V908" s="113"/>
      <c r="W908" s="109"/>
      <c r="X908" s="114"/>
    </row>
    <row r="909" spans="3:24" ht="15.75" customHeight="1" x14ac:dyDescent="0.2">
      <c r="C909" s="107"/>
      <c r="E909" s="108"/>
      <c r="F909" s="109"/>
      <c r="T909" s="109"/>
      <c r="U909" s="109"/>
      <c r="V909" s="113"/>
      <c r="W909" s="109"/>
      <c r="X909" s="114"/>
    </row>
    <row r="910" spans="3:24" ht="15.75" customHeight="1" x14ac:dyDescent="0.2">
      <c r="C910" s="107"/>
      <c r="E910" s="108"/>
      <c r="F910" s="109"/>
      <c r="T910" s="109"/>
      <c r="U910" s="109"/>
      <c r="V910" s="113"/>
      <c r="W910" s="109"/>
      <c r="X910" s="114"/>
    </row>
    <row r="911" spans="3:24" ht="15.75" customHeight="1" x14ac:dyDescent="0.2">
      <c r="C911" s="107"/>
      <c r="E911" s="108"/>
      <c r="F911" s="109"/>
      <c r="T911" s="109"/>
      <c r="U911" s="109"/>
      <c r="V911" s="113"/>
      <c r="W911" s="109"/>
      <c r="X911" s="114"/>
    </row>
    <row r="912" spans="3:24" ht="15.75" customHeight="1" x14ac:dyDescent="0.2">
      <c r="C912" s="107"/>
      <c r="E912" s="108"/>
      <c r="F912" s="109"/>
      <c r="T912" s="109"/>
      <c r="U912" s="109"/>
      <c r="V912" s="113"/>
      <c r="W912" s="109"/>
      <c r="X912" s="114"/>
    </row>
    <row r="913" spans="3:24" ht="15.75" customHeight="1" x14ac:dyDescent="0.2">
      <c r="C913" s="107"/>
      <c r="E913" s="108"/>
      <c r="F913" s="109"/>
      <c r="T913" s="109"/>
      <c r="U913" s="109"/>
      <c r="V913" s="113"/>
      <c r="W913" s="109"/>
      <c r="X913" s="114"/>
    </row>
    <row r="914" spans="3:24" ht="15.75" customHeight="1" x14ac:dyDescent="0.2">
      <c r="C914" s="107"/>
      <c r="E914" s="108"/>
      <c r="F914" s="109"/>
      <c r="T914" s="109"/>
      <c r="U914" s="109"/>
      <c r="V914" s="113"/>
      <c r="W914" s="109"/>
      <c r="X914" s="114"/>
    </row>
    <row r="915" spans="3:24" ht="15.75" customHeight="1" x14ac:dyDescent="0.2">
      <c r="C915" s="107"/>
      <c r="E915" s="108"/>
      <c r="F915" s="109"/>
      <c r="T915" s="109"/>
      <c r="U915" s="109"/>
      <c r="V915" s="113"/>
      <c r="W915" s="109"/>
      <c r="X915" s="114"/>
    </row>
    <row r="916" spans="3:24" ht="15.75" customHeight="1" x14ac:dyDescent="0.2">
      <c r="C916" s="107"/>
      <c r="E916" s="108"/>
      <c r="F916" s="109"/>
      <c r="T916" s="109"/>
      <c r="U916" s="109"/>
      <c r="V916" s="113"/>
      <c r="W916" s="109"/>
      <c r="X916" s="114"/>
    </row>
    <row r="917" spans="3:24" ht="15.75" customHeight="1" x14ac:dyDescent="0.2">
      <c r="C917" s="107"/>
      <c r="E917" s="108"/>
      <c r="F917" s="109"/>
      <c r="T917" s="109"/>
      <c r="U917" s="109"/>
      <c r="V917" s="113"/>
      <c r="W917" s="109"/>
      <c r="X917" s="114"/>
    </row>
    <row r="918" spans="3:24" ht="15.75" customHeight="1" x14ac:dyDescent="0.2">
      <c r="C918" s="107"/>
      <c r="E918" s="108"/>
      <c r="F918" s="109"/>
      <c r="T918" s="109"/>
      <c r="U918" s="109"/>
      <c r="V918" s="113"/>
      <c r="W918" s="109"/>
      <c r="X918" s="114"/>
    </row>
    <row r="919" spans="3:24" ht="15.75" customHeight="1" x14ac:dyDescent="0.2">
      <c r="C919" s="107"/>
      <c r="E919" s="108"/>
      <c r="F919" s="109"/>
      <c r="T919" s="109"/>
      <c r="U919" s="109"/>
      <c r="V919" s="113"/>
      <c r="W919" s="109"/>
      <c r="X919" s="114"/>
    </row>
    <row r="920" spans="3:24" ht="15.75" customHeight="1" x14ac:dyDescent="0.2">
      <c r="C920" s="107"/>
      <c r="E920" s="108"/>
      <c r="F920" s="109"/>
      <c r="T920" s="109"/>
      <c r="U920" s="109"/>
      <c r="V920" s="113"/>
      <c r="W920" s="109"/>
      <c r="X920" s="114"/>
    </row>
    <row r="921" spans="3:24" ht="15.75" customHeight="1" x14ac:dyDescent="0.2">
      <c r="C921" s="107"/>
      <c r="E921" s="108"/>
      <c r="F921" s="109"/>
      <c r="T921" s="109"/>
      <c r="U921" s="109"/>
      <c r="V921" s="113"/>
      <c r="W921" s="109"/>
      <c r="X921" s="114"/>
    </row>
    <row r="922" spans="3:24" ht="15.75" customHeight="1" x14ac:dyDescent="0.2">
      <c r="C922" s="107"/>
      <c r="E922" s="108"/>
      <c r="F922" s="109"/>
      <c r="T922" s="109"/>
      <c r="U922" s="109"/>
      <c r="V922" s="113"/>
      <c r="W922" s="109"/>
      <c r="X922" s="114"/>
    </row>
    <row r="923" spans="3:24" ht="15.75" customHeight="1" x14ac:dyDescent="0.2">
      <c r="C923" s="107"/>
      <c r="E923" s="108"/>
      <c r="F923" s="109"/>
      <c r="T923" s="109"/>
      <c r="U923" s="109"/>
      <c r="V923" s="113"/>
      <c r="W923" s="109"/>
      <c r="X923" s="114"/>
    </row>
    <row r="924" spans="3:24" ht="15.75" customHeight="1" x14ac:dyDescent="0.2">
      <c r="C924" s="107"/>
      <c r="E924" s="108"/>
      <c r="F924" s="109"/>
      <c r="T924" s="109"/>
      <c r="U924" s="109"/>
      <c r="V924" s="113"/>
      <c r="W924" s="109"/>
      <c r="X924" s="114"/>
    </row>
    <row r="925" spans="3:24" ht="15.75" customHeight="1" x14ac:dyDescent="0.2">
      <c r="C925" s="107"/>
      <c r="E925" s="108"/>
      <c r="F925" s="109"/>
      <c r="T925" s="109"/>
      <c r="U925" s="109"/>
      <c r="V925" s="113"/>
      <c r="W925" s="109"/>
      <c r="X925" s="114"/>
    </row>
    <row r="926" spans="3:24" ht="15.75" customHeight="1" x14ac:dyDescent="0.2">
      <c r="C926" s="107"/>
      <c r="E926" s="108"/>
      <c r="F926" s="109"/>
      <c r="T926" s="109"/>
      <c r="U926" s="109"/>
      <c r="V926" s="113"/>
      <c r="W926" s="109"/>
      <c r="X926" s="114"/>
    </row>
    <row r="927" spans="3:24" ht="15.75" customHeight="1" x14ac:dyDescent="0.2">
      <c r="C927" s="107"/>
      <c r="E927" s="108"/>
      <c r="F927" s="109"/>
      <c r="T927" s="109"/>
      <c r="U927" s="109"/>
      <c r="V927" s="113"/>
      <c r="W927" s="109"/>
      <c r="X927" s="114"/>
    </row>
    <row r="928" spans="3:24" ht="15.75" customHeight="1" x14ac:dyDescent="0.2">
      <c r="C928" s="107"/>
      <c r="E928" s="108"/>
      <c r="F928" s="109"/>
      <c r="T928" s="109"/>
      <c r="U928" s="109"/>
      <c r="V928" s="113"/>
      <c r="W928" s="109"/>
      <c r="X928" s="114"/>
    </row>
    <row r="929" spans="3:24" ht="15.75" customHeight="1" x14ac:dyDescent="0.2">
      <c r="C929" s="107"/>
      <c r="E929" s="108"/>
      <c r="F929" s="109"/>
      <c r="T929" s="109"/>
      <c r="U929" s="109"/>
      <c r="V929" s="113"/>
      <c r="W929" s="109"/>
      <c r="X929" s="114"/>
    </row>
    <row r="930" spans="3:24" ht="15.75" customHeight="1" x14ac:dyDescent="0.2">
      <c r="C930" s="107"/>
      <c r="E930" s="108"/>
      <c r="F930" s="109"/>
      <c r="T930" s="109"/>
      <c r="U930" s="109"/>
      <c r="V930" s="113"/>
      <c r="W930" s="109"/>
      <c r="X930" s="114"/>
    </row>
    <row r="931" spans="3:24" ht="15.75" customHeight="1" x14ac:dyDescent="0.2">
      <c r="C931" s="107"/>
      <c r="E931" s="108"/>
      <c r="F931" s="109"/>
      <c r="T931" s="109"/>
      <c r="U931" s="109"/>
      <c r="V931" s="113"/>
      <c r="W931" s="109"/>
      <c r="X931" s="114"/>
    </row>
    <row r="932" spans="3:24" ht="15.75" customHeight="1" x14ac:dyDescent="0.2">
      <c r="C932" s="107"/>
      <c r="E932" s="108"/>
      <c r="F932" s="109"/>
      <c r="T932" s="109"/>
      <c r="U932" s="109"/>
      <c r="V932" s="113"/>
      <c r="W932" s="109"/>
      <c r="X932" s="114"/>
    </row>
    <row r="933" spans="3:24" ht="15.75" customHeight="1" x14ac:dyDescent="0.2">
      <c r="C933" s="107"/>
      <c r="E933" s="108"/>
      <c r="F933" s="109"/>
      <c r="T933" s="109"/>
      <c r="U933" s="109"/>
      <c r="V933" s="113"/>
      <c r="W933" s="109"/>
      <c r="X933" s="114"/>
    </row>
    <row r="934" spans="3:24" ht="15.75" customHeight="1" x14ac:dyDescent="0.2">
      <c r="C934" s="107"/>
      <c r="E934" s="108"/>
      <c r="F934" s="109"/>
      <c r="T934" s="109"/>
      <c r="U934" s="109"/>
      <c r="V934" s="113"/>
      <c r="W934" s="109"/>
      <c r="X934" s="114"/>
    </row>
    <row r="935" spans="3:24" ht="15.75" customHeight="1" x14ac:dyDescent="0.2">
      <c r="C935" s="107"/>
      <c r="E935" s="108"/>
      <c r="F935" s="109"/>
      <c r="T935" s="109"/>
      <c r="U935" s="109"/>
      <c r="V935" s="113"/>
      <c r="W935" s="109"/>
      <c r="X935" s="114"/>
    </row>
    <row r="936" spans="3:24" ht="15.75" customHeight="1" x14ac:dyDescent="0.2">
      <c r="C936" s="107"/>
      <c r="E936" s="108"/>
      <c r="F936" s="109"/>
      <c r="T936" s="109"/>
      <c r="U936" s="109"/>
      <c r="V936" s="113"/>
      <c r="W936" s="109"/>
      <c r="X936" s="114"/>
    </row>
    <row r="937" spans="3:24" ht="15.75" customHeight="1" x14ac:dyDescent="0.2">
      <c r="C937" s="107"/>
      <c r="E937" s="108"/>
      <c r="F937" s="109"/>
      <c r="T937" s="109"/>
      <c r="U937" s="109"/>
      <c r="V937" s="113"/>
      <c r="W937" s="109"/>
      <c r="X937" s="114"/>
    </row>
    <row r="938" spans="3:24" ht="15.75" customHeight="1" x14ac:dyDescent="0.2">
      <c r="C938" s="107"/>
      <c r="E938" s="108"/>
      <c r="F938" s="109"/>
      <c r="T938" s="109"/>
      <c r="U938" s="109"/>
      <c r="V938" s="113"/>
      <c r="W938" s="109"/>
      <c r="X938" s="114"/>
    </row>
    <row r="939" spans="3:24" ht="15.75" customHeight="1" x14ac:dyDescent="0.2">
      <c r="C939" s="107"/>
      <c r="E939" s="108"/>
      <c r="F939" s="109"/>
      <c r="T939" s="109"/>
      <c r="U939" s="109"/>
      <c r="V939" s="113"/>
      <c r="W939" s="109"/>
      <c r="X939" s="114"/>
    </row>
    <row r="940" spans="3:24" ht="15.75" customHeight="1" x14ac:dyDescent="0.2">
      <c r="C940" s="107"/>
      <c r="E940" s="108"/>
      <c r="F940" s="109"/>
      <c r="T940" s="109"/>
      <c r="U940" s="109"/>
      <c r="V940" s="113"/>
      <c r="W940" s="109"/>
      <c r="X940" s="114"/>
    </row>
    <row r="941" spans="3:24" ht="15.75" customHeight="1" x14ac:dyDescent="0.2">
      <c r="C941" s="107"/>
      <c r="E941" s="108"/>
      <c r="F941" s="109"/>
      <c r="T941" s="109"/>
      <c r="U941" s="109"/>
      <c r="V941" s="113"/>
      <c r="W941" s="109"/>
      <c r="X941" s="114"/>
    </row>
    <row r="942" spans="3:24" ht="15.75" customHeight="1" x14ac:dyDescent="0.2">
      <c r="C942" s="107"/>
      <c r="E942" s="108"/>
      <c r="F942" s="109"/>
      <c r="T942" s="109"/>
      <c r="U942" s="109"/>
      <c r="V942" s="113"/>
      <c r="W942" s="109"/>
      <c r="X942" s="114"/>
    </row>
    <row r="943" spans="3:24" ht="15.75" customHeight="1" x14ac:dyDescent="0.2">
      <c r="C943" s="107"/>
      <c r="E943" s="108"/>
      <c r="F943" s="109"/>
      <c r="T943" s="109"/>
      <c r="U943" s="109"/>
      <c r="V943" s="113"/>
      <c r="W943" s="109"/>
      <c r="X943" s="114"/>
    </row>
    <row r="944" spans="3:24" ht="15.75" customHeight="1" x14ac:dyDescent="0.2">
      <c r="C944" s="107"/>
      <c r="E944" s="108"/>
      <c r="F944" s="109"/>
      <c r="T944" s="109"/>
      <c r="U944" s="109"/>
      <c r="V944" s="113"/>
      <c r="W944" s="109"/>
      <c r="X944" s="114"/>
    </row>
    <row r="945" spans="3:24" ht="15.75" customHeight="1" x14ac:dyDescent="0.2">
      <c r="C945" s="107"/>
      <c r="E945" s="108"/>
      <c r="F945" s="109"/>
      <c r="T945" s="109"/>
      <c r="U945" s="109"/>
      <c r="V945" s="113"/>
      <c r="W945" s="109"/>
      <c r="X945" s="114"/>
    </row>
    <row r="946" spans="3:24" ht="15.75" customHeight="1" x14ac:dyDescent="0.2">
      <c r="C946" s="107"/>
      <c r="E946" s="108"/>
      <c r="F946" s="109"/>
      <c r="T946" s="109"/>
      <c r="U946" s="109"/>
      <c r="V946" s="113"/>
      <c r="W946" s="109"/>
      <c r="X946" s="114"/>
    </row>
    <row r="947" spans="3:24" ht="15.75" customHeight="1" x14ac:dyDescent="0.2">
      <c r="C947" s="107"/>
      <c r="E947" s="108"/>
      <c r="F947" s="109"/>
      <c r="T947" s="109"/>
      <c r="U947" s="109"/>
      <c r="V947" s="113"/>
      <c r="W947" s="109"/>
      <c r="X947" s="114"/>
    </row>
    <row r="948" spans="3:24" ht="15.75" customHeight="1" x14ac:dyDescent="0.2">
      <c r="C948" s="107"/>
      <c r="E948" s="108"/>
      <c r="F948" s="109"/>
      <c r="T948" s="109"/>
      <c r="U948" s="109"/>
      <c r="V948" s="113"/>
      <c r="W948" s="109"/>
      <c r="X948" s="114"/>
    </row>
    <row r="949" spans="3:24" ht="15.75" customHeight="1" x14ac:dyDescent="0.2">
      <c r="C949" s="107"/>
      <c r="E949" s="108"/>
      <c r="F949" s="109"/>
      <c r="T949" s="109"/>
      <c r="U949" s="109"/>
      <c r="V949" s="113"/>
      <c r="W949" s="109"/>
      <c r="X949" s="114"/>
    </row>
    <row r="950" spans="3:24" ht="15.75" customHeight="1" x14ac:dyDescent="0.2">
      <c r="C950" s="107"/>
      <c r="E950" s="108"/>
      <c r="F950" s="109"/>
      <c r="T950" s="109"/>
      <c r="U950" s="109"/>
      <c r="V950" s="113"/>
      <c r="W950" s="109"/>
      <c r="X950" s="114"/>
    </row>
    <row r="951" spans="3:24" ht="15.75" customHeight="1" x14ac:dyDescent="0.2">
      <c r="C951" s="107"/>
      <c r="E951" s="108"/>
      <c r="F951" s="109"/>
      <c r="T951" s="109"/>
      <c r="U951" s="109"/>
      <c r="V951" s="113"/>
      <c r="W951" s="109"/>
      <c r="X951" s="114"/>
    </row>
    <row r="952" spans="3:24" ht="15.75" customHeight="1" x14ac:dyDescent="0.2">
      <c r="C952" s="107"/>
      <c r="E952" s="108"/>
      <c r="F952" s="109"/>
      <c r="T952" s="109"/>
      <c r="U952" s="109"/>
      <c r="V952" s="113"/>
      <c r="W952" s="109"/>
      <c r="X952" s="114"/>
    </row>
    <row r="953" spans="3:24" ht="15.75" customHeight="1" x14ac:dyDescent="0.2">
      <c r="C953" s="107"/>
      <c r="E953" s="108"/>
      <c r="F953" s="109"/>
      <c r="T953" s="109"/>
      <c r="U953" s="109"/>
      <c r="V953" s="113"/>
      <c r="W953" s="109"/>
      <c r="X953" s="114"/>
    </row>
    <row r="954" spans="3:24" ht="15.75" customHeight="1" x14ac:dyDescent="0.2">
      <c r="C954" s="107"/>
      <c r="E954" s="108"/>
      <c r="F954" s="109"/>
      <c r="T954" s="109"/>
      <c r="U954" s="109"/>
      <c r="V954" s="113"/>
      <c r="W954" s="109"/>
      <c r="X954" s="114"/>
    </row>
    <row r="955" spans="3:24" ht="15.75" customHeight="1" x14ac:dyDescent="0.2">
      <c r="C955" s="107"/>
      <c r="E955" s="108"/>
      <c r="F955" s="109"/>
      <c r="T955" s="109"/>
      <c r="U955" s="109"/>
      <c r="V955" s="113"/>
      <c r="W955" s="109"/>
      <c r="X955" s="114"/>
    </row>
    <row r="956" spans="3:24" ht="15.75" customHeight="1" x14ac:dyDescent="0.2">
      <c r="C956" s="107"/>
      <c r="E956" s="108"/>
      <c r="F956" s="109"/>
      <c r="T956" s="109"/>
      <c r="U956" s="109"/>
      <c r="V956" s="113"/>
      <c r="W956" s="109"/>
      <c r="X956" s="114"/>
    </row>
    <row r="957" spans="3:24" ht="15.75" customHeight="1" x14ac:dyDescent="0.2">
      <c r="C957" s="107"/>
      <c r="E957" s="108"/>
      <c r="F957" s="109"/>
      <c r="T957" s="109"/>
      <c r="U957" s="109"/>
      <c r="V957" s="113"/>
      <c r="W957" s="109"/>
      <c r="X957" s="114"/>
    </row>
    <row r="958" spans="3:24" ht="15.75" customHeight="1" x14ac:dyDescent="0.2">
      <c r="C958" s="107"/>
      <c r="E958" s="108"/>
      <c r="F958" s="109"/>
      <c r="T958" s="109"/>
      <c r="U958" s="109"/>
      <c r="V958" s="113"/>
      <c r="W958" s="109"/>
      <c r="X958" s="114"/>
    </row>
    <row r="959" spans="3:24" ht="15.75" customHeight="1" x14ac:dyDescent="0.2">
      <c r="C959" s="107"/>
      <c r="E959" s="108"/>
      <c r="F959" s="109"/>
      <c r="T959" s="109"/>
      <c r="U959" s="109"/>
      <c r="V959" s="113"/>
      <c r="W959" s="109"/>
      <c r="X959" s="114"/>
    </row>
    <row r="960" spans="3:24" ht="15.75" customHeight="1" x14ac:dyDescent="0.2">
      <c r="C960" s="107"/>
      <c r="E960" s="108"/>
      <c r="F960" s="109"/>
      <c r="T960" s="109"/>
      <c r="U960" s="109"/>
      <c r="V960" s="113"/>
      <c r="W960" s="109"/>
      <c r="X960" s="114"/>
    </row>
    <row r="961" spans="3:24" ht="15.75" customHeight="1" x14ac:dyDescent="0.2">
      <c r="C961" s="107"/>
      <c r="E961" s="108"/>
      <c r="F961" s="109"/>
      <c r="T961" s="109"/>
      <c r="U961" s="109"/>
      <c r="V961" s="113"/>
      <c r="W961" s="109"/>
      <c r="X961" s="114"/>
    </row>
    <row r="962" spans="3:24" ht="15.75" customHeight="1" x14ac:dyDescent="0.2">
      <c r="C962" s="107"/>
      <c r="E962" s="108"/>
      <c r="F962" s="109"/>
      <c r="T962" s="109"/>
      <c r="U962" s="109"/>
      <c r="V962" s="113"/>
      <c r="W962" s="109"/>
      <c r="X962" s="114"/>
    </row>
    <row r="963" spans="3:24" ht="15.75" customHeight="1" x14ac:dyDescent="0.2">
      <c r="C963" s="107"/>
      <c r="E963" s="108"/>
      <c r="F963" s="109"/>
      <c r="T963" s="109"/>
      <c r="U963" s="109"/>
      <c r="V963" s="113"/>
      <c r="W963" s="109"/>
      <c r="X963" s="114"/>
    </row>
    <row r="964" spans="3:24" ht="15.75" customHeight="1" x14ac:dyDescent="0.2">
      <c r="C964" s="107"/>
      <c r="E964" s="108"/>
      <c r="F964" s="109"/>
      <c r="T964" s="109"/>
      <c r="U964" s="109"/>
      <c r="V964" s="113"/>
      <c r="W964" s="109"/>
      <c r="X964" s="114"/>
    </row>
    <row r="965" spans="3:24" ht="15.75" customHeight="1" x14ac:dyDescent="0.2">
      <c r="C965" s="107"/>
      <c r="E965" s="108"/>
      <c r="F965" s="109"/>
      <c r="T965" s="109"/>
      <c r="U965" s="109"/>
      <c r="V965" s="113"/>
      <c r="W965" s="109"/>
      <c r="X965" s="114"/>
    </row>
    <row r="966" spans="3:24" ht="15.75" customHeight="1" x14ac:dyDescent="0.2">
      <c r="C966" s="107"/>
      <c r="E966" s="108"/>
      <c r="F966" s="109"/>
      <c r="T966" s="109"/>
      <c r="U966" s="109"/>
      <c r="V966" s="113"/>
      <c r="W966" s="109"/>
      <c r="X966" s="114"/>
    </row>
    <row r="967" spans="3:24" ht="15.75" customHeight="1" x14ac:dyDescent="0.2">
      <c r="C967" s="107"/>
      <c r="E967" s="108"/>
      <c r="F967" s="109"/>
      <c r="T967" s="109"/>
      <c r="U967" s="109"/>
      <c r="V967" s="113"/>
      <c r="W967" s="109"/>
      <c r="X967" s="114"/>
    </row>
    <row r="968" spans="3:24" ht="15.75" customHeight="1" x14ac:dyDescent="0.2">
      <c r="C968" s="107"/>
      <c r="E968" s="108"/>
      <c r="F968" s="109"/>
      <c r="T968" s="109"/>
      <c r="U968" s="109"/>
      <c r="V968" s="113"/>
      <c r="W968" s="109"/>
      <c r="X968" s="114"/>
    </row>
    <row r="969" spans="3:24" ht="15.75" customHeight="1" x14ac:dyDescent="0.2">
      <c r="C969" s="107"/>
      <c r="E969" s="108"/>
      <c r="F969" s="109"/>
      <c r="T969" s="109"/>
      <c r="U969" s="109"/>
      <c r="V969" s="113"/>
      <c r="W969" s="109"/>
      <c r="X969" s="114"/>
    </row>
    <row r="970" spans="3:24" ht="15.75" customHeight="1" x14ac:dyDescent="0.2">
      <c r="C970" s="107"/>
      <c r="E970" s="108"/>
      <c r="F970" s="109"/>
      <c r="T970" s="109"/>
      <c r="U970" s="109"/>
      <c r="V970" s="113"/>
      <c r="W970" s="109"/>
      <c r="X970" s="114"/>
    </row>
    <row r="971" spans="3:24" ht="15.75" customHeight="1" x14ac:dyDescent="0.2">
      <c r="C971" s="107"/>
      <c r="E971" s="108"/>
      <c r="F971" s="109"/>
      <c r="T971" s="109"/>
      <c r="U971" s="109"/>
      <c r="V971" s="113"/>
      <c r="W971" s="109"/>
      <c r="X971" s="114"/>
    </row>
    <row r="972" spans="3:24" ht="15.75" customHeight="1" x14ac:dyDescent="0.2">
      <c r="C972" s="107"/>
      <c r="E972" s="108"/>
      <c r="F972" s="109"/>
      <c r="T972" s="109"/>
      <c r="U972" s="109"/>
      <c r="V972" s="113"/>
      <c r="W972" s="109"/>
      <c r="X972" s="114"/>
    </row>
    <row r="973" spans="3:24" ht="15.75" customHeight="1" x14ac:dyDescent="0.2">
      <c r="C973" s="107"/>
      <c r="E973" s="108"/>
      <c r="F973" s="109"/>
      <c r="T973" s="109"/>
      <c r="U973" s="109"/>
      <c r="V973" s="113"/>
      <c r="W973" s="109"/>
      <c r="X973" s="114"/>
    </row>
    <row r="974" spans="3:24" ht="15.75" customHeight="1" x14ac:dyDescent="0.2">
      <c r="C974" s="107"/>
      <c r="E974" s="108"/>
      <c r="F974" s="109"/>
      <c r="T974" s="109"/>
      <c r="U974" s="109"/>
      <c r="V974" s="113"/>
      <c r="W974" s="109"/>
      <c r="X974" s="114"/>
    </row>
    <row r="975" spans="3:24" ht="15.75" customHeight="1" x14ac:dyDescent="0.2">
      <c r="C975" s="107"/>
      <c r="E975" s="108"/>
      <c r="F975" s="109"/>
      <c r="T975" s="109"/>
      <c r="U975" s="109"/>
      <c r="V975" s="113"/>
      <c r="W975" s="109"/>
      <c r="X975" s="114"/>
    </row>
    <row r="976" spans="3:24" ht="15.75" customHeight="1" x14ac:dyDescent="0.2">
      <c r="C976" s="107"/>
      <c r="E976" s="108"/>
      <c r="F976" s="109"/>
      <c r="T976" s="109"/>
      <c r="U976" s="109"/>
      <c r="V976" s="113"/>
      <c r="W976" s="109"/>
      <c r="X976" s="114"/>
    </row>
    <row r="977" spans="3:24" ht="15.75" customHeight="1" x14ac:dyDescent="0.2">
      <c r="C977" s="107"/>
      <c r="E977" s="108"/>
      <c r="F977" s="109"/>
      <c r="T977" s="109"/>
      <c r="U977" s="109"/>
      <c r="V977" s="113"/>
      <c r="W977" s="109"/>
      <c r="X977" s="114"/>
    </row>
    <row r="978" spans="3:24" ht="15.75" customHeight="1" x14ac:dyDescent="0.2">
      <c r="C978" s="107"/>
      <c r="E978" s="108"/>
      <c r="F978" s="109"/>
      <c r="T978" s="109"/>
      <c r="U978" s="109"/>
      <c r="V978" s="113"/>
      <c r="W978" s="109"/>
      <c r="X978" s="114"/>
    </row>
    <row r="979" spans="3:24" ht="15.75" customHeight="1" x14ac:dyDescent="0.2">
      <c r="C979" s="107"/>
      <c r="E979" s="108"/>
      <c r="F979" s="109"/>
      <c r="T979" s="109"/>
      <c r="U979" s="109"/>
      <c r="V979" s="113"/>
      <c r="W979" s="109"/>
      <c r="X979" s="114"/>
    </row>
    <row r="980" spans="3:24" ht="15.75" customHeight="1" x14ac:dyDescent="0.2">
      <c r="C980" s="107"/>
      <c r="E980" s="108"/>
      <c r="F980" s="109"/>
      <c r="T980" s="109"/>
      <c r="U980" s="109"/>
      <c r="V980" s="113"/>
      <c r="W980" s="109"/>
      <c r="X980" s="114"/>
    </row>
    <row r="981" spans="3:24" ht="15.75" customHeight="1" x14ac:dyDescent="0.2">
      <c r="C981" s="107"/>
      <c r="E981" s="108"/>
      <c r="F981" s="109"/>
      <c r="T981" s="109"/>
      <c r="U981" s="109"/>
      <c r="V981" s="113"/>
      <c r="W981" s="109"/>
      <c r="X981" s="114"/>
    </row>
    <row r="982" spans="3:24" ht="15.75" customHeight="1" x14ac:dyDescent="0.2">
      <c r="C982" s="107"/>
      <c r="E982" s="108"/>
      <c r="F982" s="109"/>
      <c r="T982" s="109"/>
      <c r="U982" s="109"/>
      <c r="V982" s="113"/>
      <c r="W982" s="109"/>
      <c r="X982" s="114"/>
    </row>
    <row r="983" spans="3:24" ht="15.75" customHeight="1" x14ac:dyDescent="0.2">
      <c r="C983" s="107"/>
      <c r="E983" s="108"/>
      <c r="F983" s="109"/>
      <c r="T983" s="109"/>
      <c r="U983" s="109"/>
      <c r="V983" s="113"/>
      <c r="W983" s="109"/>
      <c r="X983" s="114"/>
    </row>
    <row r="984" spans="3:24" ht="15.75" customHeight="1" x14ac:dyDescent="0.2">
      <c r="C984" s="107"/>
      <c r="E984" s="108"/>
      <c r="F984" s="109"/>
      <c r="T984" s="109"/>
      <c r="U984" s="109"/>
      <c r="V984" s="113"/>
      <c r="W984" s="109"/>
      <c r="X984" s="114"/>
    </row>
    <row r="985" spans="3:24" ht="15.75" customHeight="1" x14ac:dyDescent="0.2">
      <c r="C985" s="107"/>
      <c r="E985" s="108"/>
      <c r="F985" s="109"/>
      <c r="T985" s="109"/>
      <c r="U985" s="109"/>
      <c r="V985" s="113"/>
      <c r="W985" s="109"/>
      <c r="X985" s="114"/>
    </row>
    <row r="986" spans="3:24" ht="15.75" customHeight="1" x14ac:dyDescent="0.2">
      <c r="C986" s="107"/>
      <c r="E986" s="108"/>
      <c r="F986" s="109"/>
      <c r="T986" s="109"/>
      <c r="U986" s="109"/>
      <c r="V986" s="113"/>
      <c r="W986" s="109"/>
      <c r="X986" s="114"/>
    </row>
    <row r="987" spans="3:24" ht="15.75" customHeight="1" x14ac:dyDescent="0.2">
      <c r="C987" s="107"/>
      <c r="E987" s="108"/>
      <c r="F987" s="109"/>
      <c r="T987" s="109"/>
      <c r="U987" s="109"/>
      <c r="V987" s="113"/>
      <c r="W987" s="109"/>
      <c r="X987" s="114"/>
    </row>
    <row r="988" spans="3:24" ht="15.75" customHeight="1" x14ac:dyDescent="0.2">
      <c r="C988" s="107"/>
      <c r="E988" s="108"/>
      <c r="F988" s="109"/>
      <c r="T988" s="109"/>
      <c r="U988" s="109"/>
      <c r="V988" s="113"/>
      <c r="W988" s="109"/>
      <c r="X988" s="114"/>
    </row>
    <row r="989" spans="3:24" ht="15.75" customHeight="1" x14ac:dyDescent="0.2">
      <c r="C989" s="107"/>
      <c r="E989" s="108"/>
      <c r="F989" s="109"/>
      <c r="T989" s="109"/>
      <c r="U989" s="109"/>
      <c r="V989" s="113"/>
      <c r="W989" s="109"/>
      <c r="X989" s="114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selene.baez</cp:lastModifiedBy>
  <dcterms:created xsi:type="dcterms:W3CDTF">2024-12-17T17:50:32Z</dcterms:created>
  <dcterms:modified xsi:type="dcterms:W3CDTF">2026-08-18T16:42:54Z</dcterms:modified>
</cp:coreProperties>
</file>
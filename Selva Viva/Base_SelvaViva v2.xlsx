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OLI_PUCE_KG\Base_Andre_2025\"/>
    </mc:Choice>
  </mc:AlternateContent>
  <xr:revisionPtr revIDLastSave="0" documentId="13_ncr:1_{06DA02AB-6BE6-4979-A6AD-1105C26B8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vaViva2024" sheetId="1" r:id="rId1"/>
    <sheet name="Rasgos" sheetId="3" r:id="rId2"/>
    <sheet name="Descr" sheetId="2" r:id="rId3"/>
  </sheets>
  <definedNames>
    <definedName name="_xlnm._FilterDatabase" localSheetId="1" hidden="1">Rasgos!$A$1:$AK$15</definedName>
    <definedName name="_xlnm._FilterDatabase" localSheetId="0" hidden="1">SelvaViva2024!$A$1:$AG$369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IYBjkNT7BEzAhIyJrHSIXHPJ7wHhbCe/GZ3h2dfZM4="/>
    </ext>
  </extLst>
</workbook>
</file>

<file path=xl/calcChain.xml><?xml version="1.0" encoding="utf-8"?>
<calcChain xmlns="http://schemas.openxmlformats.org/spreadsheetml/2006/main">
  <c r="O323" i="1" l="1"/>
  <c r="O322" i="1"/>
  <c r="O320" i="1"/>
  <c r="O305" i="1"/>
  <c r="R297" i="1"/>
  <c r="O297" i="1"/>
  <c r="O230" i="1"/>
  <c r="O229" i="1"/>
  <c r="O228" i="1"/>
  <c r="O188" i="1"/>
  <c r="O213" i="1"/>
  <c r="O140" i="1"/>
  <c r="O139" i="1"/>
  <c r="O133" i="1"/>
  <c r="O109" i="1"/>
  <c r="O1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5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ID#AAABhRj7QOo
Andrea Janine Chavez Pacheco    (2025-03-28 10:12:36)
ver fotos? No entiendo porque hice de este si no se colecto antes</t>
        </r>
      </text>
    </comment>
    <comment ref="I11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ID#AAABq9px6_A
Andrea Janine Chavez Pacheco    (2025-09-09 20:55:36)
cambiar por caseareia bicolor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/fH4l7jKRZTcx6AzC+HU0f89WBQ=="/>
    </ext>
  </extLst>
</comments>
</file>

<file path=xl/sharedStrings.xml><?xml version="1.0" encoding="utf-8"?>
<sst xmlns="http://schemas.openxmlformats.org/spreadsheetml/2006/main" count="2436" uniqueCount="714">
  <si>
    <t>site</t>
  </si>
  <si>
    <t>PlotID</t>
  </si>
  <si>
    <t>treeID</t>
  </si>
  <si>
    <t>new ID 2024</t>
  </si>
  <si>
    <t>Individual tree census 1</t>
  </si>
  <si>
    <t>new census 2</t>
  </si>
  <si>
    <t>dead census 2</t>
  </si>
  <si>
    <t>family</t>
  </si>
  <si>
    <t>genus</t>
  </si>
  <si>
    <t>species</t>
  </si>
  <si>
    <t>dendrometer</t>
  </si>
  <si>
    <t>date census 1</t>
  </si>
  <si>
    <t>dbh 1</t>
  </si>
  <si>
    <t>date census 2</t>
  </si>
  <si>
    <t>dbh 2</t>
  </si>
  <si>
    <t>tree height 2011 (m)</t>
  </si>
  <si>
    <t>comment</t>
  </si>
  <si>
    <t>JH herbarium collections</t>
  </si>
  <si>
    <t>ind (1) branch (0)</t>
  </si>
  <si>
    <t>dead 2011</t>
  </si>
  <si>
    <t>Cambio sp</t>
  </si>
  <si>
    <t>comment 2024</t>
  </si>
  <si>
    <t>comment taxo 2024</t>
  </si>
  <si>
    <t>Selva Viva</t>
  </si>
  <si>
    <t>SEV_68</t>
  </si>
  <si>
    <t>Myristicaceae</t>
  </si>
  <si>
    <t>Virola</t>
  </si>
  <si>
    <t>duckei</t>
  </si>
  <si>
    <t xml:space="preserve"> </t>
  </si>
  <si>
    <t>Sapotaceae</t>
  </si>
  <si>
    <t>Pouteria</t>
  </si>
  <si>
    <t>torta</t>
  </si>
  <si>
    <t>SAPO, Pouteria torta (Mart.) Radlk.</t>
  </si>
  <si>
    <t>3918</t>
  </si>
  <si>
    <t>B</t>
  </si>
  <si>
    <t>Euphorbiaceae</t>
  </si>
  <si>
    <t>Pseudosenefeldera</t>
  </si>
  <si>
    <t>inclinata</t>
  </si>
  <si>
    <t>Theobroma</t>
  </si>
  <si>
    <t>Rubiaceae</t>
  </si>
  <si>
    <t>Duroia</t>
  </si>
  <si>
    <t>hirsuta</t>
  </si>
  <si>
    <t>RUB, Duroia hirsuta (Poepp. &amp; Endl.) K. Schum.</t>
  </si>
  <si>
    <t>3920</t>
  </si>
  <si>
    <t>calophylla</t>
  </si>
  <si>
    <t>A</t>
  </si>
  <si>
    <t>Fabaceae</t>
  </si>
  <si>
    <t>Tachigali</t>
  </si>
  <si>
    <t>chrysophylla</t>
  </si>
  <si>
    <t>FAB, tachigali</t>
  </si>
  <si>
    <t>3922</t>
  </si>
  <si>
    <t>Lauraceae</t>
  </si>
  <si>
    <t>Ocotea</t>
  </si>
  <si>
    <t>LAU, Ocotea</t>
  </si>
  <si>
    <t>3923</t>
  </si>
  <si>
    <t>Otoba</t>
  </si>
  <si>
    <t>parvifolia</t>
  </si>
  <si>
    <t>Sarcaulus</t>
  </si>
  <si>
    <t>aff. oblatus</t>
  </si>
  <si>
    <t xml:space="preserve">SAPO, Sarcaulus aff. oblatus T.D. Penn. Miguel </t>
  </si>
  <si>
    <t>3924</t>
  </si>
  <si>
    <t>ID por dap y especie</t>
  </si>
  <si>
    <t>Rhizophoraceae</t>
  </si>
  <si>
    <t>Cassipourea</t>
  </si>
  <si>
    <t>guianensis</t>
  </si>
  <si>
    <t>RHI</t>
  </si>
  <si>
    <t>3925</t>
  </si>
  <si>
    <t>pv 2142</t>
  </si>
  <si>
    <t>Chrysophyllum</t>
  </si>
  <si>
    <t>argenteum</t>
  </si>
  <si>
    <t>SAPO, Chrysophyllum argenteum Jacq. Miguel</t>
  </si>
  <si>
    <t>3926</t>
  </si>
  <si>
    <t>Clusiaceae</t>
  </si>
  <si>
    <t>Garcinia</t>
  </si>
  <si>
    <t>madruno</t>
  </si>
  <si>
    <t>CLU, Garcinia macrophylla</t>
  </si>
  <si>
    <t>3927</t>
  </si>
  <si>
    <t>Violaceae</t>
  </si>
  <si>
    <t>Leonia</t>
  </si>
  <si>
    <t>glycycarpa</t>
  </si>
  <si>
    <t xml:space="preserve">VIO, Leonia glycycarpa Ruiz &amp; Pav. Edison </t>
  </si>
  <si>
    <t>3928</t>
  </si>
  <si>
    <t>Next to a dead standing tree</t>
  </si>
  <si>
    <t>D</t>
  </si>
  <si>
    <t>Simaroubaceae</t>
  </si>
  <si>
    <t>Simaba</t>
  </si>
  <si>
    <t>polyphylla</t>
  </si>
  <si>
    <t>SIM, Simaba</t>
  </si>
  <si>
    <t>3929</t>
  </si>
  <si>
    <t>Chontacaspi</t>
  </si>
  <si>
    <t>Vochysiaceae</t>
  </si>
  <si>
    <t>Vochysia</t>
  </si>
  <si>
    <t>punctata</t>
  </si>
  <si>
    <t>VOC</t>
  </si>
  <si>
    <t>=3868</t>
  </si>
  <si>
    <t>Opiliaceae</t>
  </si>
  <si>
    <t>Agonandra</t>
  </si>
  <si>
    <t>peruviana</t>
  </si>
  <si>
    <t xml:space="preserve"> OPI</t>
  </si>
  <si>
    <t>3919</t>
  </si>
  <si>
    <t>Cardiopteridaceae</t>
  </si>
  <si>
    <t>Dendrobangia</t>
  </si>
  <si>
    <t>boliviana</t>
  </si>
  <si>
    <t>ICA, Dendrobangia</t>
  </si>
  <si>
    <t>Faramea</t>
  </si>
  <si>
    <t>oblongifolia</t>
  </si>
  <si>
    <t>Apocynaceae</t>
  </si>
  <si>
    <t>Aspidosperma</t>
  </si>
  <si>
    <t>aff. excelsum</t>
  </si>
  <si>
    <t>APO,  Aspidosperma  aff. excelsum Benth. Edison</t>
  </si>
  <si>
    <t>3921</t>
  </si>
  <si>
    <t>C</t>
  </si>
  <si>
    <t>Melastomataceae</t>
  </si>
  <si>
    <t>Miconia</t>
  </si>
  <si>
    <t>sp</t>
  </si>
  <si>
    <t>MELA =#2239</t>
  </si>
  <si>
    <t>=3899</t>
  </si>
  <si>
    <t>tot</t>
  </si>
  <si>
    <t>LAU =3865 oder 3862</t>
  </si>
  <si>
    <t>=3865 oder 3862</t>
  </si>
  <si>
    <t>vivo descopado</t>
  </si>
  <si>
    <t>Burseraceae</t>
  </si>
  <si>
    <t>Protium</t>
  </si>
  <si>
    <t>amazonicum</t>
  </si>
  <si>
    <t>BUR</t>
  </si>
  <si>
    <t>dead</t>
  </si>
  <si>
    <t>Tetragastris</t>
  </si>
  <si>
    <t>panamensis</t>
  </si>
  <si>
    <t>Arecaceae</t>
  </si>
  <si>
    <t>Iriartea</t>
  </si>
  <si>
    <t>deltoidea</t>
  </si>
  <si>
    <t>Macrolobium</t>
  </si>
  <si>
    <t>cf. ischnocalyx</t>
  </si>
  <si>
    <t>NI</t>
  </si>
  <si>
    <t>VJ</t>
  </si>
  <si>
    <t>indet</t>
  </si>
  <si>
    <t>Id vochysia</t>
  </si>
  <si>
    <t>SEV_69</t>
  </si>
  <si>
    <t>Meliaceae</t>
  </si>
  <si>
    <t>Guarea</t>
  </si>
  <si>
    <t>kunthiana</t>
  </si>
  <si>
    <t>MELI Guarea aff. kunthiana A. Juss. Miguel</t>
  </si>
  <si>
    <t>3838</t>
  </si>
  <si>
    <t>MELI Guarea aff. kunthiana A. Juss. Miguel =#2163</t>
  </si>
  <si>
    <t>Hevea</t>
  </si>
  <si>
    <t>cf guianensis</t>
  </si>
  <si>
    <t>3839</t>
  </si>
  <si>
    <t>MELI Guarea kunthiana</t>
  </si>
  <si>
    <t>3840</t>
  </si>
  <si>
    <t>Moraceae</t>
  </si>
  <si>
    <t>Ficus</t>
  </si>
  <si>
    <t>pulchella</t>
  </si>
  <si>
    <t>MOR Ficus</t>
  </si>
  <si>
    <t>3841</t>
  </si>
  <si>
    <t>pv 2171</t>
  </si>
  <si>
    <t>Batocarpus</t>
  </si>
  <si>
    <t>orinocensis</t>
  </si>
  <si>
    <t>MOR</t>
  </si>
  <si>
    <t>3842</t>
  </si>
  <si>
    <t>pv 2172</t>
  </si>
  <si>
    <t>APO?</t>
  </si>
  <si>
    <t>3843</t>
  </si>
  <si>
    <t>Browneopsis</t>
  </si>
  <si>
    <t>ucayalina</t>
  </si>
  <si>
    <t>CAES</t>
  </si>
  <si>
    <t>3844</t>
  </si>
  <si>
    <t>Salicaceae</t>
  </si>
  <si>
    <t>Tetrathylacium</t>
  </si>
  <si>
    <t>macrophyllum</t>
  </si>
  <si>
    <t>pv 2179</t>
  </si>
  <si>
    <t>Endlicheria</t>
  </si>
  <si>
    <t>metallica</t>
  </si>
  <si>
    <t>LAU</t>
  </si>
  <si>
    <t>3845</t>
  </si>
  <si>
    <t>Inga</t>
  </si>
  <si>
    <t>nobilis</t>
  </si>
  <si>
    <t>MIM, Inga nobilis Willd. Miguel</t>
  </si>
  <si>
    <t>3846</t>
  </si>
  <si>
    <t>ARE, Iriartea</t>
  </si>
  <si>
    <t>pv 2183</t>
  </si>
  <si>
    <t>Pentagonia</t>
  </si>
  <si>
    <t>amazonica</t>
  </si>
  <si>
    <t>RUB, Pentagonia amazonica (Ducke) L. Andersson &amp; J.H.E. Rova</t>
  </si>
  <si>
    <t>3847</t>
  </si>
  <si>
    <t>pv 2184</t>
  </si>
  <si>
    <t>Sapindaceae</t>
  </si>
  <si>
    <t>Allophylus</t>
  </si>
  <si>
    <t>punctatus</t>
  </si>
  <si>
    <t>SAP, Allophylus</t>
  </si>
  <si>
    <t>3848</t>
  </si>
  <si>
    <t>pv 2185</t>
  </si>
  <si>
    <t>Cecropiaceae</t>
  </si>
  <si>
    <t>Pourouma</t>
  </si>
  <si>
    <t>minor</t>
  </si>
  <si>
    <t>CEC, Pourouma minor</t>
  </si>
  <si>
    <t>pv 2186</t>
  </si>
  <si>
    <t>Myrtaceae</t>
  </si>
  <si>
    <t>Myrcia</t>
  </si>
  <si>
    <t>cf. crassimarginata</t>
  </si>
  <si>
    <t>MYRT, Calyptranthes maxima McVaugh Edison</t>
  </si>
  <si>
    <t>3849</t>
  </si>
  <si>
    <t>dead. pv encontrada.</t>
  </si>
  <si>
    <t>Araliaceae</t>
  </si>
  <si>
    <t>morototoni</t>
  </si>
  <si>
    <t>ARAL, Schefflera morototoni</t>
  </si>
  <si>
    <t>ped 2188</t>
  </si>
  <si>
    <t>Lacistemataceae</t>
  </si>
  <si>
    <t>Lozania</t>
  </si>
  <si>
    <t>klugii</t>
  </si>
  <si>
    <t>LAC, Lozania</t>
  </si>
  <si>
    <t>3850</t>
  </si>
  <si>
    <t>pv 2191</t>
  </si>
  <si>
    <t>sapindoides</t>
  </si>
  <si>
    <t>MIM, Inga sapindoides</t>
  </si>
  <si>
    <t>no encontrado</t>
  </si>
  <si>
    <t>envuelto en una liana. pv 2193</t>
  </si>
  <si>
    <t>pv 2194</t>
  </si>
  <si>
    <t>Salacia</t>
  </si>
  <si>
    <t>aff. cordata</t>
  </si>
  <si>
    <t>HIPP, Salacia aff. cordata (Miers) Mennega Edison</t>
  </si>
  <si>
    <t>3852</t>
  </si>
  <si>
    <t>pv 2195</t>
  </si>
  <si>
    <t>Brosimum</t>
  </si>
  <si>
    <t>lactescens</t>
  </si>
  <si>
    <t>3853</t>
  </si>
  <si>
    <t>aff. oblonga</t>
  </si>
  <si>
    <t xml:space="preserve">LAU, Ocotea aff. oblonga (Meisn.) Mez Miguel </t>
  </si>
  <si>
    <t>3854</t>
  </si>
  <si>
    <t>Pseudolmedia</t>
  </si>
  <si>
    <t>macrophylla</t>
  </si>
  <si>
    <t>3855</t>
  </si>
  <si>
    <t>pv 2199</t>
  </si>
  <si>
    <t>tal vez 2162?</t>
  </si>
  <si>
    <t>SEV_70</t>
  </si>
  <si>
    <t>Lecythidaceae</t>
  </si>
  <si>
    <t>Gustavia</t>
  </si>
  <si>
    <t>hexapetala</t>
  </si>
  <si>
    <t>Malvaceae</t>
  </si>
  <si>
    <t>Sterculia</t>
  </si>
  <si>
    <t>apeibophylla</t>
  </si>
  <si>
    <t>gesammelt</t>
  </si>
  <si>
    <t>Lindackeria</t>
  </si>
  <si>
    <t>paludosa</t>
  </si>
  <si>
    <t>umbellifera</t>
  </si>
  <si>
    <t>Rutaceae</t>
  </si>
  <si>
    <t>Amyris</t>
  </si>
  <si>
    <t>macrocarpa</t>
  </si>
  <si>
    <t xml:space="preserve">ohne Nr. </t>
  </si>
  <si>
    <t>parvibractea</t>
  </si>
  <si>
    <t>RUB, Faramea parvibractea Steyerm.</t>
  </si>
  <si>
    <t>3876</t>
  </si>
  <si>
    <t>Bignoniaceae</t>
  </si>
  <si>
    <t>Jacaranda</t>
  </si>
  <si>
    <t>copaia</t>
  </si>
  <si>
    <t>Maclura</t>
  </si>
  <si>
    <t>tinctoria</t>
  </si>
  <si>
    <t>Laetia</t>
  </si>
  <si>
    <t>procera</t>
  </si>
  <si>
    <t>Micropholis</t>
  </si>
  <si>
    <t>guyanensis</t>
  </si>
  <si>
    <t>Hippotis</t>
  </si>
  <si>
    <t>Iryanthera</t>
  </si>
  <si>
    <t>juruensis</t>
  </si>
  <si>
    <t>pterorhachis</t>
  </si>
  <si>
    <t>Nectandra</t>
  </si>
  <si>
    <t>flexuosa</t>
  </si>
  <si>
    <t>elata</t>
  </si>
  <si>
    <t>Anacardiaceae</t>
  </si>
  <si>
    <t>Tapirira</t>
  </si>
  <si>
    <t>Chrysochlamys</t>
  </si>
  <si>
    <t>membranacea</t>
  </si>
  <si>
    <t>not LAU</t>
  </si>
  <si>
    <t>Trichilia</t>
  </si>
  <si>
    <t>septentrionalis</t>
  </si>
  <si>
    <t>sebifera</t>
  </si>
  <si>
    <t>thibaudiana</t>
  </si>
  <si>
    <t>Chimarrhis</t>
  </si>
  <si>
    <t>cf glabriflora</t>
  </si>
  <si>
    <t>Hypericaceae</t>
  </si>
  <si>
    <t>Vismia</t>
  </si>
  <si>
    <t>baccifera</t>
  </si>
  <si>
    <t>Tetrorchidium</t>
  </si>
  <si>
    <t>Ecclinusa</t>
  </si>
  <si>
    <t>Annonaceae</t>
  </si>
  <si>
    <t>Annona</t>
  </si>
  <si>
    <t>helosioides</t>
  </si>
  <si>
    <t>por DAP</t>
  </si>
  <si>
    <t>Se añade Miconia</t>
  </si>
  <si>
    <t>Urticaceae</t>
  </si>
  <si>
    <t>Cecropia</t>
  </si>
  <si>
    <t>herthae</t>
  </si>
  <si>
    <t>Fusispermum</t>
  </si>
  <si>
    <t>laxiflorum</t>
  </si>
  <si>
    <t>Guatteria</t>
  </si>
  <si>
    <t>cf multivenia</t>
  </si>
  <si>
    <t>quixos</t>
  </si>
  <si>
    <t>x</t>
  </si>
  <si>
    <t>Melatomataceae</t>
  </si>
  <si>
    <t>y</t>
  </si>
  <si>
    <t>laevigata</t>
  </si>
  <si>
    <t>Banara</t>
  </si>
  <si>
    <t>nitida</t>
  </si>
  <si>
    <t>oblonga</t>
  </si>
  <si>
    <t>pos NI</t>
  </si>
  <si>
    <t>SEV_71</t>
  </si>
  <si>
    <t>EUP, Pseudosenefeldera</t>
  </si>
  <si>
    <t>MOR Brosimum</t>
  </si>
  <si>
    <t>3172</t>
  </si>
  <si>
    <t>Eschweilera</t>
  </si>
  <si>
    <t>coriacea</t>
  </si>
  <si>
    <t>LEC Eschweilera coriacea</t>
  </si>
  <si>
    <t>Calophyllaceae</t>
  </si>
  <si>
    <t>Marila</t>
  </si>
  <si>
    <t>tomentosa</t>
  </si>
  <si>
    <t>CLU, Marila</t>
  </si>
  <si>
    <t>3167</t>
  </si>
  <si>
    <t>3170</t>
  </si>
  <si>
    <t>aff. bourgonii</t>
  </si>
  <si>
    <t>MIM Inga aff. bourgonii (Aubl.) DC.</t>
  </si>
  <si>
    <t>3174</t>
  </si>
  <si>
    <t>EUP =#2266</t>
  </si>
  <si>
    <t>3168</t>
  </si>
  <si>
    <t>micrantha</t>
  </si>
  <si>
    <t xml:space="preserve">MELI, Trichilia micrantha Benth. E. Jaramillo (QCNE) </t>
  </si>
  <si>
    <t>3182</t>
  </si>
  <si>
    <t>MOR Brosimum  sin coleccion</t>
  </si>
  <si>
    <t>VOC Vochysia =#2251</t>
  </si>
  <si>
    <t>Chrysobalanaceae</t>
  </si>
  <si>
    <t>Licania</t>
  </si>
  <si>
    <t>apetala</t>
  </si>
  <si>
    <t>CHR, Licania apetala (E. Mey.) Fritsch E. Jaramillo</t>
  </si>
  <si>
    <t>3175</t>
  </si>
  <si>
    <t>Olacaceae</t>
  </si>
  <si>
    <t>Minquartia</t>
  </si>
  <si>
    <t>MYRIST Virola</t>
  </si>
  <si>
    <t>3176</t>
  </si>
  <si>
    <t>MOR Ficus?</t>
  </si>
  <si>
    <t>3171</t>
  </si>
  <si>
    <t>Gloeospermum</t>
  </si>
  <si>
    <t>longifolium</t>
  </si>
  <si>
    <t>VIO, Gloeospermum longifolium Hekking.</t>
  </si>
  <si>
    <t>3177</t>
  </si>
  <si>
    <t>Styracaceae</t>
  </si>
  <si>
    <t>Styrax</t>
  </si>
  <si>
    <t>STY Styrax=plot 35 =JH2821</t>
  </si>
  <si>
    <t>3178</t>
  </si>
  <si>
    <t>MOR Brosimum  sin c. =#2257</t>
  </si>
  <si>
    <t>EUP Hevea</t>
  </si>
  <si>
    <t>3169</t>
  </si>
  <si>
    <t>3173</t>
  </si>
  <si>
    <t>EUP=#2266</t>
  </si>
  <si>
    <t>calistophylla</t>
  </si>
  <si>
    <t>SAPO, Pouteria calistophylla (Standl.) Baehni</t>
  </si>
  <si>
    <t>3184</t>
  </si>
  <si>
    <t xml:space="preserve"> zu groﾟ</t>
  </si>
  <si>
    <t>MYRIST Otoba</t>
  </si>
  <si>
    <t>subserratum</t>
  </si>
  <si>
    <t>BUR Protium subserratum</t>
  </si>
  <si>
    <t>=3010</t>
  </si>
  <si>
    <t>Myrsinaceae</t>
  </si>
  <si>
    <t>Cybianthus</t>
  </si>
  <si>
    <t>aff. occigranatensis</t>
  </si>
  <si>
    <t>MYRS, Cybianthus aff. occigranatensis (Cuatrec.) G. Agostini</t>
  </si>
  <si>
    <t>3185</t>
  </si>
  <si>
    <t>egensis</t>
  </si>
  <si>
    <t>SAPO, Micropholis egensis (A. DC.) Pierre Selva Viva Miguel</t>
  </si>
  <si>
    <t>3180</t>
  </si>
  <si>
    <t>aff. recurvisepala</t>
  </si>
  <si>
    <t>ANN, Guatteria aff. recurvisepala R.E. Fr. Edison</t>
  </si>
  <si>
    <t>3179</t>
  </si>
  <si>
    <t>glabrescens</t>
  </si>
  <si>
    <t xml:space="preserve">BUR Protium vestitum (Cuatrec.) Daly E. Jaramillo (QCNE) </t>
  </si>
  <si>
    <t>3183</t>
  </si>
  <si>
    <t>tot und umgekippt</t>
  </si>
  <si>
    <t>3181</t>
  </si>
  <si>
    <t>SEV_72</t>
  </si>
  <si>
    <t>con dendro</t>
  </si>
  <si>
    <t>same as 3180</t>
  </si>
  <si>
    <t>Crepidospermum</t>
  </si>
  <si>
    <t>rhoifolium</t>
  </si>
  <si>
    <t>same as 3174</t>
  </si>
  <si>
    <t>Sorocea</t>
  </si>
  <si>
    <t>steinbachii</t>
  </si>
  <si>
    <t>gracilis</t>
  </si>
  <si>
    <t>sp gracilis</t>
  </si>
  <si>
    <t>Socratea</t>
  </si>
  <si>
    <t>exorrhiza</t>
  </si>
  <si>
    <t>Compsoneura</t>
  </si>
  <si>
    <t>aff sprucei</t>
  </si>
  <si>
    <t>Calophyllum</t>
  </si>
  <si>
    <t>same as 3231</t>
  </si>
  <si>
    <t>same as 3211</t>
  </si>
  <si>
    <t>Mabea</t>
  </si>
  <si>
    <t>same as 3173</t>
  </si>
  <si>
    <t>Eugenia</t>
  </si>
  <si>
    <t>dixonii</t>
  </si>
  <si>
    <t>cf. tenuifolium</t>
  </si>
  <si>
    <t>Calyptranthes</t>
  </si>
  <si>
    <t>manaosense</t>
  </si>
  <si>
    <t>multinervis</t>
  </si>
  <si>
    <t>cf metallica</t>
  </si>
  <si>
    <t>same as 3181</t>
  </si>
  <si>
    <t>same as 3203</t>
  </si>
  <si>
    <t>Melastomatacea</t>
  </si>
  <si>
    <t>SEV_73</t>
  </si>
  <si>
    <t>CLU Calophyllum sp.  E. Jaramillo fuste con rombos</t>
  </si>
  <si>
    <t>3231</t>
  </si>
  <si>
    <t>MYRIST V calophylla</t>
  </si>
  <si>
    <t>Proteaceae</t>
  </si>
  <si>
    <t>Euplassa</t>
  </si>
  <si>
    <t>occidentalis</t>
  </si>
  <si>
    <t>PROT Euplassa</t>
  </si>
  <si>
    <t>3226</t>
  </si>
  <si>
    <t>MYRIST</t>
  </si>
  <si>
    <t>3232</t>
  </si>
  <si>
    <t>BUR Protium = kl B舫me</t>
  </si>
  <si>
    <t>ANN Guatteria</t>
  </si>
  <si>
    <t>3241</t>
  </si>
  <si>
    <t>MOR PSeudolmedia??? plot 71</t>
  </si>
  <si>
    <t>ARE Iriartea</t>
  </si>
  <si>
    <t>Capirona</t>
  </si>
  <si>
    <t>decorticans</t>
  </si>
  <si>
    <t xml:space="preserve">RUB Capirona decorticans Spruce E. Jaramillo (QCNE) </t>
  </si>
  <si>
    <t>3233</t>
  </si>
  <si>
    <t>ANN, Guatteria sp.nov.</t>
  </si>
  <si>
    <t>3240</t>
  </si>
  <si>
    <t>Alibertia</t>
  </si>
  <si>
    <t>edulis</t>
  </si>
  <si>
    <t>RUB, Alibertia edulis</t>
  </si>
  <si>
    <t>3234</t>
  </si>
  <si>
    <t>Perebea</t>
  </si>
  <si>
    <t>MOR Perebea guianensis subsp hirsuta paparagua</t>
  </si>
  <si>
    <t>Grias</t>
  </si>
  <si>
    <t>neuberthii</t>
  </si>
  <si>
    <t>LEC Grias neuberthii</t>
  </si>
  <si>
    <t>xanthochyma</t>
  </si>
  <si>
    <t>3228</t>
  </si>
  <si>
    <t>Polygonaceae</t>
  </si>
  <si>
    <t>Coccoloba</t>
  </si>
  <si>
    <t>densifrons</t>
  </si>
  <si>
    <t>POLYGO Coccoloba</t>
  </si>
  <si>
    <t>3225</t>
  </si>
  <si>
    <t>Dichapetalaceae</t>
  </si>
  <si>
    <t>Dichapetalum</t>
  </si>
  <si>
    <t>rugosum</t>
  </si>
  <si>
    <t>DICH haarig</t>
  </si>
  <si>
    <t>3242</t>
  </si>
  <si>
    <t>MYRIST O parvifolia</t>
  </si>
  <si>
    <t>MYRT</t>
  </si>
  <si>
    <t>3229</t>
  </si>
  <si>
    <t>paucinervia</t>
  </si>
  <si>
    <t>LAU, Nectandra paucinervia Coe-Texeira Selva Viva E. Jaramillo</t>
  </si>
  <si>
    <t>3237</t>
  </si>
  <si>
    <t>Coussarea</t>
  </si>
  <si>
    <t>racemosa</t>
  </si>
  <si>
    <t>RUB, Coussarea racemosa A. Rich. E. Jaramillo weiﾟe Bl・en</t>
  </si>
  <si>
    <t>3227</t>
  </si>
  <si>
    <t>Ulmaceae</t>
  </si>
  <si>
    <t>Ampelocera</t>
  </si>
  <si>
    <t>edentula</t>
  </si>
  <si>
    <t>ULM Ampelocera</t>
  </si>
  <si>
    <t>MYRIST Virola duckei</t>
  </si>
  <si>
    <t>VIO Leonia glyc.</t>
  </si>
  <si>
    <t>3238</t>
  </si>
  <si>
    <t>glaberrima</t>
  </si>
  <si>
    <t>ANN Guatteria glaberrima</t>
  </si>
  <si>
    <t>=3241?</t>
  </si>
  <si>
    <t>Achariaceae</t>
  </si>
  <si>
    <t>FLA</t>
  </si>
  <si>
    <t>3236</t>
  </si>
  <si>
    <t>Siparunacae</t>
  </si>
  <si>
    <t>Siparuna</t>
  </si>
  <si>
    <t>cuspidata</t>
  </si>
  <si>
    <t>SIP</t>
  </si>
  <si>
    <t>3239</t>
  </si>
  <si>
    <t>BUR Protium nodulosum</t>
  </si>
  <si>
    <t>ARE Iri delt</t>
  </si>
  <si>
    <t>ULM</t>
  </si>
  <si>
    <t>=3208</t>
  </si>
  <si>
    <t>Heisteria</t>
  </si>
  <si>
    <t>OLA, Heisteria nitida Engl. E. Jaramillo</t>
  </si>
  <si>
    <t>3230</t>
  </si>
  <si>
    <t>?</t>
  </si>
  <si>
    <t>3235</t>
  </si>
  <si>
    <t>tot,muerto caido</t>
  </si>
  <si>
    <t>tot, muerto caido</t>
  </si>
  <si>
    <t>SEV_74</t>
  </si>
  <si>
    <t>Andira</t>
  </si>
  <si>
    <t>Ferdinandusa</t>
  </si>
  <si>
    <t>cf elliptica</t>
  </si>
  <si>
    <t>same as 3200</t>
  </si>
  <si>
    <t>grandiflora</t>
  </si>
  <si>
    <t>same as 3215</t>
  </si>
  <si>
    <t>pubivena</t>
  </si>
  <si>
    <t>same as 3262</t>
  </si>
  <si>
    <t>Apocynacea</t>
  </si>
  <si>
    <t>Se cambia indet por Aspidosperma</t>
  </si>
  <si>
    <t>Pleurothyrium</t>
  </si>
  <si>
    <t>coccinea</t>
  </si>
  <si>
    <t>same as 3248</t>
  </si>
  <si>
    <t>same as 3216</t>
  </si>
  <si>
    <t>Pachira</t>
  </si>
  <si>
    <t>rupicola</t>
  </si>
  <si>
    <t>same as 3244</t>
  </si>
  <si>
    <t>megaphylla</t>
  </si>
  <si>
    <t>same as 3246</t>
  </si>
  <si>
    <t>vernicosa</t>
  </si>
  <si>
    <t>laevis</t>
  </si>
  <si>
    <t>SEV_75</t>
  </si>
  <si>
    <t>crassa</t>
  </si>
  <si>
    <t>VIO, Leonia</t>
  </si>
  <si>
    <t>3311</t>
  </si>
  <si>
    <t>baehniana</t>
  </si>
  <si>
    <t>SAPO, Pouteria baehniana Monach. Selva Viva E. Jaramillo</t>
  </si>
  <si>
    <t>3309</t>
  </si>
  <si>
    <t>LEC, Grias</t>
  </si>
  <si>
    <t>cf bicolor</t>
  </si>
  <si>
    <t>CEC, Pourouma</t>
  </si>
  <si>
    <t>EUP, Senefeldera</t>
  </si>
  <si>
    <t>=3272</t>
  </si>
  <si>
    <t>EUP, Hevea</t>
  </si>
  <si>
    <t>=3169</t>
  </si>
  <si>
    <t>RUB</t>
  </si>
  <si>
    <t>3306</t>
  </si>
  <si>
    <t>Cryptocarya</t>
  </si>
  <si>
    <t xml:space="preserve">LAU, Cryptocarya aschersoniana Mez. E. Jaramillo </t>
  </si>
  <si>
    <t>3313</t>
  </si>
  <si>
    <t>VIO? oder MOR?</t>
  </si>
  <si>
    <t>3305</t>
  </si>
  <si>
    <t>Helicostylis</t>
  </si>
  <si>
    <t>3317</t>
  </si>
  <si>
    <t>=3281</t>
  </si>
  <si>
    <t>poeppigii</t>
  </si>
  <si>
    <t>MELI, Trichilia</t>
  </si>
  <si>
    <t>3312</t>
  </si>
  <si>
    <t>harlingii</t>
  </si>
  <si>
    <t xml:space="preserve">CHRY, Licania harlingii Prance E. Jaramillo </t>
  </si>
  <si>
    <t>3315</t>
  </si>
  <si>
    <t>Caryodendron</t>
  </si>
  <si>
    <t>orinocense</t>
  </si>
  <si>
    <t>EUP</t>
  </si>
  <si>
    <t>3310</t>
  </si>
  <si>
    <t>=3200</t>
  </si>
  <si>
    <t>BUR, Protium glabrescens Swart Selva Viva E. Jaramillo</t>
  </si>
  <si>
    <t>3314</t>
  </si>
  <si>
    <t>LAC Myrist Compsoneura aff. sprucei (A. DC.)Warb.</t>
  </si>
  <si>
    <t>=3212</t>
  </si>
  <si>
    <t>MYRT, Calyptranthes</t>
  </si>
  <si>
    <t>3308</t>
  </si>
  <si>
    <t>Borojoa</t>
  </si>
  <si>
    <t>stipularis</t>
  </si>
  <si>
    <t>=3287</t>
  </si>
  <si>
    <t>Zygia</t>
  </si>
  <si>
    <t>MIM, Zygia coccinea (G.Don) L. Rico E. Jaramillo</t>
  </si>
  <si>
    <t>=3293</t>
  </si>
  <si>
    <t>CLU, Chrysochlamys membranac.</t>
  </si>
  <si>
    <t>=3296</t>
  </si>
  <si>
    <t>trianae</t>
  </si>
  <si>
    <t>LAU, Pleurothyrium trianae (Mez) Rohwer E. Jaramillo</t>
  </si>
  <si>
    <t>3316</t>
  </si>
  <si>
    <t>MYRIST, Otoba glyc.</t>
  </si>
  <si>
    <t>cf. scabra</t>
  </si>
  <si>
    <t xml:space="preserve">MELI, Guarea macrophylla Vahl. E. Jaramillo (QCNE) </t>
  </si>
  <si>
    <t>3307</t>
  </si>
  <si>
    <t>brasiliensis</t>
  </si>
  <si>
    <t xml:space="preserve">Virola </t>
  </si>
  <si>
    <t>multinervia</t>
  </si>
  <si>
    <t>sp.2</t>
  </si>
  <si>
    <t>Siparunaceae</t>
  </si>
  <si>
    <t>sp.1</t>
  </si>
  <si>
    <t xml:space="preserve">Osteophloeum 
</t>
  </si>
  <si>
    <t>NI. latex</t>
  </si>
  <si>
    <t>same as 8842</t>
  </si>
  <si>
    <t>indet to Pouteria</t>
  </si>
  <si>
    <t>pv 2398</t>
  </si>
  <si>
    <t>pv 2389</t>
  </si>
  <si>
    <t>pv 2370</t>
  </si>
  <si>
    <t>pv 2397</t>
  </si>
  <si>
    <t>pv 8833</t>
  </si>
  <si>
    <t>indet no tiene hojas</t>
  </si>
  <si>
    <t>VJ- Cambio  era Pouruma. K.A. sugiere Lauracea, KG sugiere Fabacea por hojas. Same as 8828</t>
  </si>
  <si>
    <t>compound</t>
  </si>
  <si>
    <t>pv 2368. Tronco inclinado sin dendro 2025</t>
  </si>
  <si>
    <t>Celastraceae</t>
  </si>
  <si>
    <t>Karina colecta</t>
  </si>
  <si>
    <t>pv 2373</t>
  </si>
  <si>
    <t>pv 2374</t>
  </si>
  <si>
    <t>pv 2378</t>
  </si>
  <si>
    <t>pv 2382</t>
  </si>
  <si>
    <t>pv 2384</t>
  </si>
  <si>
    <t>pv 2380</t>
  </si>
  <si>
    <t>sp.</t>
  </si>
  <si>
    <t>No hay Guarea en el listado original pero ya revisamos con Karina.</t>
  </si>
  <si>
    <t>subplot</t>
  </si>
  <si>
    <t>pv 2317</t>
  </si>
  <si>
    <t>pv 2287</t>
  </si>
  <si>
    <t>pv 2319</t>
  </si>
  <si>
    <t>pv 2320</t>
  </si>
  <si>
    <t>pv 2321</t>
  </si>
  <si>
    <t>pv 2288</t>
  </si>
  <si>
    <t>pv 2289</t>
  </si>
  <si>
    <t>pv 2284</t>
  </si>
  <si>
    <t>pv 2292</t>
  </si>
  <si>
    <t>Brosimum? 2293?</t>
  </si>
  <si>
    <t>Podra ser 2313?</t>
  </si>
  <si>
    <t>pv 2144</t>
  </si>
  <si>
    <t>pv 2134</t>
  </si>
  <si>
    <t>pv 2133</t>
  </si>
  <si>
    <t>pv 2140</t>
  </si>
  <si>
    <t>pv 2160</t>
  </si>
  <si>
    <t>pv 2139 Sin medula</t>
  </si>
  <si>
    <t>pv 2136</t>
  </si>
  <si>
    <t>pv 2135</t>
  </si>
  <si>
    <t>pv 2154</t>
  </si>
  <si>
    <t>pv 2149</t>
  </si>
  <si>
    <t>pv 2147</t>
  </si>
  <si>
    <t>aromatico. Pequeña muestra</t>
  </si>
  <si>
    <t>pom 1.35. No se colecta. Muy alto.</t>
  </si>
  <si>
    <t>Indet</t>
  </si>
  <si>
    <t>pv 2177</t>
  </si>
  <si>
    <t>muy alto no se puede colectar</t>
  </si>
  <si>
    <t>Tronco chueco</t>
  </si>
  <si>
    <t>Not found. No species as big was found</t>
  </si>
  <si>
    <t>pv 2220</t>
  </si>
  <si>
    <t>pv 2216</t>
  </si>
  <si>
    <t>pv 2224</t>
  </si>
  <si>
    <t>pv 2225</t>
  </si>
  <si>
    <t>pv 2245</t>
  </si>
  <si>
    <t>pv 2236</t>
  </si>
  <si>
    <t>Hoja compuesta, sin olor</t>
  </si>
  <si>
    <t>pv 2207</t>
  </si>
  <si>
    <t xml:space="preserve">Alchornea </t>
  </si>
  <si>
    <t>NI. Sin copa</t>
  </si>
  <si>
    <t>no se colecta</t>
  </si>
  <si>
    <t>multistem</t>
  </si>
  <si>
    <t>There is another tree growing next to it. Estimation of measurement.</t>
  </si>
  <si>
    <t>pv 2208</t>
  </si>
  <si>
    <t>dendro roto</t>
  </si>
  <si>
    <t>hoja compuesta</t>
  </si>
  <si>
    <t>Originalmente habia otra otoba pero dificil saber entre 2221 o 2223</t>
  </si>
  <si>
    <t>Antes Gloeospermum llongifolium. Ahora Leonia longifolia</t>
  </si>
  <si>
    <t>Antes Salicaceae Ahora Achariaceae</t>
  </si>
  <si>
    <t>Antes Mespilodaphne q. Ahora Mespilodaphne q.</t>
  </si>
  <si>
    <t>Mespilodaphne</t>
  </si>
  <si>
    <t>Antes Cecropiaceae Ahora Urticaceae</t>
  </si>
  <si>
    <t>Antes P. hispida Ahora P. guianensis</t>
  </si>
  <si>
    <t>Antes Hippocrateaceae Ahora Celastraceae</t>
  </si>
  <si>
    <t>Antes Schefflera m. Ahora Didymopanax m.</t>
  </si>
  <si>
    <t>Didymopanax</t>
  </si>
  <si>
    <t>Antes Tetragastris panamensis Ahora Protium stevensonii</t>
  </si>
  <si>
    <t>stevensonii</t>
  </si>
  <si>
    <t>Antes T. subincanum Ahota T. speciosum</t>
  </si>
  <si>
    <t>speciosum</t>
  </si>
  <si>
    <t>Warszewiczia</t>
  </si>
  <si>
    <t>leaf sample 2025</t>
  </si>
  <si>
    <t>wood sample 2025</t>
  </si>
  <si>
    <t>sampling date_leaves 2025</t>
  </si>
  <si>
    <t>comp. leaf</t>
  </si>
  <si>
    <t>No. leaves</t>
  </si>
  <si>
    <t>Leaf fresh weight (g)</t>
  </si>
  <si>
    <t>Leaf dry weight (g)</t>
  </si>
  <si>
    <t>Comments</t>
  </si>
  <si>
    <t>sampling leaf thickness</t>
  </si>
  <si>
    <t>leaf 1 thickness 1</t>
  </si>
  <si>
    <t>leaf 1 thickness 2</t>
  </si>
  <si>
    <t>leaf 2 thickness 1</t>
  </si>
  <si>
    <t>leaf 2 thickness 2</t>
  </si>
  <si>
    <t>leaf 3 thickness 1</t>
  </si>
  <si>
    <t>leaf 3 thickness 2</t>
  </si>
  <si>
    <t>crust thickness</t>
  </si>
  <si>
    <t>wet lenght cm</t>
  </si>
  <si>
    <t>wet wood weight</t>
  </si>
  <si>
    <t>dry wood weight</t>
  </si>
  <si>
    <t>Nº duplicados/ muestras 2025</t>
  </si>
  <si>
    <t>JH herbarium collections 2025</t>
  </si>
  <si>
    <t>height (m) 2025</t>
  </si>
  <si>
    <t>new entry 2025</t>
  </si>
  <si>
    <t>dbh 3 2025</t>
  </si>
  <si>
    <t>date census 3 2025</t>
  </si>
  <si>
    <t>dead 2025</t>
  </si>
  <si>
    <t>mordida y oxidada</t>
  </si>
  <si>
    <t>manchas negras enves</t>
  </si>
  <si>
    <t>herviboria</t>
  </si>
  <si>
    <t>hojas de mala calidad</t>
  </si>
  <si>
    <t>X</t>
  </si>
  <si>
    <t>No hay datos</t>
  </si>
  <si>
    <t>comment wood</t>
  </si>
  <si>
    <t>pedazo pequeño</t>
  </si>
  <si>
    <t>roto en dos partes. Mas un tubo con pedazos</t>
  </si>
  <si>
    <t>roto en tres pedazos</t>
  </si>
  <si>
    <t>Revisar Jurgen especies</t>
  </si>
  <si>
    <t>3 - fruto</t>
  </si>
  <si>
    <t>Puso Nombre, segun revisado en campo, muestras, fotos</t>
  </si>
  <si>
    <t>FOTO ANTIGUA. pv 2163 si tiene placa pero no es Guarea como dice la ID de 2011.</t>
  </si>
  <si>
    <t>FOTO ANTIGUA</t>
  </si>
  <si>
    <t>c</t>
  </si>
  <si>
    <t>FOTO ANTERIOR</t>
  </si>
  <si>
    <t>FOTO DE TALLO-AHORA</t>
  </si>
  <si>
    <t>same as 8829??</t>
  </si>
  <si>
    <t>FOTO ANTIGUA. Tiene dendrometro y olor dulce</t>
  </si>
  <si>
    <t>FOTO ANTIGUA. It had a dendrometer but the ID does not match any individual</t>
  </si>
  <si>
    <t> Chrysobalanaceae</t>
  </si>
  <si>
    <t>Hirtella</t>
  </si>
  <si>
    <t>3-frutos</t>
  </si>
  <si>
    <t>3-flores</t>
  </si>
  <si>
    <t>Salicacia</t>
  </si>
  <si>
    <t>Laetia o casearia</t>
  </si>
  <si>
    <t>3-botones</t>
  </si>
  <si>
    <t>Revisar Jurgen</t>
  </si>
  <si>
    <t>Tiene dos nombres</t>
  </si>
  <si>
    <t>Latex amarillo</t>
  </si>
  <si>
    <t>FOTO ANTIGUA 8814 y 8815 Hojas opuestas</t>
  </si>
  <si>
    <t>Especies que tienen numero de duplicados se colecto en noviembre (Andrea, Karina Gonzalez- Colecta en octubre 2025)</t>
  </si>
  <si>
    <t>Revisar en comentarios, para identificar con fotos (colecta-febrero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</si>
</sst>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.m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BD4B4"/>
        <bgColor rgb="FFFBD4B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0000"/>
      </patternFill>
    </fill>
    <fill>
      <patternFill patternType="solid">
        <fgColor theme="5"/>
        <bgColor rgb="FFFF9900"/>
      </patternFill>
    </fill>
    <fill>
      <patternFill patternType="solid">
        <fgColor theme="5"/>
        <bgColor rgb="FFFFF2CC"/>
      </patternFill>
    </fill>
    <fill>
      <patternFill patternType="solid">
        <fgColor theme="5"/>
        <bgColor rgb="FFFCE5CD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2A1C7"/>
        <bgColor rgb="FFB2A1C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rgb="FFFFFF00"/>
      </patternFill>
    </fill>
    <fill>
      <patternFill patternType="solid">
        <fgColor rgb="FF00B0F0"/>
        <bgColor rgb="FFFF0000"/>
      </patternFill>
    </fill>
    <fill>
      <patternFill patternType="solid">
        <fgColor theme="9" tint="0.59999389629810485"/>
        <bgColor rgb="FFFBD4B4"/>
      </patternFill>
    </fill>
    <fill>
      <patternFill patternType="solid">
        <fgColor theme="9" tint="0.59999389629810485"/>
        <bgColor rgb="FFD99594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rgb="FF95B3D7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/>
        <bgColor rgb="FF00FF00"/>
      </patternFill>
    </fill>
    <fill>
      <patternFill patternType="solid">
        <fgColor rgb="FF00B0F0"/>
        <bgColor rgb="FFFF9900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right" vertical="top" wrapText="1"/>
    </xf>
    <xf numFmtId="14" fontId="7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right" vertical="top" wrapText="1"/>
    </xf>
    <xf numFmtId="0" fontId="8" fillId="2" borderId="2" xfId="0" applyFont="1" applyFill="1" applyBorder="1" applyAlignment="1">
      <alignment horizontal="center" wrapText="1"/>
    </xf>
    <xf numFmtId="0" fontId="9" fillId="0" borderId="0" xfId="0" applyFont="1" applyAlignment="1">
      <alignment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applyFont="1"/>
    <xf numFmtId="14" fontId="9" fillId="0" borderId="0" xfId="0" applyNumberFormat="1" applyFont="1" applyAlignment="1">
      <alignment vertical="top"/>
    </xf>
    <xf numFmtId="49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right"/>
    </xf>
    <xf numFmtId="1" fontId="9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9" fillId="7" borderId="0" xfId="0" applyFont="1" applyFill="1" applyAlignment="1">
      <alignment vertical="top"/>
    </xf>
    <xf numFmtId="0" fontId="9" fillId="7" borderId="0" xfId="0" applyFont="1" applyFill="1" applyAlignment="1">
      <alignment horizontal="center" vertical="top"/>
    </xf>
    <xf numFmtId="0" fontId="9" fillId="7" borderId="0" xfId="0" applyFont="1" applyFill="1"/>
    <xf numFmtId="0" fontId="0" fillId="7" borderId="0" xfId="0" applyFill="1"/>
    <xf numFmtId="1" fontId="9" fillId="7" borderId="0" xfId="0" applyNumberFormat="1" applyFont="1" applyFill="1" applyAlignment="1">
      <alignment horizontal="center" vertical="top"/>
    </xf>
    <xf numFmtId="14" fontId="9" fillId="7" borderId="0" xfId="0" applyNumberFormat="1" applyFont="1" applyFill="1" applyAlignment="1">
      <alignment vertical="top"/>
    </xf>
    <xf numFmtId="49" fontId="9" fillId="7" borderId="0" xfId="0" applyNumberFormat="1" applyFont="1" applyFill="1" applyAlignment="1">
      <alignment horizontal="center" vertical="top"/>
    </xf>
    <xf numFmtId="0" fontId="6" fillId="0" borderId="0" xfId="0" applyFont="1"/>
    <xf numFmtId="0" fontId="0" fillId="12" borderId="0" xfId="0" applyFill="1"/>
    <xf numFmtId="0" fontId="7" fillId="13" borderId="0" xfId="0" applyFont="1" applyFill="1" applyAlignment="1">
      <alignment horizontal="left" vertical="top" wrapText="1"/>
    </xf>
    <xf numFmtId="0" fontId="16" fillId="0" borderId="0" xfId="0" applyFont="1" applyAlignment="1">
      <alignment wrapText="1"/>
    </xf>
    <xf numFmtId="0" fontId="7" fillId="14" borderId="0" xfId="0" applyFont="1" applyFill="1" applyAlignment="1">
      <alignment horizontal="center" vertical="top" wrapText="1"/>
    </xf>
    <xf numFmtId="0" fontId="16" fillId="15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16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14" fontId="0" fillId="0" borderId="0" xfId="0" applyNumberForma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14" borderId="0" xfId="0" applyFill="1"/>
    <xf numFmtId="0" fontId="5" fillId="0" borderId="0" xfId="0" applyFont="1"/>
    <xf numFmtId="0" fontId="9" fillId="0" borderId="4" xfId="0" applyFont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4" fillId="0" borderId="0" xfId="0" applyFont="1"/>
    <xf numFmtId="0" fontId="0" fillId="0" borderId="3" xfId="0" applyBorder="1"/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0" fillId="7" borderId="3" xfId="0" applyFill="1" applyBorder="1"/>
    <xf numFmtId="0" fontId="9" fillId="0" borderId="3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13" fillId="0" borderId="3" xfId="0" applyFont="1" applyBorder="1"/>
    <xf numFmtId="0" fontId="9" fillId="5" borderId="4" xfId="0" applyFont="1" applyFill="1" applyBorder="1" applyAlignment="1">
      <alignment horizontal="center"/>
    </xf>
    <xf numFmtId="0" fontId="15" fillId="9" borderId="4" xfId="0" applyFont="1" applyFill="1" applyBorder="1" applyAlignment="1">
      <alignment horizontal="left"/>
    </xf>
    <xf numFmtId="0" fontId="14" fillId="7" borderId="4" xfId="0" applyFont="1" applyFill="1" applyBorder="1" applyAlignment="1">
      <alignment horizontal="left"/>
    </xf>
    <xf numFmtId="0" fontId="15" fillId="7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8" borderId="4" xfId="0" applyFont="1" applyFill="1" applyBorder="1" applyAlignment="1">
      <alignment horizontal="left"/>
    </xf>
    <xf numFmtId="0" fontId="9" fillId="12" borderId="4" xfId="0" applyFont="1" applyFill="1" applyBorder="1" applyAlignment="1">
      <alignment horizontal="right"/>
    </xf>
    <xf numFmtId="0" fontId="9" fillId="7" borderId="4" xfId="0" applyFont="1" applyFill="1" applyBorder="1" applyAlignment="1">
      <alignment horizontal="left"/>
    </xf>
    <xf numFmtId="0" fontId="9" fillId="0" borderId="4" xfId="0" applyFont="1" applyBorder="1" applyAlignment="1">
      <alignment wrapText="1"/>
    </xf>
    <xf numFmtId="0" fontId="9" fillId="8" borderId="4" xfId="0" applyFont="1" applyFill="1" applyBorder="1" applyAlignment="1">
      <alignment horizontal="right"/>
    </xf>
    <xf numFmtId="0" fontId="7" fillId="0" borderId="4" xfId="0" applyFont="1" applyBorder="1" applyAlignment="1">
      <alignment horizontal="center" wrapText="1"/>
    </xf>
    <xf numFmtId="0" fontId="9" fillId="19" borderId="4" xfId="0" applyFont="1" applyFill="1" applyBorder="1" applyAlignment="1">
      <alignment horizontal="right"/>
    </xf>
    <xf numFmtId="0" fontId="9" fillId="8" borderId="4" xfId="0" applyFont="1" applyFill="1" applyBorder="1" applyAlignment="1">
      <alignment wrapText="1"/>
    </xf>
    <xf numFmtId="0" fontId="9" fillId="8" borderId="4" xfId="0" applyFont="1" applyFill="1" applyBorder="1"/>
    <xf numFmtId="0" fontId="7" fillId="20" borderId="4" xfId="0" applyFont="1" applyFill="1" applyBorder="1" applyAlignment="1">
      <alignment horizontal="center" wrapText="1"/>
    </xf>
    <xf numFmtId="0" fontId="7" fillId="13" borderId="4" xfId="0" applyFont="1" applyFill="1" applyBorder="1" applyAlignment="1">
      <alignment horizontal="center" wrapText="1"/>
    </xf>
    <xf numFmtId="0" fontId="7" fillId="22" borderId="4" xfId="0" applyFont="1" applyFill="1" applyBorder="1" applyAlignment="1">
      <alignment horizontal="center" wrapText="1"/>
    </xf>
    <xf numFmtId="0" fontId="9" fillId="8" borderId="4" xfId="0" applyFont="1" applyFill="1" applyBorder="1" applyAlignment="1">
      <alignment horizontal="left" wrapText="1"/>
    </xf>
    <xf numFmtId="0" fontId="9" fillId="7" borderId="4" xfId="0" applyFont="1" applyFill="1" applyBorder="1"/>
    <xf numFmtId="164" fontId="9" fillId="8" borderId="4" xfId="0" applyNumberFormat="1" applyFont="1" applyFill="1" applyBorder="1"/>
    <xf numFmtId="164" fontId="9" fillId="8" borderId="4" xfId="0" applyNumberFormat="1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 wrapText="1"/>
    </xf>
    <xf numFmtId="0" fontId="0" fillId="7" borderId="3" xfId="0" applyFill="1" applyBorder="1" applyAlignment="1">
      <alignment horizontal="center"/>
    </xf>
    <xf numFmtId="1" fontId="9" fillId="8" borderId="4" xfId="0" applyNumberFormat="1" applyFont="1" applyFill="1" applyBorder="1" applyAlignment="1">
      <alignment horizontal="center"/>
    </xf>
    <xf numFmtId="14" fontId="9" fillId="8" borderId="4" xfId="0" applyNumberFormat="1" applyFont="1" applyFill="1" applyBorder="1" applyAlignment="1">
      <alignment horizontal="center"/>
    </xf>
    <xf numFmtId="49" fontId="9" fillId="8" borderId="4" xfId="0" applyNumberFormat="1" applyFont="1" applyFill="1" applyBorder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14" fontId="7" fillId="0" borderId="4" xfId="0" applyNumberFormat="1" applyFont="1" applyBorder="1" applyAlignment="1">
      <alignment horizontal="center" wrapText="1"/>
    </xf>
    <xf numFmtId="2" fontId="7" fillId="0" borderId="4" xfId="0" applyNumberFormat="1" applyFont="1" applyBorder="1" applyAlignment="1">
      <alignment horizontal="center" wrapText="1"/>
    </xf>
    <xf numFmtId="2" fontId="7" fillId="0" borderId="4" xfId="0" applyNumberFormat="1" applyFont="1" applyBorder="1" applyAlignment="1">
      <alignment horizontal="right" wrapText="1"/>
    </xf>
    <xf numFmtId="0" fontId="7" fillId="0" borderId="4" xfId="0" applyFont="1" applyBorder="1"/>
    <xf numFmtId="0" fontId="7" fillId="23" borderId="4" xfId="0" applyFont="1" applyFill="1" applyBorder="1" applyAlignment="1">
      <alignment horizontal="center" wrapText="1"/>
    </xf>
    <xf numFmtId="0" fontId="7" fillId="24" borderId="4" xfId="0" applyFont="1" applyFill="1" applyBorder="1" applyAlignment="1">
      <alignment horizontal="center" wrapText="1"/>
    </xf>
    <xf numFmtId="0" fontId="7" fillId="20" borderId="4" xfId="0" applyFont="1" applyFill="1" applyBorder="1" applyAlignment="1">
      <alignment wrapText="1"/>
    </xf>
    <xf numFmtId="0" fontId="7" fillId="21" borderId="4" xfId="0" applyFont="1" applyFill="1" applyBorder="1" applyAlignment="1">
      <alignment wrapText="1"/>
    </xf>
    <xf numFmtId="0" fontId="7" fillId="20" borderId="4" xfId="0" applyFont="1" applyFill="1" applyBorder="1" applyAlignment="1">
      <alignment horizontal="center"/>
    </xf>
    <xf numFmtId="0" fontId="9" fillId="0" borderId="4" xfId="0" applyFont="1" applyBorder="1"/>
    <xf numFmtId="1" fontId="9" fillId="0" borderId="4" xfId="0" applyNumberFormat="1" applyFont="1" applyBorder="1" applyAlignment="1">
      <alignment horizontal="center"/>
    </xf>
    <xf numFmtId="14" fontId="9" fillId="0" borderId="4" xfId="0" applyNumberFormat="1" applyFont="1" applyBorder="1"/>
    <xf numFmtId="49" fontId="9" fillId="0" borderId="4" xfId="0" applyNumberFormat="1" applyFont="1" applyBorder="1" applyAlignment="1">
      <alignment horizontal="center"/>
    </xf>
    <xf numFmtId="164" fontId="9" fillId="0" borderId="4" xfId="0" applyNumberFormat="1" applyFont="1" applyBorder="1"/>
    <xf numFmtId="0" fontId="7" fillId="0" borderId="4" xfId="0" applyFont="1" applyBorder="1" applyAlignment="1">
      <alignment horizontal="center"/>
    </xf>
    <xf numFmtId="0" fontId="9" fillId="19" borderId="4" xfId="0" applyFont="1" applyFill="1" applyBorder="1"/>
    <xf numFmtId="0" fontId="9" fillId="5" borderId="4" xfId="0" applyFont="1" applyFill="1" applyBorder="1"/>
    <xf numFmtId="1" fontId="9" fillId="5" borderId="4" xfId="0" applyNumberFormat="1" applyFont="1" applyFill="1" applyBorder="1" applyAlignment="1">
      <alignment horizontal="center"/>
    </xf>
    <xf numFmtId="14" fontId="9" fillId="5" borderId="4" xfId="0" applyNumberFormat="1" applyFont="1" applyFill="1" applyBorder="1"/>
    <xf numFmtId="49" fontId="9" fillId="5" borderId="4" xfId="0" applyNumberFormat="1" applyFont="1" applyFill="1" applyBorder="1" applyAlignment="1">
      <alignment horizontal="center"/>
    </xf>
    <xf numFmtId="0" fontId="9" fillId="17" borderId="4" xfId="0" applyFont="1" applyFill="1" applyBorder="1"/>
    <xf numFmtId="164" fontId="9" fillId="5" borderId="4" xfId="0" applyNumberFormat="1" applyFont="1" applyFill="1" applyBorder="1"/>
    <xf numFmtId="0" fontId="9" fillId="3" borderId="4" xfId="0" applyFont="1" applyFill="1" applyBorder="1"/>
    <xf numFmtId="0" fontId="9" fillId="12" borderId="4" xfId="0" applyFont="1" applyFill="1" applyBorder="1"/>
    <xf numFmtId="164" fontId="9" fillId="7" borderId="4" xfId="0" applyNumberFormat="1" applyFont="1" applyFill="1" applyBorder="1"/>
    <xf numFmtId="0" fontId="10" fillId="0" borderId="4" xfId="0" applyFont="1" applyBorder="1"/>
    <xf numFmtId="1" fontId="9" fillId="7" borderId="4" xfId="0" applyNumberFormat="1" applyFont="1" applyFill="1" applyBorder="1" applyAlignment="1">
      <alignment horizontal="center"/>
    </xf>
    <xf numFmtId="14" fontId="9" fillId="7" borderId="4" xfId="0" applyNumberFormat="1" applyFont="1" applyFill="1" applyBorder="1"/>
    <xf numFmtId="49" fontId="9" fillId="7" borderId="4" xfId="0" applyNumberFormat="1" applyFont="1" applyFill="1" applyBorder="1" applyAlignment="1">
      <alignment horizontal="center"/>
    </xf>
    <xf numFmtId="165" fontId="9" fillId="7" borderId="4" xfId="0" applyNumberFormat="1" applyFont="1" applyFill="1" applyBorder="1"/>
    <xf numFmtId="1" fontId="9" fillId="0" borderId="4" xfId="0" applyNumberFormat="1" applyFont="1" applyBorder="1" applyAlignment="1">
      <alignment horizontal="left"/>
    </xf>
    <xf numFmtId="14" fontId="9" fillId="0" borderId="4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right"/>
    </xf>
    <xf numFmtId="0" fontId="9" fillId="9" borderId="4" xfId="0" applyFont="1" applyFill="1" applyBorder="1"/>
    <xf numFmtId="1" fontId="9" fillId="9" borderId="4" xfId="0" applyNumberFormat="1" applyFont="1" applyFill="1" applyBorder="1" applyAlignment="1">
      <alignment horizontal="left"/>
    </xf>
    <xf numFmtId="0" fontId="9" fillId="9" borderId="4" xfId="0" applyFont="1" applyFill="1" applyBorder="1" applyAlignment="1">
      <alignment horizontal="left"/>
    </xf>
    <xf numFmtId="14" fontId="9" fillId="9" borderId="4" xfId="0" applyNumberFormat="1" applyFont="1" applyFill="1" applyBorder="1" applyAlignment="1">
      <alignment horizontal="center"/>
    </xf>
    <xf numFmtId="2" fontId="9" fillId="9" borderId="4" xfId="0" applyNumberFormat="1" applyFont="1" applyFill="1" applyBorder="1" applyAlignment="1">
      <alignment horizontal="center"/>
    </xf>
    <xf numFmtId="2" fontId="9" fillId="9" borderId="4" xfId="0" applyNumberFormat="1" applyFont="1" applyFill="1" applyBorder="1" applyAlignment="1">
      <alignment horizontal="right"/>
    </xf>
    <xf numFmtId="164" fontId="9" fillId="9" borderId="4" xfId="0" applyNumberFormat="1" applyFont="1" applyFill="1" applyBorder="1"/>
    <xf numFmtId="1" fontId="9" fillId="8" borderId="4" xfId="0" applyNumberFormat="1" applyFont="1" applyFill="1" applyBorder="1" applyAlignment="1">
      <alignment horizontal="left"/>
    </xf>
    <xf numFmtId="0" fontId="11" fillId="8" borderId="4" xfId="0" applyFont="1" applyFill="1" applyBorder="1"/>
    <xf numFmtId="1" fontId="9" fillId="7" borderId="4" xfId="0" applyNumberFormat="1" applyFont="1" applyFill="1" applyBorder="1" applyAlignment="1">
      <alignment horizontal="left"/>
    </xf>
    <xf numFmtId="0" fontId="9" fillId="18" borderId="4" xfId="0" applyFont="1" applyFill="1" applyBorder="1"/>
    <xf numFmtId="0" fontId="9" fillId="11" borderId="4" xfId="0" applyFont="1" applyFill="1" applyBorder="1"/>
    <xf numFmtId="1" fontId="9" fillId="11" borderId="4" xfId="0" applyNumberFormat="1" applyFont="1" applyFill="1" applyBorder="1" applyAlignment="1">
      <alignment horizontal="left"/>
    </xf>
    <xf numFmtId="164" fontId="9" fillId="11" borderId="4" xfId="0" applyNumberFormat="1" applyFont="1" applyFill="1" applyBorder="1"/>
    <xf numFmtId="0" fontId="9" fillId="10" borderId="4" xfId="0" applyFont="1" applyFill="1" applyBorder="1"/>
    <xf numFmtId="0" fontId="9" fillId="10" borderId="4" xfId="0" applyFont="1" applyFill="1" applyBorder="1" applyAlignment="1">
      <alignment horizontal="left"/>
    </xf>
    <xf numFmtId="14" fontId="9" fillId="10" borderId="4" xfId="0" applyNumberFormat="1" applyFont="1" applyFill="1" applyBorder="1" applyAlignment="1">
      <alignment horizontal="center"/>
    </xf>
    <xf numFmtId="2" fontId="9" fillId="10" borderId="4" xfId="0" applyNumberFormat="1" applyFont="1" applyFill="1" applyBorder="1" applyAlignment="1">
      <alignment horizontal="center"/>
    </xf>
    <xf numFmtId="2" fontId="9" fillId="10" borderId="4" xfId="0" applyNumberFormat="1" applyFont="1" applyFill="1" applyBorder="1" applyAlignment="1">
      <alignment horizontal="right"/>
    </xf>
    <xf numFmtId="164" fontId="9" fillId="10" borderId="4" xfId="0" applyNumberFormat="1" applyFont="1" applyFill="1" applyBorder="1"/>
    <xf numFmtId="2" fontId="9" fillId="8" borderId="4" xfId="0" applyNumberFormat="1" applyFont="1" applyFill="1" applyBorder="1" applyAlignment="1">
      <alignment horizontal="center"/>
    </xf>
    <xf numFmtId="2" fontId="9" fillId="8" borderId="4" xfId="0" applyNumberFormat="1" applyFont="1" applyFill="1" applyBorder="1" applyAlignment="1">
      <alignment horizontal="right"/>
    </xf>
    <xf numFmtId="0" fontId="9" fillId="14" borderId="4" xfId="0" applyFont="1" applyFill="1" applyBorder="1"/>
    <xf numFmtId="0" fontId="9" fillId="3" borderId="4" xfId="0" applyFont="1" applyFill="1" applyBorder="1" applyAlignment="1">
      <alignment horizontal="center"/>
    </xf>
    <xf numFmtId="14" fontId="9" fillId="7" borderId="4" xfId="0" applyNumberFormat="1" applyFont="1" applyFill="1" applyBorder="1" applyAlignment="1">
      <alignment horizontal="center"/>
    </xf>
    <xf numFmtId="2" fontId="9" fillId="7" borderId="4" xfId="0" applyNumberFormat="1" applyFont="1" applyFill="1" applyBorder="1" applyAlignment="1">
      <alignment horizontal="center"/>
    </xf>
    <xf numFmtId="2" fontId="9" fillId="7" borderId="4" xfId="0" applyNumberFormat="1" applyFont="1" applyFill="1" applyBorder="1" applyAlignment="1">
      <alignment horizontal="right"/>
    </xf>
    <xf numFmtId="0" fontId="7" fillId="7" borderId="4" xfId="0" applyFont="1" applyFill="1" applyBorder="1" applyAlignment="1">
      <alignment horizontal="center"/>
    </xf>
    <xf numFmtId="1" fontId="9" fillId="0" borderId="4" xfId="0" applyNumberFormat="1" applyFont="1" applyBorder="1"/>
    <xf numFmtId="0" fontId="7" fillId="6" borderId="4" xfId="0" applyFont="1" applyFill="1" applyBorder="1" applyAlignment="1">
      <alignment horizontal="center"/>
    </xf>
    <xf numFmtId="2" fontId="9" fillId="18" borderId="4" xfId="0" applyNumberFormat="1" applyFont="1" applyFill="1" applyBorder="1" applyAlignment="1">
      <alignment horizontal="right"/>
    </xf>
    <xf numFmtId="2" fontId="10" fillId="0" borderId="4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9" fillId="7" borderId="4" xfId="0" applyFont="1" applyFill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9" fillId="11" borderId="4" xfId="0" applyFont="1" applyFill="1" applyBorder="1" applyAlignment="1">
      <alignment wrapText="1"/>
    </xf>
    <xf numFmtId="0" fontId="9" fillId="10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9" fillId="0" borderId="3" xfId="0" applyFont="1" applyBorder="1" applyAlignment="1">
      <alignment wrapText="1"/>
    </xf>
    <xf numFmtId="0" fontId="9" fillId="25" borderId="4" xfId="0" applyFont="1" applyFill="1" applyBorder="1"/>
    <xf numFmtId="0" fontId="9" fillId="25" borderId="4" xfId="0" applyFont="1" applyFill="1" applyBorder="1" applyAlignment="1">
      <alignment horizontal="left"/>
    </xf>
    <xf numFmtId="0" fontId="2" fillId="0" borderId="0" xfId="0" applyFont="1"/>
    <xf numFmtId="0" fontId="9" fillId="26" borderId="4" xfId="0" applyFont="1" applyFill="1" applyBorder="1"/>
    <xf numFmtId="0" fontId="9" fillId="27" borderId="4" xfId="0" applyFont="1" applyFill="1" applyBorder="1" applyAlignment="1">
      <alignment wrapText="1"/>
    </xf>
    <xf numFmtId="0" fontId="9" fillId="27" borderId="4" xfId="0" applyFont="1" applyFill="1" applyBorder="1"/>
    <xf numFmtId="0" fontId="9" fillId="27" borderId="4" xfId="0" applyFont="1" applyFill="1" applyBorder="1" applyAlignment="1">
      <alignment horizontal="left"/>
    </xf>
    <xf numFmtId="0" fontId="0" fillId="28" borderId="0" xfId="0" applyFill="1"/>
    <xf numFmtId="0" fontId="1" fillId="0" borderId="0" xfId="0" applyFont="1"/>
    <xf numFmtId="0" fontId="3" fillId="0" borderId="0" xfId="0" applyFont="1" applyAlignment="1">
      <alignment wrapText="1"/>
    </xf>
    <xf numFmtId="0" fontId="0" fillId="0" borderId="0" xfId="0" applyFill="1"/>
    <xf numFmtId="0" fontId="6" fillId="0" borderId="0" xfId="0" applyFont="1" applyFill="1"/>
    <xf numFmtId="0" fontId="1" fillId="0" borderId="0" xfId="0" applyFont="1" applyAlignment="1">
      <alignment wrapText="1"/>
    </xf>
    <xf numFmtId="0" fontId="7" fillId="29" borderId="4" xfId="0" applyFont="1" applyFill="1" applyBorder="1" applyAlignment="1">
      <alignment horizontal="center" wrapText="1"/>
    </xf>
    <xf numFmtId="0" fontId="9" fillId="0" borderId="4" xfId="0" applyFont="1" applyFill="1" applyBorder="1"/>
    <xf numFmtId="1" fontId="9" fillId="0" borderId="4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14" fontId="9" fillId="0" borderId="4" xfId="0" applyNumberFormat="1" applyFont="1" applyFill="1" applyBorder="1"/>
    <xf numFmtId="49" fontId="9" fillId="0" borderId="4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wrapText="1"/>
    </xf>
    <xf numFmtId="0" fontId="0" fillId="0" borderId="3" xfId="0" applyFill="1" applyBorder="1"/>
    <xf numFmtId="1" fontId="9" fillId="0" borderId="4" xfId="0" applyNumberFormat="1" applyFont="1" applyFill="1" applyBorder="1" applyAlignment="1">
      <alignment horizontal="left"/>
    </xf>
    <xf numFmtId="0" fontId="9" fillId="0" borderId="4" xfId="0" applyFont="1" applyFill="1" applyBorder="1" applyAlignment="1">
      <alignment horizontal="left"/>
    </xf>
    <xf numFmtId="14" fontId="9" fillId="0" borderId="4" xfId="0" applyNumberFormat="1" applyFont="1" applyFill="1" applyBorder="1" applyAlignment="1">
      <alignment horizontal="center"/>
    </xf>
    <xf numFmtId="2" fontId="9" fillId="0" borderId="4" xfId="0" applyNumberFormat="1" applyFont="1" applyFill="1" applyBorder="1" applyAlignment="1">
      <alignment horizontal="center"/>
    </xf>
    <xf numFmtId="2" fontId="9" fillId="0" borderId="4" xfId="0" applyNumberFormat="1" applyFont="1" applyFill="1" applyBorder="1" applyAlignment="1">
      <alignment horizontal="right"/>
    </xf>
    <xf numFmtId="164" fontId="9" fillId="0" borderId="4" xfId="0" applyNumberFormat="1" applyFont="1" applyFill="1" applyBorder="1"/>
    <xf numFmtId="164" fontId="9" fillId="7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1"/>
  <sheetViews>
    <sheetView tabSelected="1" zoomScale="70" zoomScaleNormal="70" workbookViewId="0">
      <pane ySplit="1" topLeftCell="A177" activePane="bottomLeft" state="frozen"/>
      <selection pane="bottomLeft" activeCell="O189" sqref="O189"/>
    </sheetView>
  </sheetViews>
  <sheetFormatPr baseColWidth="10" defaultColWidth="14.44140625" defaultRowHeight="15" customHeight="1" x14ac:dyDescent="0.3"/>
  <cols>
    <col min="1" max="1" width="10.109375" style="56" customWidth="1"/>
    <col min="2" max="2" width="7.6640625" style="56" customWidth="1"/>
    <col min="3" max="3" width="9.109375" style="56" customWidth="1"/>
    <col min="4" max="4" width="6.33203125" style="56" customWidth="1"/>
    <col min="5" max="5" width="9.5546875" style="56" customWidth="1"/>
    <col min="6" max="6" width="8.5546875" style="56" customWidth="1"/>
    <col min="7" max="7" width="8.33203125" style="56" customWidth="1"/>
    <col min="8" max="8" width="18" style="56" customWidth="1"/>
    <col min="9" max="9" width="18.88671875" style="56" customWidth="1"/>
    <col min="10" max="10" width="11.88671875" style="56" customWidth="1"/>
    <col min="11" max="11" width="10.88671875" style="56" customWidth="1"/>
    <col min="12" max="12" width="14.33203125" style="56" customWidth="1"/>
    <col min="13" max="13" width="8.33203125" style="56" customWidth="1"/>
    <col min="14" max="14" width="10.109375" style="56" customWidth="1"/>
    <col min="15" max="15" width="5.88671875" style="56" customWidth="1"/>
    <col min="16" max="16" width="8.6640625" style="56" customWidth="1"/>
    <col min="17" max="17" width="11.44140625" style="56" customWidth="1"/>
    <col min="18" max="18" width="14.109375" style="56" customWidth="1"/>
    <col min="19" max="20" width="5.44140625" style="56" customWidth="1"/>
    <col min="21" max="21" width="5" style="56" customWidth="1"/>
    <col min="22" max="22" width="5.5546875" style="56" customWidth="1"/>
    <col min="23" max="23" width="5.77734375" style="56" customWidth="1"/>
    <col min="24" max="24" width="12.109375" style="56" customWidth="1"/>
    <col min="25" max="27" width="10.6640625" style="56" customWidth="1"/>
    <col min="28" max="28" width="10.6640625" style="61" customWidth="1"/>
    <col min="29" max="29" width="13.33203125" style="56" customWidth="1"/>
    <col min="30" max="31" width="10.6640625" style="56" customWidth="1"/>
    <col min="32" max="32" width="16.44140625" style="165" customWidth="1"/>
    <col min="33" max="33" width="10.6640625" style="165" customWidth="1"/>
    <col min="34" max="16384" width="14.44140625" style="56"/>
  </cols>
  <sheetData>
    <row r="1" spans="1:33" ht="71.400000000000006" customHeight="1" x14ac:dyDescent="0.3">
      <c r="A1" s="89" t="s">
        <v>0</v>
      </c>
      <c r="B1" s="73" t="s">
        <v>1</v>
      </c>
      <c r="C1" s="73" t="s">
        <v>2</v>
      </c>
      <c r="D1" s="90" t="s">
        <v>3</v>
      </c>
      <c r="E1" s="73" t="s">
        <v>4</v>
      </c>
      <c r="F1" s="73" t="s">
        <v>5</v>
      </c>
      <c r="G1" s="73" t="s">
        <v>6</v>
      </c>
      <c r="H1" s="89" t="s">
        <v>7</v>
      </c>
      <c r="I1" s="73" t="s">
        <v>8</v>
      </c>
      <c r="J1" s="73" t="s">
        <v>9</v>
      </c>
      <c r="K1" s="73" t="s">
        <v>10</v>
      </c>
      <c r="L1" s="91" t="s">
        <v>11</v>
      </c>
      <c r="M1" s="92" t="s">
        <v>12</v>
      </c>
      <c r="N1" s="89" t="s">
        <v>13</v>
      </c>
      <c r="O1" s="93" t="s">
        <v>14</v>
      </c>
      <c r="P1" s="73" t="s">
        <v>15</v>
      </c>
      <c r="Q1" s="94" t="s">
        <v>16</v>
      </c>
      <c r="R1" s="73" t="s">
        <v>17</v>
      </c>
      <c r="S1" s="79" t="s">
        <v>654</v>
      </c>
      <c r="T1" s="78" t="s">
        <v>655</v>
      </c>
      <c r="U1" s="95" t="s">
        <v>18</v>
      </c>
      <c r="V1" s="96" t="s">
        <v>19</v>
      </c>
      <c r="W1" s="96" t="s">
        <v>679</v>
      </c>
      <c r="X1" s="97" t="s">
        <v>678</v>
      </c>
      <c r="Y1" s="77" t="s">
        <v>677</v>
      </c>
      <c r="Z1" s="77" t="s">
        <v>675</v>
      </c>
      <c r="AA1" s="98" t="s">
        <v>676</v>
      </c>
      <c r="AB1" s="99" t="s">
        <v>593</v>
      </c>
      <c r="AC1" s="77" t="s">
        <v>20</v>
      </c>
      <c r="AD1" s="78" t="s">
        <v>674</v>
      </c>
      <c r="AE1" s="180" t="s">
        <v>673</v>
      </c>
      <c r="AF1" s="77" t="s">
        <v>21</v>
      </c>
      <c r="AG1" s="77" t="s">
        <v>22</v>
      </c>
    </row>
    <row r="2" spans="1:33" ht="14.25" customHeight="1" x14ac:dyDescent="0.3">
      <c r="A2" s="100" t="s">
        <v>23</v>
      </c>
      <c r="B2" s="101" t="s">
        <v>24</v>
      </c>
      <c r="C2" s="47">
        <v>2146</v>
      </c>
      <c r="D2" s="100">
        <v>8865</v>
      </c>
      <c r="E2" s="47">
        <v>1</v>
      </c>
      <c r="F2" s="100"/>
      <c r="G2" s="100"/>
      <c r="H2" s="100" t="s">
        <v>77</v>
      </c>
      <c r="I2" s="100" t="s">
        <v>78</v>
      </c>
      <c r="J2" s="100" t="s">
        <v>79</v>
      </c>
      <c r="K2" s="47">
        <v>0</v>
      </c>
      <c r="L2" s="102">
        <v>39169</v>
      </c>
      <c r="M2" s="100">
        <v>21.326762374313976</v>
      </c>
      <c r="N2" s="100"/>
      <c r="O2" s="100"/>
      <c r="P2" s="100"/>
      <c r="Q2" s="100" t="s">
        <v>80</v>
      </c>
      <c r="R2" s="103" t="s">
        <v>81</v>
      </c>
      <c r="S2" s="100">
        <v>1</v>
      </c>
      <c r="T2" s="100">
        <v>1</v>
      </c>
      <c r="U2" s="100">
        <v>1</v>
      </c>
      <c r="V2" s="100"/>
      <c r="W2" s="100"/>
      <c r="X2" s="104">
        <v>45719</v>
      </c>
      <c r="Y2" s="100">
        <v>24.2</v>
      </c>
      <c r="Z2" s="100">
        <v>16</v>
      </c>
      <c r="AA2" s="100"/>
      <c r="AB2" s="47" t="s">
        <v>45</v>
      </c>
      <c r="AC2" s="100"/>
      <c r="AD2" s="100"/>
      <c r="AE2" s="100">
        <v>3</v>
      </c>
      <c r="AF2" s="71" t="s">
        <v>82</v>
      </c>
      <c r="AG2" s="71"/>
    </row>
    <row r="3" spans="1:33" ht="14.25" customHeight="1" x14ac:dyDescent="0.3">
      <c r="A3" s="100" t="s">
        <v>23</v>
      </c>
      <c r="B3" s="101" t="s">
        <v>24</v>
      </c>
      <c r="C3" s="47">
        <v>2144</v>
      </c>
      <c r="D3" s="100">
        <v>8866</v>
      </c>
      <c r="E3" s="47">
        <v>1</v>
      </c>
      <c r="F3" s="100"/>
      <c r="G3" s="100"/>
      <c r="H3" s="100" t="s">
        <v>29</v>
      </c>
      <c r="I3" s="100" t="s">
        <v>68</v>
      </c>
      <c r="J3" s="100" t="s">
        <v>69</v>
      </c>
      <c r="K3" s="47">
        <v>0</v>
      </c>
      <c r="L3" s="102">
        <v>39169</v>
      </c>
      <c r="M3" s="100">
        <v>33.74084793548181</v>
      </c>
      <c r="N3" s="100"/>
      <c r="O3" s="100"/>
      <c r="P3" s="100"/>
      <c r="Q3" s="100" t="s">
        <v>70</v>
      </c>
      <c r="R3" s="103" t="s">
        <v>71</v>
      </c>
      <c r="S3" s="105"/>
      <c r="T3" s="100">
        <v>1</v>
      </c>
      <c r="U3" s="100">
        <v>1</v>
      </c>
      <c r="V3" s="100"/>
      <c r="W3" s="100"/>
      <c r="X3" s="104">
        <v>45691</v>
      </c>
      <c r="Y3" s="100">
        <v>33.700000000000003</v>
      </c>
      <c r="Z3" s="100">
        <v>26.8</v>
      </c>
      <c r="AA3" s="100"/>
      <c r="AB3" s="47" t="s">
        <v>45</v>
      </c>
      <c r="AC3" s="100"/>
      <c r="AD3" s="100"/>
      <c r="AE3" s="100"/>
      <c r="AF3" s="71" t="s">
        <v>605</v>
      </c>
      <c r="AG3" s="71"/>
    </row>
    <row r="4" spans="1:33" ht="15" customHeight="1" x14ac:dyDescent="0.3">
      <c r="A4" s="100" t="s">
        <v>23</v>
      </c>
      <c r="B4" s="101" t="s">
        <v>24</v>
      </c>
      <c r="C4" s="47">
        <v>2142</v>
      </c>
      <c r="D4" s="100">
        <v>8867</v>
      </c>
      <c r="E4" s="47">
        <v>1</v>
      </c>
      <c r="F4" s="100"/>
      <c r="G4" s="100"/>
      <c r="H4" s="100" t="s">
        <v>62</v>
      </c>
      <c r="I4" s="100" t="s">
        <v>63</v>
      </c>
      <c r="J4" s="100" t="s">
        <v>64</v>
      </c>
      <c r="K4" s="47">
        <v>0</v>
      </c>
      <c r="L4" s="102">
        <v>39169</v>
      </c>
      <c r="M4" s="100">
        <v>13.687325105903</v>
      </c>
      <c r="N4" s="100"/>
      <c r="O4" s="100"/>
      <c r="P4" s="100"/>
      <c r="Q4" s="100" t="s">
        <v>65</v>
      </c>
      <c r="R4" s="103" t="s">
        <v>66</v>
      </c>
      <c r="S4" s="100">
        <v>1</v>
      </c>
      <c r="T4" s="100">
        <v>1</v>
      </c>
      <c r="U4" s="100">
        <v>1</v>
      </c>
      <c r="V4" s="100"/>
      <c r="W4" s="100"/>
      <c r="X4" s="104">
        <v>45691</v>
      </c>
      <c r="Y4" s="100">
        <v>14.4</v>
      </c>
      <c r="Z4" s="100">
        <v>17</v>
      </c>
      <c r="AA4" s="100"/>
      <c r="AB4" s="47" t="s">
        <v>45</v>
      </c>
      <c r="AC4" s="100"/>
      <c r="AD4" s="100"/>
      <c r="AE4" s="100"/>
      <c r="AF4" s="71" t="s">
        <v>67</v>
      </c>
      <c r="AG4" s="71"/>
    </row>
    <row r="5" spans="1:33" ht="14.25" customHeight="1" x14ac:dyDescent="0.3">
      <c r="A5" s="100" t="s">
        <v>23</v>
      </c>
      <c r="B5" s="101" t="s">
        <v>24</v>
      </c>
      <c r="C5" s="47">
        <v>2143</v>
      </c>
      <c r="D5" s="100">
        <v>8868</v>
      </c>
      <c r="E5" s="47">
        <v>1</v>
      </c>
      <c r="F5" s="100"/>
      <c r="G5" s="100"/>
      <c r="H5" s="100" t="s">
        <v>25</v>
      </c>
      <c r="I5" s="100" t="s">
        <v>55</v>
      </c>
      <c r="J5" s="100" t="s">
        <v>56</v>
      </c>
      <c r="K5" s="47">
        <v>0</v>
      </c>
      <c r="L5" s="102">
        <v>39169</v>
      </c>
      <c r="M5" s="100">
        <v>54.749300423611999</v>
      </c>
      <c r="N5" s="100"/>
      <c r="O5" s="100"/>
      <c r="P5" s="100"/>
      <c r="Q5" s="100" t="s">
        <v>28</v>
      </c>
      <c r="R5" s="103"/>
      <c r="S5" s="100"/>
      <c r="T5" s="100"/>
      <c r="U5" s="100">
        <v>1</v>
      </c>
      <c r="V5" s="100"/>
      <c r="W5" s="100"/>
      <c r="X5" s="104">
        <v>45691</v>
      </c>
      <c r="Y5" s="100">
        <v>56.7</v>
      </c>
      <c r="Z5" s="100">
        <v>27</v>
      </c>
      <c r="AA5" s="100"/>
      <c r="AB5" s="47" t="s">
        <v>45</v>
      </c>
      <c r="AC5" s="100"/>
      <c r="AD5" s="100"/>
      <c r="AE5" s="100"/>
      <c r="AF5" s="71" t="s">
        <v>61</v>
      </c>
      <c r="AG5" s="71"/>
    </row>
    <row r="6" spans="1:33" ht="14.25" customHeight="1" x14ac:dyDescent="0.3">
      <c r="A6" s="100" t="s">
        <v>23</v>
      </c>
      <c r="B6" s="101" t="s">
        <v>24</v>
      </c>
      <c r="C6" s="47">
        <v>2141</v>
      </c>
      <c r="D6" s="100">
        <v>8869</v>
      </c>
      <c r="E6" s="47">
        <v>1</v>
      </c>
      <c r="F6" s="100"/>
      <c r="G6" s="100"/>
      <c r="H6" s="100" t="s">
        <v>29</v>
      </c>
      <c r="I6" s="100" t="s">
        <v>57</v>
      </c>
      <c r="J6" s="100" t="s">
        <v>58</v>
      </c>
      <c r="K6" s="47">
        <v>0</v>
      </c>
      <c r="L6" s="102">
        <v>39169</v>
      </c>
      <c r="M6" s="100">
        <v>46.791553269017228</v>
      </c>
      <c r="N6" s="100"/>
      <c r="O6" s="100"/>
      <c r="P6" s="100"/>
      <c r="Q6" s="100" t="s">
        <v>59</v>
      </c>
      <c r="R6" s="103" t="s">
        <v>60</v>
      </c>
      <c r="S6" s="100">
        <v>1</v>
      </c>
      <c r="T6" s="100">
        <v>1</v>
      </c>
      <c r="U6" s="100">
        <v>1</v>
      </c>
      <c r="V6" s="100"/>
      <c r="W6" s="100"/>
      <c r="X6" s="104">
        <v>45691</v>
      </c>
      <c r="Y6" s="100">
        <v>55.2</v>
      </c>
      <c r="Z6" s="100">
        <v>23</v>
      </c>
      <c r="AA6" s="100"/>
      <c r="AB6" s="47" t="s">
        <v>45</v>
      </c>
      <c r="AC6" s="100"/>
      <c r="AD6" s="100"/>
      <c r="AE6" s="100">
        <v>3</v>
      </c>
      <c r="AF6" s="71" t="s">
        <v>61</v>
      </c>
      <c r="AG6" s="71"/>
    </row>
    <row r="7" spans="1:33" ht="14.25" customHeight="1" x14ac:dyDescent="0.3">
      <c r="A7" s="100" t="s">
        <v>23</v>
      </c>
      <c r="B7" s="101" t="s">
        <v>24</v>
      </c>
      <c r="C7" s="47">
        <v>2139</v>
      </c>
      <c r="D7" s="100">
        <v>8870</v>
      </c>
      <c r="E7" s="47">
        <v>1</v>
      </c>
      <c r="F7" s="100"/>
      <c r="G7" s="100"/>
      <c r="H7" s="100" t="s">
        <v>51</v>
      </c>
      <c r="I7" s="100" t="s">
        <v>52</v>
      </c>
      <c r="J7" s="100"/>
      <c r="K7" s="47">
        <v>0</v>
      </c>
      <c r="L7" s="102">
        <v>39169</v>
      </c>
      <c r="M7" s="100">
        <v>10.822536130248883</v>
      </c>
      <c r="N7" s="100"/>
      <c r="O7" s="100"/>
      <c r="P7" s="100"/>
      <c r="Q7" s="100" t="s">
        <v>53</v>
      </c>
      <c r="R7" s="103" t="s">
        <v>54</v>
      </c>
      <c r="S7" s="100">
        <v>1</v>
      </c>
      <c r="T7" s="100">
        <v>1</v>
      </c>
      <c r="U7" s="100">
        <v>1</v>
      </c>
      <c r="V7" s="100"/>
      <c r="W7" s="100"/>
      <c r="X7" s="104">
        <v>45691</v>
      </c>
      <c r="Y7" s="100">
        <v>13.8</v>
      </c>
      <c r="Z7" s="100">
        <v>19.8</v>
      </c>
      <c r="AA7" s="100"/>
      <c r="AB7" s="47" t="s">
        <v>45</v>
      </c>
      <c r="AC7" s="100"/>
      <c r="AD7" s="100"/>
      <c r="AE7" s="100"/>
      <c r="AF7" s="71" t="s">
        <v>610</v>
      </c>
      <c r="AG7" s="71"/>
    </row>
    <row r="8" spans="1:33" ht="14.25" customHeight="1" x14ac:dyDescent="0.3">
      <c r="A8" s="100" t="s">
        <v>23</v>
      </c>
      <c r="B8" s="101" t="s">
        <v>24</v>
      </c>
      <c r="C8" s="47">
        <v>2140</v>
      </c>
      <c r="D8" s="100">
        <v>8871</v>
      </c>
      <c r="E8" s="47">
        <v>1</v>
      </c>
      <c r="F8" s="100"/>
      <c r="G8" s="100"/>
      <c r="H8" s="100" t="s">
        <v>25</v>
      </c>
      <c r="I8" s="100" t="s">
        <v>55</v>
      </c>
      <c r="J8" s="100" t="s">
        <v>56</v>
      </c>
      <c r="K8" s="47">
        <v>0</v>
      </c>
      <c r="L8" s="102">
        <v>39169</v>
      </c>
      <c r="M8" s="100">
        <v>15.438029479913848</v>
      </c>
      <c r="N8" s="100"/>
      <c r="O8" s="100"/>
      <c r="P8" s="100"/>
      <c r="Q8" s="100" t="s">
        <v>28</v>
      </c>
      <c r="R8" s="103"/>
      <c r="S8" s="105"/>
      <c r="T8" s="105"/>
      <c r="U8" s="100">
        <v>1</v>
      </c>
      <c r="V8" s="100"/>
      <c r="W8" s="100"/>
      <c r="X8" s="104">
        <v>45691</v>
      </c>
      <c r="Y8" s="100">
        <v>16.5</v>
      </c>
      <c r="Z8" s="100">
        <v>18.7</v>
      </c>
      <c r="AA8" s="100"/>
      <c r="AB8" s="47" t="s">
        <v>45</v>
      </c>
      <c r="AC8" s="100"/>
      <c r="AD8" s="100"/>
      <c r="AE8" s="100"/>
      <c r="AF8" s="71" t="s">
        <v>608</v>
      </c>
      <c r="AG8" s="71"/>
    </row>
    <row r="9" spans="1:33" ht="14.25" customHeight="1" x14ac:dyDescent="0.3">
      <c r="A9" s="100" t="s">
        <v>23</v>
      </c>
      <c r="B9" s="100" t="s">
        <v>24</v>
      </c>
      <c r="C9" s="100"/>
      <c r="D9" s="100">
        <v>8872</v>
      </c>
      <c r="E9" s="100"/>
      <c r="F9" s="100"/>
      <c r="G9" s="100"/>
      <c r="H9" s="100" t="s">
        <v>46</v>
      </c>
      <c r="I9" s="100" t="s">
        <v>131</v>
      </c>
      <c r="J9" s="100" t="s">
        <v>132</v>
      </c>
      <c r="K9" s="100"/>
      <c r="L9" s="100"/>
      <c r="M9" s="100"/>
      <c r="N9" s="100"/>
      <c r="O9" s="100"/>
      <c r="P9" s="100"/>
      <c r="Q9" s="100"/>
      <c r="R9" s="100"/>
      <c r="S9" s="105"/>
      <c r="T9" s="105"/>
      <c r="U9" s="100">
        <v>1</v>
      </c>
      <c r="V9" s="100"/>
      <c r="W9" s="100"/>
      <c r="X9" s="104">
        <v>45691</v>
      </c>
      <c r="Y9" s="100">
        <v>10.4</v>
      </c>
      <c r="Z9" s="100">
        <v>8</v>
      </c>
      <c r="AA9" s="100">
        <v>1</v>
      </c>
      <c r="AB9" s="47" t="s">
        <v>45</v>
      </c>
      <c r="AC9" s="100"/>
      <c r="AD9" s="100"/>
      <c r="AE9" s="100"/>
      <c r="AF9" s="71" t="s">
        <v>133</v>
      </c>
      <c r="AG9" s="71" t="s">
        <v>134</v>
      </c>
    </row>
    <row r="10" spans="1:33" ht="14.25" customHeight="1" x14ac:dyDescent="0.3">
      <c r="A10" s="100" t="s">
        <v>23</v>
      </c>
      <c r="B10" s="101" t="s">
        <v>24</v>
      </c>
      <c r="C10" s="47">
        <v>2134</v>
      </c>
      <c r="D10" s="100">
        <v>8873</v>
      </c>
      <c r="E10" s="47">
        <v>1</v>
      </c>
      <c r="F10" s="100"/>
      <c r="G10" s="100"/>
      <c r="H10" s="100" t="s">
        <v>35</v>
      </c>
      <c r="I10" s="100" t="s">
        <v>36</v>
      </c>
      <c r="J10" s="100" t="s">
        <v>37</v>
      </c>
      <c r="K10" s="47">
        <v>0</v>
      </c>
      <c r="L10" s="102">
        <v>39169</v>
      </c>
      <c r="M10" s="100">
        <v>27.852115041081685</v>
      </c>
      <c r="N10" s="100"/>
      <c r="O10" s="100"/>
      <c r="P10" s="100"/>
      <c r="Q10" s="100" t="s">
        <v>28</v>
      </c>
      <c r="R10" s="103"/>
      <c r="S10" s="100"/>
      <c r="T10" s="100"/>
      <c r="U10" s="100">
        <v>1</v>
      </c>
      <c r="V10" s="100"/>
      <c r="W10" s="100"/>
      <c r="X10" s="104">
        <v>45691</v>
      </c>
      <c r="Y10" s="100">
        <v>27.9</v>
      </c>
      <c r="Z10" s="100">
        <v>20.8</v>
      </c>
      <c r="AA10" s="100"/>
      <c r="AB10" s="47" t="s">
        <v>34</v>
      </c>
      <c r="AC10" s="100"/>
      <c r="AD10" s="100"/>
      <c r="AE10" s="100"/>
      <c r="AF10" s="71" t="s">
        <v>606</v>
      </c>
      <c r="AG10" s="71"/>
    </row>
    <row r="11" spans="1:33" ht="14.25" customHeight="1" x14ac:dyDescent="0.3">
      <c r="A11" s="100" t="s">
        <v>23</v>
      </c>
      <c r="B11" s="100" t="s">
        <v>24</v>
      </c>
      <c r="C11" s="100"/>
      <c r="D11" s="100">
        <v>8874</v>
      </c>
      <c r="E11" s="100"/>
      <c r="F11" s="100"/>
      <c r="G11" s="100"/>
      <c r="H11" s="100" t="s">
        <v>35</v>
      </c>
      <c r="I11" s="100" t="s">
        <v>36</v>
      </c>
      <c r="J11" s="100" t="s">
        <v>37</v>
      </c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>
        <v>1</v>
      </c>
      <c r="V11" s="100"/>
      <c r="W11" s="100"/>
      <c r="X11" s="104">
        <v>45691</v>
      </c>
      <c r="Y11" s="100">
        <v>10.3</v>
      </c>
      <c r="Z11" s="100">
        <v>15</v>
      </c>
      <c r="AA11" s="100">
        <v>1</v>
      </c>
      <c r="AB11" s="47" t="s">
        <v>34</v>
      </c>
      <c r="AC11" s="100"/>
      <c r="AD11" s="100"/>
      <c r="AE11" s="100"/>
      <c r="AF11" s="71" t="s">
        <v>133</v>
      </c>
      <c r="AG11" s="71"/>
    </row>
    <row r="12" spans="1:33" ht="14.25" customHeight="1" x14ac:dyDescent="0.3">
      <c r="A12" s="100" t="s">
        <v>23</v>
      </c>
      <c r="B12" s="101" t="s">
        <v>24</v>
      </c>
      <c r="C12" s="47">
        <v>2137</v>
      </c>
      <c r="D12" s="100">
        <v>8875</v>
      </c>
      <c r="E12" s="47">
        <v>1</v>
      </c>
      <c r="F12" s="100"/>
      <c r="G12" s="100"/>
      <c r="H12" s="100" t="s">
        <v>25</v>
      </c>
      <c r="I12" s="100" t="s">
        <v>26</v>
      </c>
      <c r="J12" s="100" t="s">
        <v>44</v>
      </c>
      <c r="K12" s="47">
        <v>0</v>
      </c>
      <c r="L12" s="102">
        <v>39169</v>
      </c>
      <c r="M12" s="100">
        <v>20.053522829578814</v>
      </c>
      <c r="N12" s="100"/>
      <c r="O12" s="100"/>
      <c r="P12" s="100"/>
      <c r="Q12" s="100" t="s">
        <v>28</v>
      </c>
      <c r="R12" s="103"/>
      <c r="S12" s="100"/>
      <c r="T12" s="100"/>
      <c r="U12" s="100">
        <v>1</v>
      </c>
      <c r="V12" s="100"/>
      <c r="W12" s="100"/>
      <c r="X12" s="104">
        <v>45691</v>
      </c>
      <c r="Y12" s="100">
        <v>26.7</v>
      </c>
      <c r="Z12" s="100">
        <v>28</v>
      </c>
      <c r="AA12" s="100"/>
      <c r="AB12" s="47" t="s">
        <v>45</v>
      </c>
      <c r="AC12" s="100"/>
      <c r="AD12" s="100"/>
      <c r="AE12" s="100"/>
      <c r="AF12" s="71"/>
      <c r="AG12" s="71"/>
    </row>
    <row r="13" spans="1:33" ht="14.25" customHeight="1" x14ac:dyDescent="0.3">
      <c r="A13" s="100" t="s">
        <v>23</v>
      </c>
      <c r="B13" s="101" t="s">
        <v>24</v>
      </c>
      <c r="C13" s="47">
        <v>2133</v>
      </c>
      <c r="D13" s="100">
        <v>8876</v>
      </c>
      <c r="E13" s="47">
        <v>1</v>
      </c>
      <c r="F13" s="100"/>
      <c r="G13" s="100"/>
      <c r="H13" s="100" t="s">
        <v>29</v>
      </c>
      <c r="I13" s="100" t="s">
        <v>30</v>
      </c>
      <c r="J13" s="100" t="s">
        <v>31</v>
      </c>
      <c r="K13" s="47">
        <v>0</v>
      </c>
      <c r="L13" s="102">
        <v>39169</v>
      </c>
      <c r="M13" s="100">
        <v>23.8732414637843</v>
      </c>
      <c r="N13" s="100"/>
      <c r="O13" s="100"/>
      <c r="P13" s="100"/>
      <c r="Q13" s="100" t="s">
        <v>32</v>
      </c>
      <c r="R13" s="103" t="s">
        <v>33</v>
      </c>
      <c r="S13" s="100">
        <v>1</v>
      </c>
      <c r="T13" s="100">
        <v>1</v>
      </c>
      <c r="U13" s="100">
        <v>1</v>
      </c>
      <c r="V13" s="100"/>
      <c r="W13" s="100"/>
      <c r="X13" s="104">
        <v>45691</v>
      </c>
      <c r="Y13" s="100">
        <v>24.2</v>
      </c>
      <c r="Z13" s="100">
        <v>25</v>
      </c>
      <c r="AA13" s="100"/>
      <c r="AB13" s="47" t="s">
        <v>34</v>
      </c>
      <c r="AC13" s="100"/>
      <c r="AD13" s="100"/>
      <c r="AE13" s="100"/>
      <c r="AF13" s="71" t="s">
        <v>607</v>
      </c>
      <c r="AG13" s="71"/>
    </row>
    <row r="14" spans="1:33" ht="53.4" x14ac:dyDescent="0.3">
      <c r="A14" s="100" t="s">
        <v>23</v>
      </c>
      <c r="B14" s="101" t="s">
        <v>24</v>
      </c>
      <c r="C14" s="47">
        <v>2135</v>
      </c>
      <c r="D14" s="100">
        <v>8877</v>
      </c>
      <c r="E14" s="47">
        <v>1</v>
      </c>
      <c r="F14" s="100"/>
      <c r="G14" s="100"/>
      <c r="H14" s="100" t="s">
        <v>237</v>
      </c>
      <c r="I14" s="100" t="s">
        <v>38</v>
      </c>
      <c r="J14" s="100" t="s">
        <v>652</v>
      </c>
      <c r="K14" s="47">
        <v>0</v>
      </c>
      <c r="L14" s="102">
        <v>39169</v>
      </c>
      <c r="M14" s="100">
        <v>28.01126998417358</v>
      </c>
      <c r="N14" s="100"/>
      <c r="O14" s="100"/>
      <c r="P14" s="100"/>
      <c r="Q14" s="100" t="s">
        <v>28</v>
      </c>
      <c r="R14" s="103"/>
      <c r="S14" s="100"/>
      <c r="T14" s="100"/>
      <c r="U14" s="100">
        <v>1</v>
      </c>
      <c r="V14" s="100"/>
      <c r="W14" s="100"/>
      <c r="X14" s="104">
        <v>45691</v>
      </c>
      <c r="Y14" s="100">
        <v>27.4</v>
      </c>
      <c r="Z14" s="100">
        <v>17.5</v>
      </c>
      <c r="AA14" s="100"/>
      <c r="AB14" s="47" t="s">
        <v>34</v>
      </c>
      <c r="AC14" s="100"/>
      <c r="AD14" s="100"/>
      <c r="AE14" s="100"/>
      <c r="AF14" s="71" t="s">
        <v>612</v>
      </c>
      <c r="AG14" s="71" t="s">
        <v>651</v>
      </c>
    </row>
    <row r="15" spans="1:33" ht="14.25" customHeight="1" x14ac:dyDescent="0.3">
      <c r="A15" s="100" t="s">
        <v>23</v>
      </c>
      <c r="B15" s="101" t="s">
        <v>24</v>
      </c>
      <c r="C15" s="47">
        <v>2136</v>
      </c>
      <c r="D15" s="100">
        <v>8878</v>
      </c>
      <c r="E15" s="47">
        <v>1</v>
      </c>
      <c r="F15" s="100"/>
      <c r="G15" s="100"/>
      <c r="H15" s="100" t="s">
        <v>39</v>
      </c>
      <c r="I15" s="100" t="s">
        <v>40</v>
      </c>
      <c r="J15" s="100" t="s">
        <v>41</v>
      </c>
      <c r="K15" s="47">
        <v>0</v>
      </c>
      <c r="L15" s="102">
        <v>39169</v>
      </c>
      <c r="M15" s="100">
        <v>11.618310845708359</v>
      </c>
      <c r="N15" s="100"/>
      <c r="O15" s="100"/>
      <c r="P15" s="100"/>
      <c r="Q15" s="100" t="s">
        <v>42</v>
      </c>
      <c r="R15" s="103" t="s">
        <v>43</v>
      </c>
      <c r="S15" s="100">
        <v>1</v>
      </c>
      <c r="T15" s="100">
        <v>1</v>
      </c>
      <c r="U15" s="100">
        <v>1</v>
      </c>
      <c r="V15" s="100"/>
      <c r="W15" s="100"/>
      <c r="X15" s="104">
        <v>45691</v>
      </c>
      <c r="Y15" s="100">
        <v>14.7</v>
      </c>
      <c r="Z15" s="100">
        <v>13</v>
      </c>
      <c r="AA15" s="100"/>
      <c r="AB15" s="47" t="s">
        <v>34</v>
      </c>
      <c r="AC15" s="100"/>
      <c r="AD15" s="100"/>
      <c r="AE15" s="100"/>
      <c r="AF15" s="71" t="s">
        <v>611</v>
      </c>
      <c r="AG15" s="71"/>
    </row>
    <row r="16" spans="1:33" ht="79.8" x14ac:dyDescent="0.3">
      <c r="A16" s="100" t="s">
        <v>23</v>
      </c>
      <c r="B16" s="101" t="s">
        <v>24</v>
      </c>
      <c r="C16" s="47">
        <v>2160</v>
      </c>
      <c r="D16" s="100">
        <v>8879</v>
      </c>
      <c r="E16" s="47">
        <v>1</v>
      </c>
      <c r="F16" s="100"/>
      <c r="G16" s="100"/>
      <c r="H16" s="100" t="s">
        <v>121</v>
      </c>
      <c r="I16" s="100" t="s">
        <v>122</v>
      </c>
      <c r="J16" s="100" t="s">
        <v>650</v>
      </c>
      <c r="K16" s="47">
        <v>0</v>
      </c>
      <c r="L16" s="102">
        <v>39169</v>
      </c>
      <c r="M16" s="100">
        <v>26.738030439438418</v>
      </c>
      <c r="N16" s="100"/>
      <c r="O16" s="100"/>
      <c r="P16" s="100"/>
      <c r="Q16" s="100" t="s">
        <v>28</v>
      </c>
      <c r="R16" s="103"/>
      <c r="S16" s="100"/>
      <c r="T16" s="100"/>
      <c r="U16" s="100">
        <v>1</v>
      </c>
      <c r="V16" s="100"/>
      <c r="W16" s="100"/>
      <c r="X16" s="104">
        <v>45691</v>
      </c>
      <c r="Y16" s="100">
        <v>28.3</v>
      </c>
      <c r="Z16" s="100">
        <v>19.7</v>
      </c>
      <c r="AA16" s="100"/>
      <c r="AB16" s="47" t="s">
        <v>111</v>
      </c>
      <c r="AC16" s="100"/>
      <c r="AD16" s="100"/>
      <c r="AE16" s="100"/>
      <c r="AF16" s="71" t="s">
        <v>609</v>
      </c>
      <c r="AG16" s="71" t="s">
        <v>649</v>
      </c>
    </row>
    <row r="17" spans="1:33" s="59" customFormat="1" ht="14.25" customHeight="1" x14ac:dyDescent="0.3">
      <c r="A17" s="76" t="s">
        <v>23</v>
      </c>
      <c r="B17" s="76" t="s">
        <v>24</v>
      </c>
      <c r="C17" s="76"/>
      <c r="D17" s="106">
        <v>8880</v>
      </c>
      <c r="E17" s="76"/>
      <c r="F17" s="76"/>
      <c r="G17" s="76"/>
      <c r="H17" s="76" t="s">
        <v>39</v>
      </c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81"/>
      <c r="U17" s="81">
        <v>1</v>
      </c>
      <c r="V17" s="76"/>
      <c r="W17" s="76"/>
      <c r="X17" s="82">
        <v>45691</v>
      </c>
      <c r="Y17" s="76">
        <v>10</v>
      </c>
      <c r="Z17" s="76">
        <v>10.3</v>
      </c>
      <c r="AA17" s="76">
        <v>1</v>
      </c>
      <c r="AB17" s="49" t="s">
        <v>111</v>
      </c>
      <c r="AC17" s="76"/>
      <c r="AD17" s="76"/>
      <c r="AE17" s="76">
        <v>3</v>
      </c>
      <c r="AF17" s="75" t="s">
        <v>133</v>
      </c>
      <c r="AG17" s="75"/>
    </row>
    <row r="18" spans="1:33" ht="14.25" customHeight="1" x14ac:dyDescent="0.3">
      <c r="A18" s="100" t="s">
        <v>23</v>
      </c>
      <c r="B18" s="101" t="s">
        <v>24</v>
      </c>
      <c r="C18" s="47">
        <v>2159</v>
      </c>
      <c r="D18" s="100"/>
      <c r="E18" s="47">
        <v>1</v>
      </c>
      <c r="F18" s="100"/>
      <c r="G18" s="100"/>
      <c r="H18" s="100" t="s">
        <v>121</v>
      </c>
      <c r="I18" s="100" t="s">
        <v>122</v>
      </c>
      <c r="J18" s="100" t="s">
        <v>123</v>
      </c>
      <c r="K18" s="47">
        <v>0</v>
      </c>
      <c r="L18" s="102">
        <v>39169</v>
      </c>
      <c r="M18" s="100">
        <v>10.504226244065093</v>
      </c>
      <c r="N18" s="100"/>
      <c r="O18" s="100"/>
      <c r="P18" s="100"/>
      <c r="Q18" s="100" t="s">
        <v>124</v>
      </c>
      <c r="R18" s="103"/>
      <c r="S18" s="100"/>
      <c r="T18" s="100"/>
      <c r="U18" s="100"/>
      <c r="V18" s="100"/>
      <c r="W18" s="100">
        <v>1</v>
      </c>
      <c r="X18" s="104">
        <v>45691</v>
      </c>
      <c r="Y18" s="100"/>
      <c r="Z18" s="100"/>
      <c r="AA18" s="100"/>
      <c r="AB18" s="47" t="s">
        <v>111</v>
      </c>
      <c r="AC18" s="100"/>
      <c r="AD18" s="100"/>
      <c r="AE18" s="100"/>
      <c r="AF18" s="71" t="s">
        <v>125</v>
      </c>
      <c r="AG18" s="71"/>
    </row>
    <row r="19" spans="1:33" ht="14.25" customHeight="1" x14ac:dyDescent="0.3">
      <c r="A19" s="100" t="s">
        <v>23</v>
      </c>
      <c r="B19" s="101" t="s">
        <v>24</v>
      </c>
      <c r="C19" s="47">
        <v>2157</v>
      </c>
      <c r="D19" s="100">
        <v>8881</v>
      </c>
      <c r="E19" s="47">
        <v>1</v>
      </c>
      <c r="F19" s="100"/>
      <c r="G19" s="100"/>
      <c r="H19" s="100" t="s">
        <v>51</v>
      </c>
      <c r="I19" s="100" t="s">
        <v>52</v>
      </c>
      <c r="J19" s="100"/>
      <c r="K19" s="47">
        <v>0</v>
      </c>
      <c r="L19" s="102">
        <v>39169</v>
      </c>
      <c r="M19" s="100">
        <v>10.663381187156988</v>
      </c>
      <c r="N19" s="100"/>
      <c r="O19" s="100"/>
      <c r="P19" s="100"/>
      <c r="Q19" s="100" t="s">
        <v>118</v>
      </c>
      <c r="R19" s="103" t="s">
        <v>119</v>
      </c>
      <c r="S19" s="100"/>
      <c r="T19" s="100"/>
      <c r="U19" s="100">
        <v>1</v>
      </c>
      <c r="V19" s="100"/>
      <c r="W19" s="100"/>
      <c r="X19" s="104">
        <v>45691</v>
      </c>
      <c r="Y19" s="100">
        <v>12.4</v>
      </c>
      <c r="Z19" s="100">
        <v>18.7</v>
      </c>
      <c r="AA19" s="100"/>
      <c r="AB19" s="47" t="s">
        <v>111</v>
      </c>
      <c r="AC19" s="100"/>
      <c r="AD19" s="100"/>
      <c r="AE19" s="100"/>
      <c r="AF19" s="71"/>
      <c r="AG19" s="71" t="s">
        <v>52</v>
      </c>
    </row>
    <row r="20" spans="1:33" ht="14.25" customHeight="1" x14ac:dyDescent="0.3">
      <c r="A20" s="100" t="s">
        <v>23</v>
      </c>
      <c r="B20" s="101" t="s">
        <v>24</v>
      </c>
      <c r="C20" s="47">
        <v>2158</v>
      </c>
      <c r="D20" s="100">
        <v>8882</v>
      </c>
      <c r="E20" s="47">
        <v>1</v>
      </c>
      <c r="F20" s="100"/>
      <c r="G20" s="100"/>
      <c r="H20" s="100" t="s">
        <v>237</v>
      </c>
      <c r="I20" s="100" t="s">
        <v>38</v>
      </c>
      <c r="J20" s="100" t="s">
        <v>652</v>
      </c>
      <c r="K20" s="47">
        <v>0</v>
      </c>
      <c r="L20" s="102">
        <v>39169</v>
      </c>
      <c r="M20" s="100">
        <v>19.098593171027442</v>
      </c>
      <c r="N20" s="100"/>
      <c r="O20" s="100"/>
      <c r="P20" s="100"/>
      <c r="Q20" s="100" t="s">
        <v>28</v>
      </c>
      <c r="R20" s="103"/>
      <c r="S20" s="100"/>
      <c r="T20" s="100"/>
      <c r="U20" s="100">
        <v>1</v>
      </c>
      <c r="V20" s="100"/>
      <c r="W20" s="100"/>
      <c r="X20" s="104">
        <v>45691</v>
      </c>
      <c r="Y20" s="100">
        <v>20.100000000000001</v>
      </c>
      <c r="Z20" s="100">
        <v>14.4</v>
      </c>
      <c r="AA20" s="100"/>
      <c r="AB20" s="47" t="s">
        <v>111</v>
      </c>
      <c r="AC20" s="100"/>
      <c r="AD20" s="100"/>
      <c r="AE20" s="100"/>
      <c r="AF20" s="71" t="s">
        <v>120</v>
      </c>
      <c r="AG20" s="71"/>
    </row>
    <row r="21" spans="1:33" ht="14.25" customHeight="1" x14ac:dyDescent="0.3">
      <c r="A21" s="100" t="s">
        <v>23</v>
      </c>
      <c r="B21" s="101" t="s">
        <v>24</v>
      </c>
      <c r="C21" s="47">
        <v>2155</v>
      </c>
      <c r="D21" s="100">
        <v>8883</v>
      </c>
      <c r="E21" s="47">
        <v>1</v>
      </c>
      <c r="F21" s="100"/>
      <c r="G21" s="100"/>
      <c r="H21" s="100" t="s">
        <v>112</v>
      </c>
      <c r="I21" s="100" t="s">
        <v>113</v>
      </c>
      <c r="J21" s="100" t="s">
        <v>114</v>
      </c>
      <c r="K21" s="47">
        <v>0</v>
      </c>
      <c r="L21" s="102">
        <v>39169</v>
      </c>
      <c r="M21" s="100">
        <v>26.101410667070837</v>
      </c>
      <c r="N21" s="100"/>
      <c r="O21" s="100"/>
      <c r="P21" s="100"/>
      <c r="Q21" s="100" t="s">
        <v>115</v>
      </c>
      <c r="R21" s="103" t="s">
        <v>116</v>
      </c>
      <c r="S21" s="100">
        <v>1</v>
      </c>
      <c r="T21" s="100">
        <v>1</v>
      </c>
      <c r="U21" s="100">
        <v>1</v>
      </c>
      <c r="V21" s="100"/>
      <c r="W21" s="100"/>
      <c r="X21" s="104">
        <v>45691</v>
      </c>
      <c r="Y21" s="100">
        <v>28.9</v>
      </c>
      <c r="Z21" s="100">
        <v>16.600000000000001</v>
      </c>
      <c r="AA21" s="100"/>
      <c r="AB21" s="47" t="s">
        <v>111</v>
      </c>
      <c r="AC21" s="100"/>
      <c r="AD21" s="100"/>
      <c r="AE21" s="100"/>
      <c r="AF21" s="71"/>
      <c r="AG21" s="71"/>
    </row>
    <row r="22" spans="1:33" ht="14.25" customHeight="1" x14ac:dyDescent="0.3">
      <c r="A22" s="100" t="s">
        <v>23</v>
      </c>
      <c r="B22" s="100" t="s">
        <v>24</v>
      </c>
      <c r="C22" s="100"/>
      <c r="D22" s="100">
        <v>8884</v>
      </c>
      <c r="E22" s="100"/>
      <c r="F22" s="100"/>
      <c r="G22" s="100"/>
      <c r="H22" s="100" t="s">
        <v>46</v>
      </c>
      <c r="I22" s="100" t="s">
        <v>131</v>
      </c>
      <c r="J22" s="100" t="s">
        <v>132</v>
      </c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>
        <v>1</v>
      </c>
      <c r="V22" s="100"/>
      <c r="W22" s="100"/>
      <c r="X22" s="104">
        <v>45691</v>
      </c>
      <c r="Y22" s="100">
        <v>10</v>
      </c>
      <c r="Z22" s="100">
        <v>7</v>
      </c>
      <c r="AA22" s="100">
        <v>1</v>
      </c>
      <c r="AB22" s="47" t="s">
        <v>111</v>
      </c>
      <c r="AC22" s="100"/>
      <c r="AD22" s="100"/>
      <c r="AE22" s="100"/>
      <c r="AF22" s="71" t="s">
        <v>133</v>
      </c>
      <c r="AG22" s="71"/>
    </row>
    <row r="23" spans="1:33" ht="13.2" customHeight="1" x14ac:dyDescent="0.3">
      <c r="A23" s="100" t="s">
        <v>23</v>
      </c>
      <c r="B23" s="101" t="s">
        <v>24</v>
      </c>
      <c r="C23" s="47">
        <v>2154</v>
      </c>
      <c r="D23" s="100">
        <v>8885</v>
      </c>
      <c r="E23" s="47">
        <v>1</v>
      </c>
      <c r="F23" s="100"/>
      <c r="G23" s="100"/>
      <c r="H23" s="100" t="s">
        <v>106</v>
      </c>
      <c r="I23" s="100" t="s">
        <v>107</v>
      </c>
      <c r="J23" s="100" t="s">
        <v>108</v>
      </c>
      <c r="K23" s="47">
        <v>0</v>
      </c>
      <c r="L23" s="102">
        <v>39169</v>
      </c>
      <c r="M23" s="100">
        <v>11.300000959524569</v>
      </c>
      <c r="N23" s="100"/>
      <c r="O23" s="100"/>
      <c r="P23" s="100"/>
      <c r="Q23" s="100" t="s">
        <v>109</v>
      </c>
      <c r="R23" s="103" t="s">
        <v>110</v>
      </c>
      <c r="S23" s="100">
        <v>1</v>
      </c>
      <c r="T23" s="100">
        <v>1</v>
      </c>
      <c r="U23" s="100">
        <v>1</v>
      </c>
      <c r="V23" s="100"/>
      <c r="W23" s="100"/>
      <c r="X23" s="104">
        <v>45691</v>
      </c>
      <c r="Y23" s="100">
        <v>12.1</v>
      </c>
      <c r="Z23" s="100">
        <v>10</v>
      </c>
      <c r="AA23" s="100"/>
      <c r="AB23" s="47" t="s">
        <v>111</v>
      </c>
      <c r="AC23" s="100"/>
      <c r="AD23" s="100"/>
      <c r="AE23" s="100"/>
      <c r="AF23" s="71" t="s">
        <v>613</v>
      </c>
      <c r="AG23" s="71"/>
    </row>
    <row r="24" spans="1:33" s="59" customFormat="1" ht="14.25" customHeight="1" x14ac:dyDescent="0.3">
      <c r="A24" s="76" t="s">
        <v>23</v>
      </c>
      <c r="B24" s="76" t="s">
        <v>24</v>
      </c>
      <c r="C24" s="76"/>
      <c r="D24" s="76">
        <v>8886</v>
      </c>
      <c r="E24" s="76"/>
      <c r="F24" s="76"/>
      <c r="G24" s="76"/>
      <c r="H24" s="76" t="s">
        <v>618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81"/>
      <c r="U24" s="81">
        <v>1</v>
      </c>
      <c r="V24" s="76"/>
      <c r="W24" s="76"/>
      <c r="X24" s="82">
        <v>45691</v>
      </c>
      <c r="Y24" s="76">
        <v>22.5</v>
      </c>
      <c r="Z24" s="76">
        <v>9.1999999999999993</v>
      </c>
      <c r="AA24" s="76"/>
      <c r="AB24" s="49" t="s">
        <v>83</v>
      </c>
      <c r="AC24" s="76"/>
      <c r="AD24" s="76"/>
      <c r="AE24" s="76"/>
      <c r="AF24" s="75" t="s">
        <v>694</v>
      </c>
      <c r="AG24" s="75" t="s">
        <v>136</v>
      </c>
    </row>
    <row r="25" spans="1:33" ht="14.25" customHeight="1" x14ac:dyDescent="0.3">
      <c r="A25" s="107" t="s">
        <v>23</v>
      </c>
      <c r="B25" s="108" t="s">
        <v>24</v>
      </c>
      <c r="C25" s="63">
        <v>2149</v>
      </c>
      <c r="D25" s="107">
        <v>8887</v>
      </c>
      <c r="E25" s="63">
        <v>1</v>
      </c>
      <c r="F25" s="107"/>
      <c r="G25" s="107"/>
      <c r="H25" s="107" t="s">
        <v>90</v>
      </c>
      <c r="I25" s="107" t="s">
        <v>91</v>
      </c>
      <c r="J25" s="107" t="s">
        <v>92</v>
      </c>
      <c r="K25" s="63">
        <v>0</v>
      </c>
      <c r="L25" s="109">
        <v>39169</v>
      </c>
      <c r="M25" s="107">
        <v>55.70423008216337</v>
      </c>
      <c r="N25" s="107"/>
      <c r="O25" s="107"/>
      <c r="P25" s="107"/>
      <c r="Q25" s="107" t="s">
        <v>93</v>
      </c>
      <c r="R25" s="110" t="s">
        <v>94</v>
      </c>
      <c r="S25" s="107"/>
      <c r="T25" s="111"/>
      <c r="U25" s="100">
        <v>1</v>
      </c>
      <c r="V25" s="107"/>
      <c r="W25" s="107"/>
      <c r="X25" s="112">
        <v>45691</v>
      </c>
      <c r="Y25" s="107">
        <v>35.6</v>
      </c>
      <c r="Z25" s="107">
        <v>27</v>
      </c>
      <c r="AA25" s="107"/>
      <c r="AB25" s="63" t="s">
        <v>83</v>
      </c>
      <c r="AC25" s="107"/>
      <c r="AD25" s="107"/>
      <c r="AE25" s="107"/>
      <c r="AF25" s="160" t="s">
        <v>614</v>
      </c>
      <c r="AG25" s="160"/>
    </row>
    <row r="26" spans="1:33" ht="14.25" customHeight="1" x14ac:dyDescent="0.3">
      <c r="A26" s="100" t="s">
        <v>23</v>
      </c>
      <c r="B26" s="101" t="s">
        <v>24</v>
      </c>
      <c r="C26" s="47">
        <v>2148</v>
      </c>
      <c r="D26" s="100">
        <v>8888</v>
      </c>
      <c r="E26" s="47">
        <v>1</v>
      </c>
      <c r="F26" s="100"/>
      <c r="G26" s="100"/>
      <c r="H26" s="100" t="s">
        <v>84</v>
      </c>
      <c r="I26" s="100" t="s">
        <v>85</v>
      </c>
      <c r="J26" s="100" t="s">
        <v>86</v>
      </c>
      <c r="K26" s="47">
        <v>0</v>
      </c>
      <c r="L26" s="102">
        <v>39169</v>
      </c>
      <c r="M26" s="100">
        <v>10.185916357881302</v>
      </c>
      <c r="N26" s="100"/>
      <c r="O26" s="100"/>
      <c r="P26" s="100"/>
      <c r="Q26" s="100" t="s">
        <v>87</v>
      </c>
      <c r="R26" s="103" t="s">
        <v>88</v>
      </c>
      <c r="S26" s="100">
        <v>1</v>
      </c>
      <c r="T26" s="100">
        <v>1</v>
      </c>
      <c r="U26" s="100">
        <v>1</v>
      </c>
      <c r="V26" s="100"/>
      <c r="W26" s="100"/>
      <c r="X26" s="104">
        <v>45691</v>
      </c>
      <c r="Y26" s="100">
        <v>12.55</v>
      </c>
      <c r="Z26" s="100">
        <v>11.3</v>
      </c>
      <c r="AA26" s="100"/>
      <c r="AB26" s="47" t="s">
        <v>83</v>
      </c>
      <c r="AC26" s="100"/>
      <c r="AD26" s="100"/>
      <c r="AE26" s="100"/>
      <c r="AF26" s="71" t="s">
        <v>89</v>
      </c>
      <c r="AG26" s="71"/>
    </row>
    <row r="27" spans="1:33" ht="14.25" customHeight="1" x14ac:dyDescent="0.3">
      <c r="A27" s="100" t="s">
        <v>23</v>
      </c>
      <c r="B27" s="101" t="s">
        <v>24</v>
      </c>
      <c r="C27" s="47">
        <v>2147</v>
      </c>
      <c r="D27" s="100">
        <v>8889</v>
      </c>
      <c r="E27" s="47">
        <v>1</v>
      </c>
      <c r="F27" s="100"/>
      <c r="G27" s="100"/>
      <c r="H27" s="100" t="s">
        <v>35</v>
      </c>
      <c r="I27" s="100" t="s">
        <v>36</v>
      </c>
      <c r="J27" s="100" t="s">
        <v>37</v>
      </c>
      <c r="K27" s="47">
        <v>0</v>
      </c>
      <c r="L27" s="102">
        <v>39169</v>
      </c>
      <c r="M27" s="100">
        <v>24.98732606542757</v>
      </c>
      <c r="N27" s="100"/>
      <c r="O27" s="100"/>
      <c r="P27" s="100"/>
      <c r="Q27" s="100" t="s">
        <v>28</v>
      </c>
      <c r="R27" s="103"/>
      <c r="S27" s="100">
        <v>1</v>
      </c>
      <c r="T27" s="100">
        <v>1</v>
      </c>
      <c r="U27" s="100">
        <v>1</v>
      </c>
      <c r="V27" s="100"/>
      <c r="W27" s="100"/>
      <c r="X27" s="104">
        <v>45719</v>
      </c>
      <c r="Y27" s="100">
        <v>24.9</v>
      </c>
      <c r="Z27" s="100">
        <v>18</v>
      </c>
      <c r="AA27" s="100"/>
      <c r="AB27" s="47" t="s">
        <v>83</v>
      </c>
      <c r="AC27" s="100"/>
      <c r="AD27" s="100"/>
      <c r="AE27" s="100"/>
      <c r="AF27" s="71" t="s">
        <v>615</v>
      </c>
      <c r="AG27" s="71"/>
    </row>
    <row r="28" spans="1:33" ht="14.25" customHeight="1" x14ac:dyDescent="0.3">
      <c r="A28" s="100" t="s">
        <v>23</v>
      </c>
      <c r="B28" s="101" t="s">
        <v>24</v>
      </c>
      <c r="C28" s="47">
        <v>2132</v>
      </c>
      <c r="D28" s="100"/>
      <c r="E28" s="47">
        <v>1</v>
      </c>
      <c r="F28" s="100"/>
      <c r="G28" s="100"/>
      <c r="H28" s="100" t="s">
        <v>25</v>
      </c>
      <c r="I28" s="100" t="s">
        <v>26</v>
      </c>
      <c r="J28" s="100" t="s">
        <v>27</v>
      </c>
      <c r="K28" s="47">
        <v>0</v>
      </c>
      <c r="L28" s="102">
        <v>39169</v>
      </c>
      <c r="M28" s="100">
        <v>49.656342244671343</v>
      </c>
      <c r="N28" s="100"/>
      <c r="O28" s="100"/>
      <c r="P28" s="100"/>
      <c r="Q28" s="100" t="s">
        <v>28</v>
      </c>
      <c r="R28" s="103"/>
      <c r="S28" s="100"/>
      <c r="T28" s="100"/>
      <c r="U28" s="100"/>
      <c r="V28" s="100"/>
      <c r="W28" s="100"/>
      <c r="X28" s="100"/>
      <c r="Y28" s="100"/>
      <c r="Z28" s="100"/>
      <c r="AA28" s="100"/>
      <c r="AB28" s="47"/>
      <c r="AC28" s="100"/>
      <c r="AD28" s="100"/>
      <c r="AE28" s="100"/>
      <c r="AF28" s="71"/>
      <c r="AG28" s="71"/>
    </row>
    <row r="29" spans="1:33" ht="14.25" customHeight="1" x14ac:dyDescent="0.3">
      <c r="A29" s="100" t="s">
        <v>23</v>
      </c>
      <c r="B29" s="101" t="s">
        <v>24</v>
      </c>
      <c r="C29" s="47">
        <v>2138</v>
      </c>
      <c r="D29" s="100"/>
      <c r="E29" s="47">
        <v>1</v>
      </c>
      <c r="F29" s="100"/>
      <c r="G29" s="100"/>
      <c r="H29" s="100" t="s">
        <v>46</v>
      </c>
      <c r="I29" s="100" t="s">
        <v>47</v>
      </c>
      <c r="J29" s="100" t="s">
        <v>48</v>
      </c>
      <c r="K29" s="47">
        <v>0</v>
      </c>
      <c r="L29" s="102">
        <v>39169</v>
      </c>
      <c r="M29" s="100">
        <v>17.188733853924695</v>
      </c>
      <c r="N29" s="100"/>
      <c r="O29" s="100"/>
      <c r="P29" s="100"/>
      <c r="Q29" s="100" t="s">
        <v>49</v>
      </c>
      <c r="R29" s="103" t="s">
        <v>50</v>
      </c>
      <c r="S29" s="100"/>
      <c r="T29" s="100"/>
      <c r="U29" s="100"/>
      <c r="V29" s="100"/>
      <c r="W29" s="100"/>
      <c r="X29" s="100"/>
      <c r="Y29" s="100"/>
      <c r="Z29" s="100"/>
      <c r="AA29" s="100"/>
      <c r="AB29" s="47"/>
      <c r="AC29" s="100"/>
      <c r="AD29" s="100"/>
      <c r="AE29" s="100"/>
      <c r="AF29" s="71"/>
      <c r="AG29" s="71"/>
    </row>
    <row r="30" spans="1:33" ht="14.25" customHeight="1" x14ac:dyDescent="0.3">
      <c r="A30" s="100" t="s">
        <v>23</v>
      </c>
      <c r="B30" s="101" t="s">
        <v>24</v>
      </c>
      <c r="C30" s="47">
        <v>2145</v>
      </c>
      <c r="D30" s="100"/>
      <c r="E30" s="47">
        <v>1</v>
      </c>
      <c r="F30" s="100"/>
      <c r="G30" s="100"/>
      <c r="H30" s="100" t="s">
        <v>72</v>
      </c>
      <c r="I30" s="100" t="s">
        <v>73</v>
      </c>
      <c r="J30" s="100" t="s">
        <v>74</v>
      </c>
      <c r="K30" s="47">
        <v>0</v>
      </c>
      <c r="L30" s="102">
        <v>39169</v>
      </c>
      <c r="M30" s="100">
        <v>11.777465788800255</v>
      </c>
      <c r="N30" s="100"/>
      <c r="O30" s="100"/>
      <c r="P30" s="100"/>
      <c r="Q30" s="100" t="s">
        <v>75</v>
      </c>
      <c r="R30" s="103" t="s">
        <v>76</v>
      </c>
      <c r="S30" s="100"/>
      <c r="T30" s="100"/>
      <c r="U30" s="100"/>
      <c r="V30" s="100"/>
      <c r="W30" s="100"/>
      <c r="X30" s="100"/>
      <c r="Y30" s="100"/>
      <c r="Z30" s="100"/>
      <c r="AA30" s="100"/>
      <c r="AB30" s="47"/>
      <c r="AC30" s="100"/>
      <c r="AD30" s="100"/>
      <c r="AE30" s="100"/>
      <c r="AF30" s="71"/>
      <c r="AG30" s="71"/>
    </row>
    <row r="31" spans="1:33" ht="14.25" customHeight="1" x14ac:dyDescent="0.3">
      <c r="A31" s="100" t="s">
        <v>23</v>
      </c>
      <c r="B31" s="101" t="s">
        <v>24</v>
      </c>
      <c r="C31" s="47">
        <v>2150</v>
      </c>
      <c r="D31" s="100"/>
      <c r="E31" s="47">
        <v>1</v>
      </c>
      <c r="F31" s="100"/>
      <c r="G31" s="100"/>
      <c r="H31" s="100" t="s">
        <v>95</v>
      </c>
      <c r="I31" s="100" t="s">
        <v>96</v>
      </c>
      <c r="J31" s="100" t="s">
        <v>97</v>
      </c>
      <c r="K31" s="47">
        <v>0</v>
      </c>
      <c r="L31" s="102">
        <v>39169</v>
      </c>
      <c r="M31" s="100">
        <v>21.008452488130185</v>
      </c>
      <c r="N31" s="100"/>
      <c r="O31" s="100"/>
      <c r="P31" s="100"/>
      <c r="Q31" s="100" t="s">
        <v>98</v>
      </c>
      <c r="R31" s="103" t="s">
        <v>99</v>
      </c>
      <c r="S31" s="100"/>
      <c r="T31" s="100"/>
      <c r="U31" s="100"/>
      <c r="V31" s="100"/>
      <c r="W31" s="100"/>
      <c r="X31" s="100"/>
      <c r="Y31" s="100"/>
      <c r="Z31" s="100"/>
      <c r="AA31" s="100"/>
      <c r="AB31" s="47"/>
      <c r="AC31" s="100"/>
      <c r="AD31" s="100"/>
      <c r="AE31" s="100"/>
      <c r="AF31" s="71"/>
      <c r="AG31" s="71"/>
    </row>
    <row r="32" spans="1:33" ht="14.25" customHeight="1" x14ac:dyDescent="0.3">
      <c r="A32" s="100" t="s">
        <v>23</v>
      </c>
      <c r="B32" s="101" t="s">
        <v>24</v>
      </c>
      <c r="C32" s="47">
        <v>2151</v>
      </c>
      <c r="D32" s="100"/>
      <c r="E32" s="47">
        <v>1</v>
      </c>
      <c r="F32" s="100"/>
      <c r="G32" s="100"/>
      <c r="H32" s="100" t="s">
        <v>35</v>
      </c>
      <c r="I32" s="100" t="s">
        <v>36</v>
      </c>
      <c r="J32" s="100" t="s">
        <v>37</v>
      </c>
      <c r="K32" s="47">
        <v>0</v>
      </c>
      <c r="L32" s="102">
        <v>39169</v>
      </c>
      <c r="M32" s="100">
        <v>14.323944878270581</v>
      </c>
      <c r="N32" s="100"/>
      <c r="O32" s="100"/>
      <c r="P32" s="100"/>
      <c r="Q32" s="100" t="s">
        <v>28</v>
      </c>
      <c r="R32" s="103"/>
      <c r="S32" s="100"/>
      <c r="T32" s="100"/>
      <c r="U32" s="100"/>
      <c r="V32" s="100"/>
      <c r="W32" s="100"/>
      <c r="X32" s="100"/>
      <c r="Y32" s="100"/>
      <c r="Z32" s="100"/>
      <c r="AA32" s="100"/>
      <c r="AB32" s="47"/>
      <c r="AC32" s="100"/>
      <c r="AD32" s="100"/>
      <c r="AE32" s="100"/>
      <c r="AF32" s="71"/>
      <c r="AG32" s="71"/>
    </row>
    <row r="33" spans="1:33" ht="14.25" customHeight="1" x14ac:dyDescent="0.3">
      <c r="A33" s="100" t="s">
        <v>23</v>
      </c>
      <c r="B33" s="101" t="s">
        <v>24</v>
      </c>
      <c r="C33" s="47">
        <v>2152</v>
      </c>
      <c r="D33" s="100"/>
      <c r="E33" s="47">
        <v>1</v>
      </c>
      <c r="F33" s="100"/>
      <c r="G33" s="100"/>
      <c r="H33" s="100" t="s">
        <v>100</v>
      </c>
      <c r="I33" s="100" t="s">
        <v>101</v>
      </c>
      <c r="J33" s="100" t="s">
        <v>102</v>
      </c>
      <c r="K33" s="47">
        <v>0</v>
      </c>
      <c r="L33" s="102">
        <v>39169</v>
      </c>
      <c r="M33" s="100">
        <v>38.674651171330567</v>
      </c>
      <c r="N33" s="100"/>
      <c r="O33" s="100"/>
      <c r="P33" s="100"/>
      <c r="Q33" s="100" t="s">
        <v>103</v>
      </c>
      <c r="R33" s="103"/>
      <c r="S33" s="100"/>
      <c r="T33" s="100"/>
      <c r="U33" s="100"/>
      <c r="V33" s="100"/>
      <c r="W33" s="100"/>
      <c r="X33" s="100"/>
      <c r="Y33" s="100"/>
      <c r="Z33" s="100"/>
      <c r="AA33" s="100"/>
      <c r="AB33" s="47"/>
      <c r="AC33" s="100"/>
      <c r="AD33" s="100"/>
      <c r="AE33" s="100"/>
      <c r="AF33" s="71"/>
      <c r="AG33" s="71"/>
    </row>
    <row r="34" spans="1:33" ht="14.25" customHeight="1" x14ac:dyDescent="0.3">
      <c r="A34" s="100" t="s">
        <v>23</v>
      </c>
      <c r="B34" s="101" t="s">
        <v>24</v>
      </c>
      <c r="C34" s="47">
        <v>2153</v>
      </c>
      <c r="D34" s="100"/>
      <c r="E34" s="47">
        <v>1</v>
      </c>
      <c r="F34" s="100"/>
      <c r="G34" s="100"/>
      <c r="H34" s="100" t="s">
        <v>39</v>
      </c>
      <c r="I34" s="100" t="s">
        <v>104</v>
      </c>
      <c r="J34" s="100" t="s">
        <v>105</v>
      </c>
      <c r="K34" s="47">
        <v>0</v>
      </c>
      <c r="L34" s="102">
        <v>39169</v>
      </c>
      <c r="M34" s="100">
        <v>10.345071300973197</v>
      </c>
      <c r="N34" s="100"/>
      <c r="O34" s="100"/>
      <c r="P34" s="100"/>
      <c r="Q34" s="100" t="s">
        <v>28</v>
      </c>
      <c r="R34" s="103"/>
      <c r="S34" s="100"/>
      <c r="T34" s="100"/>
      <c r="U34" s="100"/>
      <c r="V34" s="100"/>
      <c r="W34" s="100"/>
      <c r="X34" s="100"/>
      <c r="Y34" s="100"/>
      <c r="Z34" s="100"/>
      <c r="AA34" s="100"/>
      <c r="AB34" s="47"/>
      <c r="AC34" s="100"/>
      <c r="AD34" s="100"/>
      <c r="AE34" s="100"/>
      <c r="AF34" s="71"/>
      <c r="AG34" s="71"/>
    </row>
    <row r="35" spans="1:33" ht="14.25" customHeight="1" x14ac:dyDescent="0.3">
      <c r="A35" s="100" t="s">
        <v>23</v>
      </c>
      <c r="B35" s="101" t="s">
        <v>24</v>
      </c>
      <c r="C35" s="47">
        <v>2156</v>
      </c>
      <c r="D35" s="100"/>
      <c r="E35" s="47">
        <v>1</v>
      </c>
      <c r="F35" s="100"/>
      <c r="G35" s="100"/>
      <c r="H35" s="100"/>
      <c r="I35" s="100"/>
      <c r="J35" s="113"/>
      <c r="K35" s="47">
        <v>0</v>
      </c>
      <c r="L35" s="102">
        <v>39169</v>
      </c>
      <c r="M35" s="113">
        <v>10.504226244065093</v>
      </c>
      <c r="N35" s="100"/>
      <c r="O35" s="100"/>
      <c r="P35" s="100"/>
      <c r="Q35" s="100" t="s">
        <v>117</v>
      </c>
      <c r="R35" s="103"/>
      <c r="S35" s="100"/>
      <c r="T35" s="100"/>
      <c r="U35" s="100"/>
      <c r="V35" s="100"/>
      <c r="W35" s="100"/>
      <c r="X35" s="100"/>
      <c r="Y35" s="100"/>
      <c r="Z35" s="100"/>
      <c r="AA35" s="100"/>
      <c r="AB35" s="47"/>
      <c r="AC35" s="100"/>
      <c r="AD35" s="100"/>
      <c r="AE35" s="100"/>
      <c r="AF35" s="71"/>
      <c r="AG35" s="71"/>
    </row>
    <row r="36" spans="1:33" ht="14.25" customHeight="1" x14ac:dyDescent="0.3">
      <c r="A36" s="100" t="s">
        <v>23</v>
      </c>
      <c r="B36" s="101" t="s">
        <v>24</v>
      </c>
      <c r="C36" s="47">
        <v>2161</v>
      </c>
      <c r="D36" s="100"/>
      <c r="E36" s="47">
        <v>1</v>
      </c>
      <c r="F36" s="100"/>
      <c r="G36" s="100"/>
      <c r="H36" s="100" t="s">
        <v>128</v>
      </c>
      <c r="I36" s="100" t="s">
        <v>129</v>
      </c>
      <c r="J36" s="100" t="s">
        <v>130</v>
      </c>
      <c r="K36" s="47">
        <v>0</v>
      </c>
      <c r="L36" s="102">
        <v>39169</v>
      </c>
      <c r="M36" s="100">
        <v>25.783100780887047</v>
      </c>
      <c r="N36" s="100"/>
      <c r="O36" s="100"/>
      <c r="P36" s="100"/>
      <c r="Q36" s="100" t="s">
        <v>28</v>
      </c>
      <c r="R36" s="103"/>
      <c r="S36" s="100"/>
      <c r="T36" s="100"/>
      <c r="U36" s="100"/>
      <c r="V36" s="100"/>
      <c r="W36" s="100"/>
      <c r="X36" s="100"/>
      <c r="Y36" s="100"/>
      <c r="Z36" s="100"/>
      <c r="AA36" s="100"/>
      <c r="AB36" s="47"/>
      <c r="AC36" s="100"/>
      <c r="AD36" s="100"/>
      <c r="AE36" s="100"/>
      <c r="AF36" s="71"/>
      <c r="AG36" s="71"/>
    </row>
    <row r="37" spans="1:33" ht="14.25" customHeight="1" x14ac:dyDescent="0.3">
      <c r="A37" s="100" t="s">
        <v>23</v>
      </c>
      <c r="B37" s="101" t="s">
        <v>137</v>
      </c>
      <c r="C37" s="47">
        <v>2164</v>
      </c>
      <c r="D37" s="100">
        <v>3601</v>
      </c>
      <c r="E37" s="47">
        <v>1</v>
      </c>
      <c r="F37" s="100"/>
      <c r="G37" s="100"/>
      <c r="H37" s="100" t="s">
        <v>35</v>
      </c>
      <c r="I37" s="100" t="s">
        <v>36</v>
      </c>
      <c r="J37" s="100" t="s">
        <v>37</v>
      </c>
      <c r="K37" s="47">
        <v>0</v>
      </c>
      <c r="L37" s="102">
        <v>39169</v>
      </c>
      <c r="M37" s="100">
        <v>13.687325105903</v>
      </c>
      <c r="N37" s="100"/>
      <c r="O37" s="100"/>
      <c r="P37" s="100"/>
      <c r="Q37" s="100" t="s">
        <v>28</v>
      </c>
      <c r="R37" s="103"/>
      <c r="S37" s="100"/>
      <c r="T37" s="100"/>
      <c r="U37" s="100">
        <v>1</v>
      </c>
      <c r="V37" s="100"/>
      <c r="W37" s="100"/>
      <c r="X37" s="104">
        <v>45692</v>
      </c>
      <c r="Y37" s="100">
        <v>14.3</v>
      </c>
      <c r="Z37" s="100">
        <v>13</v>
      </c>
      <c r="AA37" s="100"/>
      <c r="AB37" s="47" t="s">
        <v>111</v>
      </c>
      <c r="AC37" s="100"/>
      <c r="AD37" s="100"/>
      <c r="AE37" s="100"/>
      <c r="AF37" s="71"/>
      <c r="AG37" s="71"/>
    </row>
    <row r="38" spans="1:33" ht="14.25" customHeight="1" x14ac:dyDescent="0.3">
      <c r="A38" s="100" t="s">
        <v>23</v>
      </c>
      <c r="B38" s="101" t="s">
        <v>137</v>
      </c>
      <c r="C38" s="47">
        <v>2166</v>
      </c>
      <c r="D38" s="100">
        <v>3602</v>
      </c>
      <c r="E38" s="47">
        <v>1</v>
      </c>
      <c r="F38" s="100"/>
      <c r="G38" s="100"/>
      <c r="H38" s="100" t="s">
        <v>35</v>
      </c>
      <c r="I38" s="100" t="s">
        <v>144</v>
      </c>
      <c r="J38" s="100" t="s">
        <v>145</v>
      </c>
      <c r="K38" s="47">
        <v>0</v>
      </c>
      <c r="L38" s="102">
        <v>39169</v>
      </c>
      <c r="M38" s="100">
        <v>31.512678732195276</v>
      </c>
      <c r="N38" s="100"/>
      <c r="O38" s="100"/>
      <c r="P38" s="100"/>
      <c r="Q38" s="100" t="s">
        <v>28</v>
      </c>
      <c r="R38" s="103"/>
      <c r="S38" s="100"/>
      <c r="T38" s="100"/>
      <c r="U38" s="100">
        <v>1</v>
      </c>
      <c r="V38" s="100"/>
      <c r="W38" s="100"/>
      <c r="X38" s="104">
        <v>45692</v>
      </c>
      <c r="Y38" s="100">
        <v>38.799999999999997</v>
      </c>
      <c r="Z38" s="100">
        <v>25.2</v>
      </c>
      <c r="AA38" s="100"/>
      <c r="AB38" s="47" t="s">
        <v>111</v>
      </c>
      <c r="AC38" s="100"/>
      <c r="AD38" s="100"/>
      <c r="AE38" s="100"/>
      <c r="AF38" s="71"/>
      <c r="AG38" s="71"/>
    </row>
    <row r="39" spans="1:33" ht="14.25" customHeight="1" x14ac:dyDescent="0.3">
      <c r="A39" s="100" t="s">
        <v>23</v>
      </c>
      <c r="B39" s="101" t="s">
        <v>137</v>
      </c>
      <c r="C39" s="47">
        <v>2168</v>
      </c>
      <c r="D39" s="100">
        <v>3603</v>
      </c>
      <c r="E39" s="47">
        <v>1</v>
      </c>
      <c r="F39" s="100"/>
      <c r="G39" s="100"/>
      <c r="H39" s="100" t="s">
        <v>25</v>
      </c>
      <c r="I39" s="100" t="s">
        <v>26</v>
      </c>
      <c r="J39" s="100" t="s">
        <v>44</v>
      </c>
      <c r="K39" s="47">
        <v>0</v>
      </c>
      <c r="L39" s="102">
        <v>39169</v>
      </c>
      <c r="M39" s="100">
        <v>17.188733853924695</v>
      </c>
      <c r="N39" s="100"/>
      <c r="O39" s="100"/>
      <c r="P39" s="100"/>
      <c r="Q39" s="100" t="s">
        <v>28</v>
      </c>
      <c r="R39" s="103"/>
      <c r="S39" s="100"/>
      <c r="T39" s="100"/>
      <c r="U39" s="100">
        <v>1</v>
      </c>
      <c r="V39" s="100"/>
      <c r="W39" s="100"/>
      <c r="X39" s="104">
        <v>45692</v>
      </c>
      <c r="Y39" s="100">
        <v>25.2</v>
      </c>
      <c r="Z39" s="100">
        <v>19.2</v>
      </c>
      <c r="AA39" s="100"/>
      <c r="AB39" s="47" t="s">
        <v>111</v>
      </c>
      <c r="AC39" s="100"/>
      <c r="AD39" s="100"/>
      <c r="AE39" s="100"/>
      <c r="AF39" s="71"/>
      <c r="AG39" s="71"/>
    </row>
    <row r="40" spans="1:33" ht="14.25" customHeight="1" x14ac:dyDescent="0.3">
      <c r="A40" s="100" t="s">
        <v>23</v>
      </c>
      <c r="B40" s="100" t="s">
        <v>137</v>
      </c>
      <c r="C40" s="100"/>
      <c r="D40" s="114">
        <v>3604</v>
      </c>
      <c r="E40" s="100"/>
      <c r="F40" s="100"/>
      <c r="G40" s="100"/>
      <c r="H40" s="100" t="s">
        <v>138</v>
      </c>
      <c r="I40" s="100" t="s">
        <v>139</v>
      </c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>
        <v>1</v>
      </c>
      <c r="V40" s="100"/>
      <c r="W40" s="100"/>
      <c r="X40" s="104">
        <v>45692</v>
      </c>
      <c r="Y40" s="100">
        <v>12</v>
      </c>
      <c r="Z40" s="100">
        <v>16</v>
      </c>
      <c r="AA40" s="100"/>
      <c r="AB40" s="47" t="s">
        <v>111</v>
      </c>
      <c r="AC40" s="100"/>
      <c r="AD40" s="100"/>
      <c r="AE40" s="100">
        <v>2</v>
      </c>
      <c r="AF40" s="71"/>
      <c r="AG40" s="71"/>
    </row>
    <row r="41" spans="1:33" ht="14.25" customHeight="1" x14ac:dyDescent="0.3">
      <c r="A41" s="100" t="s">
        <v>23</v>
      </c>
      <c r="B41" s="101" t="s">
        <v>137</v>
      </c>
      <c r="C41" s="47">
        <v>2171</v>
      </c>
      <c r="D41" s="100">
        <v>3605</v>
      </c>
      <c r="E41" s="47">
        <v>1</v>
      </c>
      <c r="F41" s="100"/>
      <c r="G41" s="100"/>
      <c r="H41" s="100" t="s">
        <v>149</v>
      </c>
      <c r="I41" s="100" t="s">
        <v>150</v>
      </c>
      <c r="J41" s="100" t="s">
        <v>151</v>
      </c>
      <c r="K41" s="47">
        <v>0</v>
      </c>
      <c r="L41" s="102">
        <v>39169</v>
      </c>
      <c r="M41" s="100">
        <v>39.788735772973837</v>
      </c>
      <c r="N41" s="100"/>
      <c r="O41" s="100"/>
      <c r="P41" s="100"/>
      <c r="Q41" s="100" t="s">
        <v>152</v>
      </c>
      <c r="R41" s="103" t="s">
        <v>153</v>
      </c>
      <c r="S41" s="100">
        <v>1</v>
      </c>
      <c r="T41" s="100">
        <v>1</v>
      </c>
      <c r="U41" s="100">
        <v>1</v>
      </c>
      <c r="V41" s="100"/>
      <c r="W41" s="100"/>
      <c r="X41" s="104">
        <v>45692</v>
      </c>
      <c r="Y41" s="100">
        <v>39.700000000000003</v>
      </c>
      <c r="Z41" s="100">
        <v>20</v>
      </c>
      <c r="AA41" s="100"/>
      <c r="AB41" s="47" t="s">
        <v>111</v>
      </c>
      <c r="AC41" s="100"/>
      <c r="AD41" s="100"/>
      <c r="AE41" s="100"/>
      <c r="AF41" s="71" t="s">
        <v>154</v>
      </c>
      <c r="AG41" s="71"/>
    </row>
    <row r="42" spans="1:33" ht="14.25" customHeight="1" x14ac:dyDescent="0.3">
      <c r="A42" s="100" t="s">
        <v>23</v>
      </c>
      <c r="B42" s="101" t="s">
        <v>137</v>
      </c>
      <c r="C42" s="47">
        <v>2172</v>
      </c>
      <c r="D42" s="100">
        <v>3606</v>
      </c>
      <c r="E42" s="47">
        <v>1</v>
      </c>
      <c r="F42" s="100"/>
      <c r="G42" s="100"/>
      <c r="H42" s="100" t="s">
        <v>149</v>
      </c>
      <c r="I42" s="100" t="s">
        <v>155</v>
      </c>
      <c r="J42" s="100" t="s">
        <v>156</v>
      </c>
      <c r="K42" s="47">
        <v>0</v>
      </c>
      <c r="L42" s="102">
        <v>39169</v>
      </c>
      <c r="M42" s="100">
        <v>15.278874536821952</v>
      </c>
      <c r="N42" s="100"/>
      <c r="O42" s="100"/>
      <c r="P42" s="100"/>
      <c r="Q42" s="100" t="s">
        <v>157</v>
      </c>
      <c r="R42" s="103" t="s">
        <v>158</v>
      </c>
      <c r="S42" s="100">
        <v>1</v>
      </c>
      <c r="T42" s="100">
        <v>1</v>
      </c>
      <c r="U42" s="100">
        <v>1</v>
      </c>
      <c r="V42" s="100"/>
      <c r="W42" s="100"/>
      <c r="X42" s="104">
        <v>45692</v>
      </c>
      <c r="Y42" s="100">
        <v>16</v>
      </c>
      <c r="Z42" s="100">
        <v>16</v>
      </c>
      <c r="AA42" s="100"/>
      <c r="AB42" s="47" t="s">
        <v>111</v>
      </c>
      <c r="AC42" s="100"/>
      <c r="AD42" s="100"/>
      <c r="AE42" s="100"/>
      <c r="AF42" s="71" t="s">
        <v>159</v>
      </c>
      <c r="AG42" s="71"/>
    </row>
    <row r="43" spans="1:33" s="59" customFormat="1" ht="27" x14ac:dyDescent="0.3">
      <c r="A43" s="81" t="s">
        <v>23</v>
      </c>
      <c r="B43" s="81" t="s">
        <v>137</v>
      </c>
      <c r="C43" s="81"/>
      <c r="D43" s="53">
        <v>3607</v>
      </c>
      <c r="E43" s="81"/>
      <c r="F43" s="81"/>
      <c r="G43" s="81"/>
      <c r="H43" s="81" t="s">
        <v>618</v>
      </c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>
        <v>1</v>
      </c>
      <c r="V43" s="81"/>
      <c r="W43" s="81"/>
      <c r="X43" s="115">
        <v>45692</v>
      </c>
      <c r="Y43" s="81">
        <v>14.5</v>
      </c>
      <c r="Z43" s="81">
        <v>18</v>
      </c>
      <c r="AA43" s="81"/>
      <c r="AB43" s="50" t="s">
        <v>111</v>
      </c>
      <c r="AC43" s="81"/>
      <c r="AD43" s="81"/>
      <c r="AE43" s="81">
        <v>1</v>
      </c>
      <c r="AF43" s="159" t="s">
        <v>616</v>
      </c>
      <c r="AG43" s="159"/>
    </row>
    <row r="44" spans="1:33" ht="27" x14ac:dyDescent="0.3">
      <c r="A44" s="100" t="s">
        <v>23</v>
      </c>
      <c r="B44" s="101" t="s">
        <v>137</v>
      </c>
      <c r="C44" s="47">
        <v>2170</v>
      </c>
      <c r="D44" s="100">
        <v>3608</v>
      </c>
      <c r="E44" s="47">
        <v>1</v>
      </c>
      <c r="F44" s="100"/>
      <c r="G44" s="100"/>
      <c r="H44" s="100" t="s">
        <v>138</v>
      </c>
      <c r="I44" s="100" t="s">
        <v>139</v>
      </c>
      <c r="J44" s="100" t="s">
        <v>140</v>
      </c>
      <c r="K44" s="47">
        <v>0</v>
      </c>
      <c r="L44" s="102">
        <v>39169</v>
      </c>
      <c r="M44" s="100">
        <v>10.185916357881302</v>
      </c>
      <c r="N44" s="100"/>
      <c r="O44" s="100"/>
      <c r="P44" s="100"/>
      <c r="Q44" s="100" t="s">
        <v>147</v>
      </c>
      <c r="R44" s="103" t="s">
        <v>148</v>
      </c>
      <c r="S44" s="100"/>
      <c r="T44" s="100"/>
      <c r="U44" s="100">
        <v>1</v>
      </c>
      <c r="V44" s="100"/>
      <c r="W44" s="100"/>
      <c r="X44" s="104">
        <v>45692</v>
      </c>
      <c r="Y44" s="100">
        <v>27</v>
      </c>
      <c r="Z44" s="100">
        <v>25</v>
      </c>
      <c r="AA44" s="100"/>
      <c r="AB44" s="47" t="s">
        <v>111</v>
      </c>
      <c r="AC44" s="100"/>
      <c r="AD44" s="100"/>
      <c r="AE44" s="100"/>
      <c r="AF44" s="71" t="s">
        <v>617</v>
      </c>
      <c r="AG44" s="71"/>
    </row>
    <row r="45" spans="1:33" ht="14.25" customHeight="1" x14ac:dyDescent="0.3">
      <c r="A45" s="100" t="s">
        <v>23</v>
      </c>
      <c r="B45" s="101" t="s">
        <v>137</v>
      </c>
      <c r="C45" s="47">
        <v>2167</v>
      </c>
      <c r="D45" s="54">
        <v>3609</v>
      </c>
      <c r="E45" s="47">
        <v>1</v>
      </c>
      <c r="F45" s="100"/>
      <c r="G45" s="100"/>
      <c r="H45" s="100" t="s">
        <v>35</v>
      </c>
      <c r="I45" s="100" t="s">
        <v>36</v>
      </c>
      <c r="J45" s="100" t="s">
        <v>37</v>
      </c>
      <c r="K45" s="47">
        <v>0</v>
      </c>
      <c r="L45" s="102">
        <v>39169</v>
      </c>
      <c r="M45" s="100">
        <v>16.870423967740905</v>
      </c>
      <c r="N45" s="100"/>
      <c r="O45" s="100"/>
      <c r="P45" s="100"/>
      <c r="Q45" s="100" t="s">
        <v>28</v>
      </c>
      <c r="R45" s="103"/>
      <c r="S45" s="100"/>
      <c r="T45" s="100">
        <v>1</v>
      </c>
      <c r="U45" s="100">
        <v>1</v>
      </c>
      <c r="V45" s="100"/>
      <c r="W45" s="100"/>
      <c r="X45" s="104">
        <v>45692</v>
      </c>
      <c r="Y45" s="100">
        <v>17.5</v>
      </c>
      <c r="Z45" s="100">
        <v>18</v>
      </c>
      <c r="AA45" s="100"/>
      <c r="AB45" s="47" t="s">
        <v>111</v>
      </c>
      <c r="AC45" s="100"/>
      <c r="AD45" s="100"/>
      <c r="AE45" s="100"/>
      <c r="AF45" s="71"/>
      <c r="AG45" s="71"/>
    </row>
    <row r="46" spans="1:33" s="85" customFormat="1" ht="80.400000000000006" customHeight="1" x14ac:dyDescent="0.3">
      <c r="A46" s="49" t="s">
        <v>23</v>
      </c>
      <c r="B46" s="86" t="s">
        <v>137</v>
      </c>
      <c r="C46" s="49">
        <v>2163</v>
      </c>
      <c r="D46" s="49">
        <v>3610</v>
      </c>
      <c r="E46" s="49">
        <v>1</v>
      </c>
      <c r="F46" s="49"/>
      <c r="G46" s="49"/>
      <c r="H46" s="68" t="s">
        <v>618</v>
      </c>
      <c r="I46" s="49"/>
      <c r="J46" s="49"/>
      <c r="K46" s="49">
        <v>0</v>
      </c>
      <c r="L46" s="87">
        <v>39169</v>
      </c>
      <c r="M46" s="49">
        <v>28.966199642724952</v>
      </c>
      <c r="N46" s="49"/>
      <c r="O46" s="49"/>
      <c r="P46" s="49"/>
      <c r="Q46" s="84" t="s">
        <v>141</v>
      </c>
      <c r="R46" s="88" t="s">
        <v>142</v>
      </c>
      <c r="S46" s="49"/>
      <c r="T46" s="50"/>
      <c r="U46" s="81">
        <v>1</v>
      </c>
      <c r="V46" s="49"/>
      <c r="W46" s="49"/>
      <c r="X46" s="83">
        <v>45692</v>
      </c>
      <c r="Y46" s="49">
        <v>31.65</v>
      </c>
      <c r="Z46" s="49">
        <v>23.4</v>
      </c>
      <c r="AA46" s="49"/>
      <c r="AB46" s="49" t="s">
        <v>111</v>
      </c>
      <c r="AC46" s="49"/>
      <c r="AD46" s="49"/>
      <c r="AE46" s="49"/>
      <c r="AF46" s="84" t="s">
        <v>693</v>
      </c>
      <c r="AG46" s="84"/>
    </row>
    <row r="47" spans="1:33" ht="14.25" customHeight="1" x14ac:dyDescent="0.3">
      <c r="A47" s="100" t="s">
        <v>23</v>
      </c>
      <c r="B47" s="101" t="s">
        <v>137</v>
      </c>
      <c r="C47" s="47">
        <v>2180</v>
      </c>
      <c r="D47" s="100">
        <v>3612</v>
      </c>
      <c r="E47" s="47">
        <v>1</v>
      </c>
      <c r="F47" s="100"/>
      <c r="G47" s="100"/>
      <c r="H47" s="100" t="s">
        <v>25</v>
      </c>
      <c r="I47" s="100" t="s">
        <v>55</v>
      </c>
      <c r="J47" s="100" t="s">
        <v>56</v>
      </c>
      <c r="K47" s="47">
        <v>0</v>
      </c>
      <c r="L47" s="102">
        <v>39169</v>
      </c>
      <c r="M47" s="100">
        <v>25.146481008519466</v>
      </c>
      <c r="N47" s="100"/>
      <c r="O47" s="100"/>
      <c r="P47" s="100"/>
      <c r="Q47" s="100" t="s">
        <v>28</v>
      </c>
      <c r="R47" s="103"/>
      <c r="S47" s="100">
        <v>1</v>
      </c>
      <c r="T47" s="100">
        <v>1</v>
      </c>
      <c r="U47" s="100">
        <v>1</v>
      </c>
      <c r="V47" s="100"/>
      <c r="W47" s="100"/>
      <c r="X47" s="104">
        <v>45692</v>
      </c>
      <c r="Y47" s="100">
        <v>39.11</v>
      </c>
      <c r="Z47" s="100">
        <v>19</v>
      </c>
      <c r="AA47" s="100"/>
      <c r="AB47" s="47" t="s">
        <v>111</v>
      </c>
      <c r="AC47" s="100"/>
      <c r="AD47" s="100"/>
      <c r="AE47" s="100"/>
      <c r="AF47" s="71"/>
      <c r="AG47" s="71"/>
    </row>
    <row r="48" spans="1:33" ht="14.25" customHeight="1" x14ac:dyDescent="0.3">
      <c r="A48" s="100" t="s">
        <v>23</v>
      </c>
      <c r="B48" s="100" t="s">
        <v>137</v>
      </c>
      <c r="C48" s="100"/>
      <c r="D48" s="54">
        <v>3613</v>
      </c>
      <c r="E48" s="100"/>
      <c r="F48" s="100"/>
      <c r="G48" s="100"/>
      <c r="H48" s="100" t="s">
        <v>35</v>
      </c>
      <c r="I48" s="100" t="s">
        <v>36</v>
      </c>
      <c r="J48" s="100" t="s">
        <v>37</v>
      </c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>
        <v>1</v>
      </c>
      <c r="V48" s="100"/>
      <c r="W48" s="100"/>
      <c r="X48" s="104">
        <v>45692</v>
      </c>
      <c r="Y48" s="100">
        <v>11.55</v>
      </c>
      <c r="Z48" s="100">
        <v>8</v>
      </c>
      <c r="AA48" s="100">
        <v>1</v>
      </c>
      <c r="AB48" s="47" t="s">
        <v>83</v>
      </c>
      <c r="AC48" s="100"/>
      <c r="AD48" s="100"/>
      <c r="AE48" s="100"/>
      <c r="AF48" s="71"/>
      <c r="AG48" s="71"/>
    </row>
    <row r="49" spans="1:33" ht="14.25" customHeight="1" x14ac:dyDescent="0.3">
      <c r="A49" s="100" t="s">
        <v>23</v>
      </c>
      <c r="B49" s="101" t="s">
        <v>137</v>
      </c>
      <c r="C49" s="47">
        <v>2175</v>
      </c>
      <c r="D49" s="100">
        <v>3614</v>
      </c>
      <c r="E49" s="47">
        <v>1</v>
      </c>
      <c r="F49" s="100"/>
      <c r="G49" s="100"/>
      <c r="H49" s="100" t="s">
        <v>25</v>
      </c>
      <c r="I49" s="100" t="s">
        <v>26</v>
      </c>
      <c r="J49" s="100" t="s">
        <v>27</v>
      </c>
      <c r="K49" s="47">
        <v>0</v>
      </c>
      <c r="L49" s="102">
        <v>39169</v>
      </c>
      <c r="M49" s="100">
        <v>34.377467707849391</v>
      </c>
      <c r="N49" s="100"/>
      <c r="O49" s="100"/>
      <c r="P49" s="100"/>
      <c r="Q49" s="100" t="s">
        <v>28</v>
      </c>
      <c r="R49" s="103"/>
      <c r="S49" s="100"/>
      <c r="T49" s="100"/>
      <c r="U49" s="100">
        <v>1</v>
      </c>
      <c r="V49" s="100"/>
      <c r="W49" s="100"/>
      <c r="X49" s="104">
        <v>45692</v>
      </c>
      <c r="Y49" s="100">
        <v>46.2</v>
      </c>
      <c r="Z49" s="100">
        <v>25</v>
      </c>
      <c r="AA49" s="100"/>
      <c r="AB49" s="47" t="s">
        <v>83</v>
      </c>
      <c r="AC49" s="100"/>
      <c r="AD49" s="100"/>
      <c r="AE49" s="100"/>
      <c r="AF49" s="71"/>
      <c r="AG49" s="71"/>
    </row>
    <row r="50" spans="1:33" ht="14.25" customHeight="1" x14ac:dyDescent="0.3">
      <c r="A50" s="100" t="s">
        <v>23</v>
      </c>
      <c r="B50" s="101" t="s">
        <v>137</v>
      </c>
      <c r="C50" s="47">
        <v>2176</v>
      </c>
      <c r="D50" s="100">
        <v>3615</v>
      </c>
      <c r="E50" s="47">
        <v>1</v>
      </c>
      <c r="F50" s="100"/>
      <c r="G50" s="100"/>
      <c r="H50" s="100" t="s">
        <v>25</v>
      </c>
      <c r="I50" s="100" t="s">
        <v>55</v>
      </c>
      <c r="J50" s="100" t="s">
        <v>56</v>
      </c>
      <c r="K50" s="47">
        <v>0</v>
      </c>
      <c r="L50" s="102">
        <v>39169</v>
      </c>
      <c r="M50" s="100">
        <v>20.5309876588545</v>
      </c>
      <c r="N50" s="100"/>
      <c r="O50" s="100"/>
      <c r="P50" s="100"/>
      <c r="Q50" s="100" t="s">
        <v>28</v>
      </c>
      <c r="R50" s="103"/>
      <c r="S50" s="100"/>
      <c r="T50" s="100"/>
      <c r="U50" s="100">
        <v>1</v>
      </c>
      <c r="V50" s="100"/>
      <c r="W50" s="100"/>
      <c r="X50" s="104">
        <v>45692</v>
      </c>
      <c r="Y50" s="100">
        <v>25.2</v>
      </c>
      <c r="Z50" s="100">
        <v>25</v>
      </c>
      <c r="AA50" s="100"/>
      <c r="AB50" s="47" t="s">
        <v>83</v>
      </c>
      <c r="AC50" s="100"/>
      <c r="AD50" s="100"/>
      <c r="AE50" s="100"/>
      <c r="AF50" s="71"/>
      <c r="AG50" s="71"/>
    </row>
    <row r="51" spans="1:33" ht="14.25" customHeight="1" x14ac:dyDescent="0.3">
      <c r="A51" s="100" t="s">
        <v>23</v>
      </c>
      <c r="B51" s="101" t="s">
        <v>137</v>
      </c>
      <c r="C51" s="47">
        <v>2182</v>
      </c>
      <c r="D51" s="100">
        <v>3616</v>
      </c>
      <c r="E51" s="47">
        <v>1</v>
      </c>
      <c r="F51" s="100"/>
      <c r="G51" s="100"/>
      <c r="H51" s="100" t="s">
        <v>46</v>
      </c>
      <c r="I51" s="100" t="s">
        <v>174</v>
      </c>
      <c r="J51" s="100" t="s">
        <v>175</v>
      </c>
      <c r="K51" s="47">
        <v>0</v>
      </c>
      <c r="L51" s="102">
        <v>39169</v>
      </c>
      <c r="M51" s="100">
        <v>19.416903057211233</v>
      </c>
      <c r="N51" s="100"/>
      <c r="O51" s="100"/>
      <c r="P51" s="100"/>
      <c r="Q51" s="100" t="s">
        <v>176</v>
      </c>
      <c r="R51" s="103" t="s">
        <v>177</v>
      </c>
      <c r="S51" s="100"/>
      <c r="T51" s="100"/>
      <c r="U51" s="100">
        <v>1</v>
      </c>
      <c r="V51" s="100"/>
      <c r="W51" s="100"/>
      <c r="X51" s="104">
        <v>45689</v>
      </c>
      <c r="Y51" s="100">
        <v>27.6</v>
      </c>
      <c r="Z51" s="100">
        <v>8</v>
      </c>
      <c r="AA51" s="100"/>
      <c r="AB51" s="47" t="s">
        <v>83</v>
      </c>
      <c r="AC51" s="100"/>
      <c r="AD51" s="100"/>
      <c r="AE51" s="100"/>
      <c r="AF51" s="71"/>
      <c r="AG51" s="71"/>
    </row>
    <row r="52" spans="1:33" ht="14.25" customHeight="1" x14ac:dyDescent="0.3">
      <c r="A52" s="100" t="s">
        <v>23</v>
      </c>
      <c r="B52" s="101" t="s">
        <v>137</v>
      </c>
      <c r="C52" s="47">
        <v>2177</v>
      </c>
      <c r="D52" s="100">
        <v>3617</v>
      </c>
      <c r="E52" s="47">
        <v>1</v>
      </c>
      <c r="F52" s="100"/>
      <c r="G52" s="100"/>
      <c r="H52" s="100" t="s">
        <v>46</v>
      </c>
      <c r="I52" s="100" t="s">
        <v>162</v>
      </c>
      <c r="J52" s="100" t="s">
        <v>163</v>
      </c>
      <c r="K52" s="47">
        <v>0</v>
      </c>
      <c r="L52" s="102">
        <v>39169</v>
      </c>
      <c r="M52" s="100">
        <v>32.149298504562857</v>
      </c>
      <c r="N52" s="100"/>
      <c r="O52" s="100"/>
      <c r="P52" s="100"/>
      <c r="Q52" s="100" t="s">
        <v>164</v>
      </c>
      <c r="R52" s="103" t="s">
        <v>165</v>
      </c>
      <c r="S52" s="100">
        <v>1</v>
      </c>
      <c r="T52" s="100">
        <v>1</v>
      </c>
      <c r="U52" s="100">
        <v>1</v>
      </c>
      <c r="V52" s="100"/>
      <c r="W52" s="100"/>
      <c r="X52" s="104">
        <v>45692</v>
      </c>
      <c r="Y52" s="116">
        <v>30.5</v>
      </c>
      <c r="Z52" s="100">
        <v>23</v>
      </c>
      <c r="AA52" s="100"/>
      <c r="AB52" s="47" t="s">
        <v>83</v>
      </c>
      <c r="AC52" s="100"/>
      <c r="AD52" s="100"/>
      <c r="AE52" s="100"/>
      <c r="AF52" s="71" t="s">
        <v>619</v>
      </c>
      <c r="AG52" s="71"/>
    </row>
    <row r="53" spans="1:33" ht="14.25" customHeight="1" x14ac:dyDescent="0.3">
      <c r="A53" s="100" t="s">
        <v>23</v>
      </c>
      <c r="B53" s="101" t="s">
        <v>137</v>
      </c>
      <c r="C53" s="47">
        <v>2178</v>
      </c>
      <c r="D53" s="100">
        <v>3618</v>
      </c>
      <c r="E53" s="47">
        <v>1</v>
      </c>
      <c r="F53" s="100"/>
      <c r="G53" s="100"/>
      <c r="H53" s="100" t="s">
        <v>35</v>
      </c>
      <c r="I53" s="100" t="s">
        <v>36</v>
      </c>
      <c r="J53" s="100" t="s">
        <v>37</v>
      </c>
      <c r="K53" s="47">
        <v>0</v>
      </c>
      <c r="L53" s="102">
        <v>39169</v>
      </c>
      <c r="M53" s="100">
        <v>22.600001919049138</v>
      </c>
      <c r="N53" s="100"/>
      <c r="O53" s="100"/>
      <c r="P53" s="100"/>
      <c r="Q53" s="100" t="s">
        <v>28</v>
      </c>
      <c r="R53" s="103"/>
      <c r="S53" s="100"/>
      <c r="T53" s="100"/>
      <c r="U53" s="100">
        <v>1</v>
      </c>
      <c r="V53" s="100"/>
      <c r="W53" s="100"/>
      <c r="X53" s="104">
        <v>45692</v>
      </c>
      <c r="Y53" s="100">
        <v>25</v>
      </c>
      <c r="Z53" s="100">
        <v>22.8</v>
      </c>
      <c r="AA53" s="100"/>
      <c r="AB53" s="47" t="s">
        <v>83</v>
      </c>
      <c r="AC53" s="100"/>
      <c r="AD53" s="100"/>
      <c r="AE53" s="100"/>
      <c r="AF53" s="71"/>
      <c r="AG53" s="71"/>
    </row>
    <row r="54" spans="1:33" ht="14.25" customHeight="1" x14ac:dyDescent="0.3">
      <c r="A54" s="100" t="s">
        <v>23</v>
      </c>
      <c r="B54" s="101" t="s">
        <v>137</v>
      </c>
      <c r="C54" s="47">
        <v>2179</v>
      </c>
      <c r="D54" s="100">
        <v>3619</v>
      </c>
      <c r="E54" s="47">
        <v>1</v>
      </c>
      <c r="F54" s="100"/>
      <c r="G54" s="100"/>
      <c r="H54" s="100" t="s">
        <v>166</v>
      </c>
      <c r="I54" s="100" t="s">
        <v>167</v>
      </c>
      <c r="J54" s="100" t="s">
        <v>168</v>
      </c>
      <c r="K54" s="47">
        <v>0</v>
      </c>
      <c r="L54" s="102">
        <v>39169</v>
      </c>
      <c r="M54" s="100">
        <v>10.822536130248883</v>
      </c>
      <c r="N54" s="100"/>
      <c r="O54" s="100"/>
      <c r="P54" s="100"/>
      <c r="Q54" s="100" t="s">
        <v>28</v>
      </c>
      <c r="R54" s="103"/>
      <c r="S54" s="100">
        <v>1</v>
      </c>
      <c r="T54" s="100">
        <v>1</v>
      </c>
      <c r="U54" s="100">
        <v>1</v>
      </c>
      <c r="V54" s="100"/>
      <c r="W54" s="100"/>
      <c r="X54" s="104">
        <v>45692</v>
      </c>
      <c r="Y54" s="100">
        <v>11</v>
      </c>
      <c r="Z54" s="100">
        <v>10</v>
      </c>
      <c r="AA54" s="100"/>
      <c r="AB54" s="47" t="s">
        <v>83</v>
      </c>
      <c r="AC54" s="100"/>
      <c r="AD54" s="100"/>
      <c r="AE54" s="100"/>
      <c r="AF54" s="71" t="s">
        <v>169</v>
      </c>
      <c r="AG54" s="71"/>
    </row>
    <row r="55" spans="1:33" ht="14.25" customHeight="1" x14ac:dyDescent="0.3">
      <c r="A55" s="100" t="s">
        <v>23</v>
      </c>
      <c r="B55" s="101" t="s">
        <v>137</v>
      </c>
      <c r="C55" s="47">
        <v>2189</v>
      </c>
      <c r="D55" s="100">
        <v>3620</v>
      </c>
      <c r="E55" s="47">
        <v>1</v>
      </c>
      <c r="F55" s="100"/>
      <c r="G55" s="100"/>
      <c r="H55" s="100" t="s">
        <v>25</v>
      </c>
      <c r="I55" s="100" t="s">
        <v>26</v>
      </c>
      <c r="J55" s="100" t="s">
        <v>27</v>
      </c>
      <c r="K55" s="47">
        <v>0</v>
      </c>
      <c r="L55" s="102">
        <v>39169</v>
      </c>
      <c r="M55" s="100">
        <v>28.01126998417358</v>
      </c>
      <c r="N55" s="100"/>
      <c r="O55" s="100"/>
      <c r="P55" s="100"/>
      <c r="Q55" s="100" t="s">
        <v>28</v>
      </c>
      <c r="R55" s="103"/>
      <c r="S55" s="100"/>
      <c r="T55" s="100"/>
      <c r="U55" s="100">
        <v>1</v>
      </c>
      <c r="V55" s="100"/>
      <c r="W55" s="100"/>
      <c r="X55" s="104">
        <v>45692</v>
      </c>
      <c r="Y55" s="100">
        <v>38.1</v>
      </c>
      <c r="Z55" s="100">
        <v>30</v>
      </c>
      <c r="AA55" s="100"/>
      <c r="AB55" s="47" t="s">
        <v>83</v>
      </c>
      <c r="AC55" s="100"/>
      <c r="AD55" s="100"/>
      <c r="AE55" s="100"/>
      <c r="AF55" s="71"/>
      <c r="AG55" s="71"/>
    </row>
    <row r="56" spans="1:33" ht="14.25" customHeight="1" x14ac:dyDescent="0.3">
      <c r="A56" s="100" t="s">
        <v>23</v>
      </c>
      <c r="B56" s="101" t="s">
        <v>137</v>
      </c>
      <c r="C56" s="47">
        <v>2183</v>
      </c>
      <c r="D56" s="100">
        <v>3621</v>
      </c>
      <c r="E56" s="47">
        <v>1</v>
      </c>
      <c r="F56" s="100"/>
      <c r="G56" s="100"/>
      <c r="H56" s="100" t="s">
        <v>128</v>
      </c>
      <c r="I56" s="100" t="s">
        <v>129</v>
      </c>
      <c r="J56" s="100" t="s">
        <v>130</v>
      </c>
      <c r="K56" s="47">
        <v>0</v>
      </c>
      <c r="L56" s="102">
        <v>39169</v>
      </c>
      <c r="M56" s="100">
        <v>17.188733853924695</v>
      </c>
      <c r="N56" s="100"/>
      <c r="O56" s="100"/>
      <c r="P56" s="100"/>
      <c r="Q56" s="100" t="s">
        <v>178</v>
      </c>
      <c r="R56" s="103"/>
      <c r="S56" s="100"/>
      <c r="T56" s="100"/>
      <c r="U56" s="100">
        <v>1</v>
      </c>
      <c r="V56" s="100"/>
      <c r="W56" s="100"/>
      <c r="X56" s="104">
        <v>45692</v>
      </c>
      <c r="Y56" s="100">
        <v>16.7</v>
      </c>
      <c r="Z56" s="100">
        <v>16</v>
      </c>
      <c r="AA56" s="100"/>
      <c r="AB56" s="47" t="s">
        <v>83</v>
      </c>
      <c r="AC56" s="100"/>
      <c r="AD56" s="100"/>
      <c r="AE56" s="100"/>
      <c r="AF56" s="71" t="s">
        <v>179</v>
      </c>
      <c r="AG56" s="71"/>
    </row>
    <row r="57" spans="1:33" ht="14.25" customHeight="1" x14ac:dyDescent="0.3">
      <c r="A57" s="100" t="s">
        <v>23</v>
      </c>
      <c r="B57" s="101" t="s">
        <v>137</v>
      </c>
      <c r="C57" s="47">
        <v>2186</v>
      </c>
      <c r="D57" s="100">
        <v>8890</v>
      </c>
      <c r="E57" s="47">
        <v>1</v>
      </c>
      <c r="F57" s="100"/>
      <c r="G57" s="100"/>
      <c r="H57" s="100" t="s">
        <v>288</v>
      </c>
      <c r="I57" s="100" t="s">
        <v>192</v>
      </c>
      <c r="J57" s="100" t="s">
        <v>193</v>
      </c>
      <c r="K57" s="47">
        <v>0</v>
      </c>
      <c r="L57" s="102">
        <v>39169</v>
      </c>
      <c r="M57" s="100">
        <v>36.128172081860242</v>
      </c>
      <c r="N57" s="100"/>
      <c r="O57" s="100"/>
      <c r="P57" s="100"/>
      <c r="Q57" s="100" t="s">
        <v>194</v>
      </c>
      <c r="R57" s="103"/>
      <c r="S57" s="100"/>
      <c r="T57" s="100"/>
      <c r="U57" s="100">
        <v>1</v>
      </c>
      <c r="V57" s="100"/>
      <c r="W57" s="100"/>
      <c r="X57" s="104">
        <v>45692</v>
      </c>
      <c r="Y57" s="100">
        <v>53.1</v>
      </c>
      <c r="Z57" s="100">
        <v>27</v>
      </c>
      <c r="AA57" s="100"/>
      <c r="AB57" s="47" t="s">
        <v>45</v>
      </c>
      <c r="AC57" s="100"/>
      <c r="AD57" s="100"/>
      <c r="AE57" s="100"/>
      <c r="AF57" s="71" t="s">
        <v>195</v>
      </c>
      <c r="AG57" s="71" t="s">
        <v>644</v>
      </c>
    </row>
    <row r="58" spans="1:33" ht="14.25" customHeight="1" x14ac:dyDescent="0.3">
      <c r="A58" s="100" t="s">
        <v>23</v>
      </c>
      <c r="B58" s="101" t="s">
        <v>137</v>
      </c>
      <c r="C58" s="47">
        <v>2185</v>
      </c>
      <c r="D58" s="100">
        <v>8891</v>
      </c>
      <c r="E58" s="47">
        <v>1</v>
      </c>
      <c r="F58" s="100"/>
      <c r="G58" s="100"/>
      <c r="H58" s="100" t="s">
        <v>185</v>
      </c>
      <c r="I58" s="100" t="s">
        <v>186</v>
      </c>
      <c r="J58" s="100" t="s">
        <v>187</v>
      </c>
      <c r="K58" s="47">
        <v>0</v>
      </c>
      <c r="L58" s="102">
        <v>39169</v>
      </c>
      <c r="M58" s="100">
        <v>11.93662073189215</v>
      </c>
      <c r="N58" s="100"/>
      <c r="O58" s="100"/>
      <c r="P58" s="100"/>
      <c r="Q58" s="100" t="s">
        <v>188</v>
      </c>
      <c r="R58" s="103" t="s">
        <v>189</v>
      </c>
      <c r="S58" s="100">
        <v>1</v>
      </c>
      <c r="T58" s="100">
        <v>1</v>
      </c>
      <c r="U58" s="100">
        <v>1</v>
      </c>
      <c r="V58" s="100"/>
      <c r="W58" s="100"/>
      <c r="X58" s="104">
        <v>45692</v>
      </c>
      <c r="Y58" s="100">
        <v>13.6</v>
      </c>
      <c r="Z58" s="100">
        <v>14</v>
      </c>
      <c r="AA58" s="100"/>
      <c r="AB58" s="47" t="s">
        <v>45</v>
      </c>
      <c r="AC58" s="100"/>
      <c r="AD58" s="100"/>
      <c r="AE58" s="100"/>
      <c r="AF58" s="71" t="s">
        <v>190</v>
      </c>
      <c r="AG58" s="71"/>
    </row>
    <row r="59" spans="1:33" ht="14.25" customHeight="1" x14ac:dyDescent="0.3">
      <c r="A59" s="100" t="s">
        <v>23</v>
      </c>
      <c r="B59" s="101" t="s">
        <v>137</v>
      </c>
      <c r="C59" s="47">
        <v>2184</v>
      </c>
      <c r="D59" s="100">
        <v>8892</v>
      </c>
      <c r="E59" s="47">
        <v>1</v>
      </c>
      <c r="F59" s="100"/>
      <c r="G59" s="100"/>
      <c r="H59" s="100" t="s">
        <v>39</v>
      </c>
      <c r="I59" s="100" t="s">
        <v>180</v>
      </c>
      <c r="J59" s="100" t="s">
        <v>181</v>
      </c>
      <c r="K59" s="47">
        <v>0</v>
      </c>
      <c r="L59" s="102">
        <v>39169</v>
      </c>
      <c r="M59" s="100">
        <v>19.416903057211233</v>
      </c>
      <c r="N59" s="100"/>
      <c r="O59" s="100"/>
      <c r="P59" s="100"/>
      <c r="Q59" s="100" t="s">
        <v>182</v>
      </c>
      <c r="R59" s="103" t="s">
        <v>183</v>
      </c>
      <c r="S59" s="100">
        <v>1</v>
      </c>
      <c r="T59" s="100">
        <v>1</v>
      </c>
      <c r="U59" s="100">
        <v>1</v>
      </c>
      <c r="V59" s="100"/>
      <c r="W59" s="100"/>
      <c r="X59" s="104">
        <v>45692</v>
      </c>
      <c r="Y59" s="100">
        <v>23.1</v>
      </c>
      <c r="Z59" s="100">
        <v>19</v>
      </c>
      <c r="AA59" s="100"/>
      <c r="AB59" s="47" t="s">
        <v>45</v>
      </c>
      <c r="AC59" s="100"/>
      <c r="AD59" s="100"/>
      <c r="AE59" s="100"/>
      <c r="AF59" s="71" t="s">
        <v>184</v>
      </c>
      <c r="AG59" s="71"/>
    </row>
    <row r="60" spans="1:33" s="59" customFormat="1" ht="14.25" customHeight="1" x14ac:dyDescent="0.3">
      <c r="A60" s="81" t="s">
        <v>23</v>
      </c>
      <c r="B60" s="117" t="s">
        <v>137</v>
      </c>
      <c r="C60" s="50">
        <v>2199</v>
      </c>
      <c r="D60" s="81">
        <v>8893</v>
      </c>
      <c r="E60" s="50">
        <v>1</v>
      </c>
      <c r="F60" s="81"/>
      <c r="G60" s="81"/>
      <c r="H60" s="81" t="s">
        <v>149</v>
      </c>
      <c r="I60" s="81" t="s">
        <v>228</v>
      </c>
      <c r="J60" s="81" t="s">
        <v>229</v>
      </c>
      <c r="K60" s="50">
        <v>0</v>
      </c>
      <c r="L60" s="118">
        <v>39169</v>
      </c>
      <c r="M60" s="81">
        <v>10.504226244065093</v>
      </c>
      <c r="N60" s="81"/>
      <c r="O60" s="81"/>
      <c r="P60" s="81"/>
      <c r="Q60" s="81" t="s">
        <v>157</v>
      </c>
      <c r="R60" s="119" t="s">
        <v>230</v>
      </c>
      <c r="S60" s="81">
        <v>1</v>
      </c>
      <c r="T60" s="81">
        <v>1</v>
      </c>
      <c r="U60" s="81">
        <v>1</v>
      </c>
      <c r="V60" s="81"/>
      <c r="W60" s="81"/>
      <c r="X60" s="115">
        <v>45692</v>
      </c>
      <c r="Y60" s="81">
        <v>11.5</v>
      </c>
      <c r="Z60" s="81">
        <v>13.9</v>
      </c>
      <c r="AA60" s="81"/>
      <c r="AB60" s="50" t="s">
        <v>34</v>
      </c>
      <c r="AC60" s="81"/>
      <c r="AD60" s="81"/>
      <c r="AE60" s="81">
        <v>3</v>
      </c>
      <c r="AF60" s="159" t="s">
        <v>231</v>
      </c>
      <c r="AG60" s="159"/>
    </row>
    <row r="61" spans="1:33" ht="14.25" customHeight="1" x14ac:dyDescent="0.3">
      <c r="A61" s="100" t="s">
        <v>23</v>
      </c>
      <c r="B61" s="101" t="s">
        <v>137</v>
      </c>
      <c r="C61" s="47">
        <v>2195</v>
      </c>
      <c r="D61" s="100">
        <v>8895</v>
      </c>
      <c r="E61" s="47">
        <v>1</v>
      </c>
      <c r="F61" s="100"/>
      <c r="G61" s="100"/>
      <c r="H61" s="100" t="s">
        <v>583</v>
      </c>
      <c r="I61" s="100" t="s">
        <v>217</v>
      </c>
      <c r="J61" s="100" t="s">
        <v>218</v>
      </c>
      <c r="K61" s="47">
        <v>0</v>
      </c>
      <c r="L61" s="102">
        <v>39169</v>
      </c>
      <c r="M61" s="100">
        <v>20.84929754503829</v>
      </c>
      <c r="N61" s="100"/>
      <c r="O61" s="100"/>
      <c r="P61" s="100"/>
      <c r="Q61" s="100" t="s">
        <v>219</v>
      </c>
      <c r="R61" s="103" t="s">
        <v>220</v>
      </c>
      <c r="S61" s="100">
        <v>1</v>
      </c>
      <c r="T61" s="100">
        <v>1</v>
      </c>
      <c r="U61" s="100">
        <v>1</v>
      </c>
      <c r="V61" s="100"/>
      <c r="W61" s="100"/>
      <c r="X61" s="104">
        <v>45692</v>
      </c>
      <c r="Y61" s="100">
        <v>23.2</v>
      </c>
      <c r="Z61" s="100">
        <v>10</v>
      </c>
      <c r="AA61" s="100"/>
      <c r="AB61" s="47" t="s">
        <v>34</v>
      </c>
      <c r="AC61" s="100"/>
      <c r="AD61" s="100"/>
      <c r="AE61" s="100"/>
      <c r="AF61" s="71" t="s">
        <v>221</v>
      </c>
      <c r="AG61" s="71" t="s">
        <v>646</v>
      </c>
    </row>
    <row r="62" spans="1:33" ht="14.25" customHeight="1" x14ac:dyDescent="0.3">
      <c r="A62" s="100" t="s">
        <v>23</v>
      </c>
      <c r="B62" s="101" t="s">
        <v>137</v>
      </c>
      <c r="C62" s="47">
        <v>2194</v>
      </c>
      <c r="D62" s="100">
        <v>8896</v>
      </c>
      <c r="E62" s="47">
        <v>1</v>
      </c>
      <c r="F62" s="100"/>
      <c r="G62" s="100"/>
      <c r="H62" s="100" t="s">
        <v>35</v>
      </c>
      <c r="I62" s="100" t="s">
        <v>144</v>
      </c>
      <c r="J62" s="100" t="s">
        <v>145</v>
      </c>
      <c r="K62" s="47">
        <v>0</v>
      </c>
      <c r="L62" s="102">
        <v>39169</v>
      </c>
      <c r="M62" s="100">
        <v>50.611271903222722</v>
      </c>
      <c r="N62" s="100"/>
      <c r="O62" s="100"/>
      <c r="P62" s="100"/>
      <c r="Q62" s="100" t="s">
        <v>28</v>
      </c>
      <c r="R62" s="103"/>
      <c r="S62" s="100"/>
      <c r="T62" s="100"/>
      <c r="U62" s="100">
        <v>1</v>
      </c>
      <c r="V62" s="100"/>
      <c r="W62" s="100"/>
      <c r="X62" s="104">
        <v>45692</v>
      </c>
      <c r="Y62" s="100">
        <v>51.1</v>
      </c>
      <c r="Z62" s="100">
        <v>30</v>
      </c>
      <c r="AA62" s="100"/>
      <c r="AB62" s="47" t="s">
        <v>34</v>
      </c>
      <c r="AC62" s="100"/>
      <c r="AD62" s="100"/>
      <c r="AE62" s="100"/>
      <c r="AF62" s="71" t="s">
        <v>216</v>
      </c>
      <c r="AG62" s="71"/>
    </row>
    <row r="63" spans="1:33" ht="14.25" customHeight="1" x14ac:dyDescent="0.3">
      <c r="A63" s="100" t="s">
        <v>23</v>
      </c>
      <c r="B63" s="101" t="s">
        <v>137</v>
      </c>
      <c r="C63" s="47">
        <v>2193</v>
      </c>
      <c r="D63" s="100">
        <v>8897</v>
      </c>
      <c r="E63" s="47">
        <v>1</v>
      </c>
      <c r="F63" s="100"/>
      <c r="G63" s="100"/>
      <c r="H63" s="100" t="s">
        <v>166</v>
      </c>
      <c r="I63" s="100" t="s">
        <v>167</v>
      </c>
      <c r="J63" s="100" t="s">
        <v>168</v>
      </c>
      <c r="K63" s="47">
        <v>0</v>
      </c>
      <c r="L63" s="102">
        <v>39169</v>
      </c>
      <c r="M63" s="100">
        <v>13.050705333535419</v>
      </c>
      <c r="N63" s="100"/>
      <c r="O63" s="100"/>
      <c r="P63" s="100"/>
      <c r="Q63" s="100" t="s">
        <v>28</v>
      </c>
      <c r="R63" s="103"/>
      <c r="S63" s="100"/>
      <c r="T63" s="100"/>
      <c r="U63" s="100">
        <v>1</v>
      </c>
      <c r="V63" s="100"/>
      <c r="W63" s="100"/>
      <c r="X63" s="104">
        <v>45692</v>
      </c>
      <c r="Y63" s="100">
        <v>12.8</v>
      </c>
      <c r="Z63" s="100">
        <v>11</v>
      </c>
      <c r="AA63" s="100"/>
      <c r="AB63" s="47" t="s">
        <v>34</v>
      </c>
      <c r="AC63" s="100"/>
      <c r="AD63" s="100"/>
      <c r="AE63" s="100"/>
      <c r="AF63" s="71" t="s">
        <v>215</v>
      </c>
      <c r="AG63" s="71"/>
    </row>
    <row r="64" spans="1:33" ht="14.25" customHeight="1" x14ac:dyDescent="0.3">
      <c r="A64" s="100" t="s">
        <v>23</v>
      </c>
      <c r="B64" s="101" t="s">
        <v>137</v>
      </c>
      <c r="C64" s="47">
        <v>2191</v>
      </c>
      <c r="D64" s="100">
        <v>8898</v>
      </c>
      <c r="E64" s="47">
        <v>1</v>
      </c>
      <c r="F64" s="100"/>
      <c r="G64" s="100"/>
      <c r="H64" s="100" t="s">
        <v>35</v>
      </c>
      <c r="I64" s="100" t="s">
        <v>36</v>
      </c>
      <c r="J64" s="100" t="s">
        <v>37</v>
      </c>
      <c r="K64" s="47">
        <v>0</v>
      </c>
      <c r="L64" s="102">
        <v>39169</v>
      </c>
      <c r="M64" s="100">
        <v>21.645072260497766</v>
      </c>
      <c r="N64" s="100"/>
      <c r="O64" s="100"/>
      <c r="P64" s="100"/>
      <c r="Q64" s="100" t="s">
        <v>28</v>
      </c>
      <c r="R64" s="103"/>
      <c r="S64" s="100">
        <v>1</v>
      </c>
      <c r="T64" s="100">
        <v>1</v>
      </c>
      <c r="U64" s="100">
        <v>1</v>
      </c>
      <c r="V64" s="100"/>
      <c r="W64" s="100"/>
      <c r="X64" s="104">
        <v>45692</v>
      </c>
      <c r="Y64" s="100">
        <v>23.5</v>
      </c>
      <c r="Z64" s="100">
        <v>12</v>
      </c>
      <c r="AA64" s="100"/>
      <c r="AB64" s="47" t="s">
        <v>34</v>
      </c>
      <c r="AC64" s="100"/>
      <c r="AD64" s="100"/>
      <c r="AE64" s="100"/>
      <c r="AF64" s="71" t="s">
        <v>211</v>
      </c>
      <c r="AG64" s="71"/>
    </row>
    <row r="65" spans="1:33" ht="14.25" customHeight="1" x14ac:dyDescent="0.3">
      <c r="A65" s="100" t="s">
        <v>23</v>
      </c>
      <c r="B65" s="101" t="s">
        <v>137</v>
      </c>
      <c r="C65" s="47">
        <v>2188</v>
      </c>
      <c r="D65" s="100">
        <v>8900</v>
      </c>
      <c r="E65" s="47">
        <v>1</v>
      </c>
      <c r="F65" s="100"/>
      <c r="G65" s="100"/>
      <c r="H65" s="100" t="s">
        <v>202</v>
      </c>
      <c r="I65" s="100" t="s">
        <v>648</v>
      </c>
      <c r="J65" s="100" t="s">
        <v>203</v>
      </c>
      <c r="K65" s="47">
        <v>0</v>
      </c>
      <c r="L65" s="102">
        <v>39169</v>
      </c>
      <c r="M65" s="100">
        <v>24.669016179243776</v>
      </c>
      <c r="N65" s="100"/>
      <c r="O65" s="100"/>
      <c r="P65" s="100"/>
      <c r="Q65" s="100" t="s">
        <v>204</v>
      </c>
      <c r="R65" s="103"/>
      <c r="S65" s="100"/>
      <c r="T65" s="100"/>
      <c r="U65" s="100">
        <v>1</v>
      </c>
      <c r="V65" s="100"/>
      <c r="W65" s="100"/>
      <c r="X65" s="104">
        <v>45692</v>
      </c>
      <c r="Y65" s="100">
        <v>45.4</v>
      </c>
      <c r="Z65" s="100">
        <v>24.6</v>
      </c>
      <c r="AA65" s="100"/>
      <c r="AB65" s="47" t="s">
        <v>34</v>
      </c>
      <c r="AC65" s="100"/>
      <c r="AD65" s="100"/>
      <c r="AE65" s="100"/>
      <c r="AF65" s="71" t="s">
        <v>205</v>
      </c>
      <c r="AG65" s="71" t="s">
        <v>647</v>
      </c>
    </row>
    <row r="66" spans="1:33" ht="14.25" customHeight="1" x14ac:dyDescent="0.3">
      <c r="A66" s="100" t="s">
        <v>23</v>
      </c>
      <c r="B66" s="101" t="s">
        <v>137</v>
      </c>
      <c r="C66" s="47">
        <v>2187</v>
      </c>
      <c r="D66" s="100"/>
      <c r="E66" s="47">
        <v>1</v>
      </c>
      <c r="F66" s="100"/>
      <c r="G66" s="100"/>
      <c r="H66" s="100" t="s">
        <v>196</v>
      </c>
      <c r="I66" s="100" t="s">
        <v>197</v>
      </c>
      <c r="J66" s="100" t="s">
        <v>198</v>
      </c>
      <c r="K66" s="47">
        <v>0</v>
      </c>
      <c r="L66" s="102">
        <v>39169</v>
      </c>
      <c r="M66" s="100">
        <v>14.164789935178685</v>
      </c>
      <c r="N66" s="100"/>
      <c r="O66" s="100"/>
      <c r="P66" s="100"/>
      <c r="Q66" s="100" t="s">
        <v>199</v>
      </c>
      <c r="R66" s="103" t="s">
        <v>200</v>
      </c>
      <c r="S66" s="100"/>
      <c r="T66" s="100"/>
      <c r="U66" s="100"/>
      <c r="V66" s="100"/>
      <c r="W66" s="100">
        <v>1</v>
      </c>
      <c r="X66" s="104">
        <v>45692</v>
      </c>
      <c r="Y66" s="100"/>
      <c r="Z66" s="100"/>
      <c r="AA66" s="100"/>
      <c r="AB66" s="47" t="s">
        <v>45</v>
      </c>
      <c r="AC66" s="100"/>
      <c r="AD66" s="100"/>
      <c r="AE66" s="100"/>
      <c r="AF66" s="71" t="s">
        <v>201</v>
      </c>
      <c r="AG66" s="71"/>
    </row>
    <row r="67" spans="1:33" ht="14.25" customHeight="1" x14ac:dyDescent="0.3">
      <c r="A67" s="100" t="s">
        <v>23</v>
      </c>
      <c r="B67" s="101" t="s">
        <v>137</v>
      </c>
      <c r="C67" s="47">
        <v>2162</v>
      </c>
      <c r="D67" s="100">
        <v>3611</v>
      </c>
      <c r="E67" s="47">
        <v>1</v>
      </c>
      <c r="F67" s="100"/>
      <c r="G67" s="100"/>
      <c r="H67" s="100" t="s">
        <v>35</v>
      </c>
      <c r="I67" s="100" t="s">
        <v>36</v>
      </c>
      <c r="J67" s="100" t="s">
        <v>37</v>
      </c>
      <c r="K67" s="47">
        <v>0</v>
      </c>
      <c r="L67" s="102">
        <v>39169</v>
      </c>
      <c r="M67" s="100">
        <v>16.552114081557114</v>
      </c>
      <c r="N67" s="100"/>
      <c r="O67" s="100"/>
      <c r="P67" s="100"/>
      <c r="Q67" s="100" t="s">
        <v>28</v>
      </c>
      <c r="R67" s="103"/>
      <c r="S67" s="100"/>
      <c r="T67" s="100"/>
      <c r="U67" s="100">
        <v>1</v>
      </c>
      <c r="V67" s="100"/>
      <c r="W67" s="100"/>
      <c r="X67" s="104">
        <v>45692</v>
      </c>
      <c r="Y67" s="100">
        <v>22.3</v>
      </c>
      <c r="Z67" s="100">
        <v>22.1</v>
      </c>
      <c r="AA67" s="100"/>
      <c r="AB67" s="47" t="s">
        <v>111</v>
      </c>
      <c r="AC67" s="100"/>
      <c r="AD67" s="100"/>
      <c r="AE67" s="100"/>
      <c r="AF67" s="71" t="s">
        <v>232</v>
      </c>
      <c r="AG67" s="71"/>
    </row>
    <row r="68" spans="1:33" ht="14.25" customHeight="1" x14ac:dyDescent="0.3">
      <c r="A68" s="100" t="s">
        <v>23</v>
      </c>
      <c r="B68" s="101" t="s">
        <v>137</v>
      </c>
      <c r="C68" s="47">
        <v>2165</v>
      </c>
      <c r="D68" s="100"/>
      <c r="E68" s="47">
        <v>1</v>
      </c>
      <c r="F68" s="100"/>
      <c r="G68" s="100"/>
      <c r="H68" s="100" t="s">
        <v>138</v>
      </c>
      <c r="I68" s="100" t="s">
        <v>139</v>
      </c>
      <c r="J68" s="100" t="s">
        <v>140</v>
      </c>
      <c r="K68" s="47">
        <v>0</v>
      </c>
      <c r="L68" s="102">
        <v>39169</v>
      </c>
      <c r="M68" s="100">
        <v>22.600001919049138</v>
      </c>
      <c r="N68" s="100"/>
      <c r="O68" s="100"/>
      <c r="P68" s="100"/>
      <c r="Q68" s="100" t="s">
        <v>143</v>
      </c>
      <c r="R68" s="103"/>
      <c r="S68" s="100"/>
      <c r="T68" s="100"/>
      <c r="U68" s="100"/>
      <c r="V68" s="100"/>
      <c r="W68" s="100"/>
      <c r="X68" s="100"/>
      <c r="Y68" s="100"/>
      <c r="Z68" s="100"/>
      <c r="AA68" s="100"/>
      <c r="AB68" s="47"/>
      <c r="AC68" s="100"/>
      <c r="AD68" s="100"/>
      <c r="AE68" s="100"/>
      <c r="AF68" s="71"/>
      <c r="AG68" s="71"/>
    </row>
    <row r="69" spans="1:33" ht="14.25" customHeight="1" x14ac:dyDescent="0.3">
      <c r="A69" s="100" t="s">
        <v>23</v>
      </c>
      <c r="B69" s="101" t="s">
        <v>137</v>
      </c>
      <c r="C69" s="47">
        <v>2169</v>
      </c>
      <c r="D69" s="100"/>
      <c r="E69" s="47">
        <v>1</v>
      </c>
      <c r="F69" s="100"/>
      <c r="G69" s="100"/>
      <c r="H69" s="100" t="s">
        <v>35</v>
      </c>
      <c r="I69" s="100" t="s">
        <v>36</v>
      </c>
      <c r="J69" s="100" t="s">
        <v>37</v>
      </c>
      <c r="K69" s="47">
        <v>0</v>
      </c>
      <c r="L69" s="102">
        <v>39169</v>
      </c>
      <c r="M69" s="100">
        <v>27.215495268714104</v>
      </c>
      <c r="N69" s="100"/>
      <c r="O69" s="100"/>
      <c r="P69" s="100"/>
      <c r="Q69" s="100" t="s">
        <v>28</v>
      </c>
      <c r="R69" s="103" t="s">
        <v>146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47"/>
      <c r="AC69" s="100"/>
      <c r="AD69" s="100"/>
      <c r="AE69" s="100"/>
      <c r="AF69" s="71" t="s">
        <v>622</v>
      </c>
      <c r="AG69" s="71"/>
    </row>
    <row r="70" spans="1:33" ht="14.25" customHeight="1" x14ac:dyDescent="0.3">
      <c r="A70" s="100" t="s">
        <v>23</v>
      </c>
      <c r="B70" s="101" t="s">
        <v>137</v>
      </c>
      <c r="C70" s="47">
        <v>2173</v>
      </c>
      <c r="D70" s="100"/>
      <c r="E70" s="47">
        <v>1</v>
      </c>
      <c r="F70" s="100"/>
      <c r="G70" s="100"/>
      <c r="H70" s="100" t="s">
        <v>106</v>
      </c>
      <c r="I70" s="100"/>
      <c r="J70" s="100"/>
      <c r="K70" s="47">
        <v>0</v>
      </c>
      <c r="L70" s="102">
        <v>39169</v>
      </c>
      <c r="M70" s="100">
        <v>12.732395447351628</v>
      </c>
      <c r="N70" s="100"/>
      <c r="O70" s="100"/>
      <c r="P70" s="100"/>
      <c r="Q70" s="100" t="s">
        <v>160</v>
      </c>
      <c r="R70" s="103" t="s">
        <v>161</v>
      </c>
      <c r="S70" s="100"/>
      <c r="T70" s="100"/>
      <c r="U70" s="100"/>
      <c r="V70" s="100"/>
      <c r="W70" s="100"/>
      <c r="X70" s="100"/>
      <c r="Y70" s="100"/>
      <c r="Z70" s="100"/>
      <c r="AA70" s="100"/>
      <c r="AB70" s="47"/>
      <c r="AC70" s="100"/>
      <c r="AD70" s="100"/>
      <c r="AE70" s="100"/>
      <c r="AF70" s="71"/>
      <c r="AG70" s="71"/>
    </row>
    <row r="71" spans="1:33" ht="14.25" customHeight="1" x14ac:dyDescent="0.3">
      <c r="A71" s="100" t="s">
        <v>23</v>
      </c>
      <c r="B71" s="101" t="s">
        <v>137</v>
      </c>
      <c r="C71" s="47">
        <v>2174</v>
      </c>
      <c r="D71" s="100"/>
      <c r="E71" s="47">
        <v>1</v>
      </c>
      <c r="F71" s="100"/>
      <c r="G71" s="100"/>
      <c r="H71" s="100" t="s">
        <v>25</v>
      </c>
      <c r="I71" s="100" t="s">
        <v>55</v>
      </c>
      <c r="J71" s="100" t="s">
        <v>56</v>
      </c>
      <c r="K71" s="47">
        <v>0</v>
      </c>
      <c r="L71" s="102">
        <v>39169</v>
      </c>
      <c r="M71" s="100">
        <v>28.329579870357371</v>
      </c>
      <c r="N71" s="100"/>
      <c r="O71" s="100"/>
      <c r="P71" s="100"/>
      <c r="Q71" s="100" t="s">
        <v>28</v>
      </c>
      <c r="R71" s="103"/>
      <c r="S71" s="100"/>
      <c r="T71" s="100"/>
      <c r="U71" s="100"/>
      <c r="V71" s="100"/>
      <c r="W71" s="100"/>
      <c r="X71" s="100"/>
      <c r="Y71" s="100"/>
      <c r="Z71" s="100"/>
      <c r="AA71" s="100"/>
      <c r="AB71" s="47"/>
      <c r="AC71" s="100"/>
      <c r="AD71" s="100"/>
      <c r="AE71" s="100"/>
      <c r="AF71" s="71"/>
      <c r="AG71" s="71"/>
    </row>
    <row r="72" spans="1:33" ht="14.25" customHeight="1" x14ac:dyDescent="0.3">
      <c r="A72" s="100" t="s">
        <v>23</v>
      </c>
      <c r="B72" s="101" t="s">
        <v>137</v>
      </c>
      <c r="C72" s="47">
        <v>2181</v>
      </c>
      <c r="D72" s="100"/>
      <c r="E72" s="47">
        <v>1</v>
      </c>
      <c r="F72" s="100"/>
      <c r="G72" s="100"/>
      <c r="H72" s="100" t="s">
        <v>51</v>
      </c>
      <c r="I72" s="100" t="s">
        <v>170</v>
      </c>
      <c r="J72" s="100" t="s">
        <v>171</v>
      </c>
      <c r="K72" s="47">
        <v>0</v>
      </c>
      <c r="L72" s="102">
        <v>39169</v>
      </c>
      <c r="M72" s="100">
        <v>17.507043740108486</v>
      </c>
      <c r="N72" s="100"/>
      <c r="O72" s="100"/>
      <c r="P72" s="100"/>
      <c r="Q72" s="100" t="s">
        <v>172</v>
      </c>
      <c r="R72" s="103" t="s">
        <v>173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47"/>
      <c r="AC72" s="100"/>
      <c r="AD72" s="100"/>
      <c r="AE72" s="100"/>
      <c r="AF72" s="71"/>
      <c r="AG72" s="71"/>
    </row>
    <row r="73" spans="1:33" s="59" customFormat="1" ht="14.4" x14ac:dyDescent="0.3">
      <c r="A73" s="81" t="s">
        <v>23</v>
      </c>
      <c r="B73" s="117" t="s">
        <v>137</v>
      </c>
      <c r="C73" s="50">
        <v>2190</v>
      </c>
      <c r="D73" s="114">
        <v>8899</v>
      </c>
      <c r="E73" s="50">
        <v>1</v>
      </c>
      <c r="F73" s="81"/>
      <c r="G73" s="81"/>
      <c r="H73" s="81" t="s">
        <v>206</v>
      </c>
      <c r="I73" s="81" t="s">
        <v>207</v>
      </c>
      <c r="J73" s="81" t="s">
        <v>208</v>
      </c>
      <c r="K73" s="50">
        <v>0</v>
      </c>
      <c r="L73" s="118">
        <v>39169</v>
      </c>
      <c r="M73" s="81">
        <v>14.00563499208679</v>
      </c>
      <c r="N73" s="81"/>
      <c r="O73" s="81"/>
      <c r="P73" s="81"/>
      <c r="Q73" s="81" t="s">
        <v>209</v>
      </c>
      <c r="R73" s="119" t="s">
        <v>210</v>
      </c>
      <c r="S73" s="81">
        <v>1</v>
      </c>
      <c r="T73" s="81">
        <v>1</v>
      </c>
      <c r="U73" s="81">
        <v>1</v>
      </c>
      <c r="V73" s="81"/>
      <c r="W73" s="81"/>
      <c r="X73" s="115">
        <v>45692</v>
      </c>
      <c r="Y73" s="120">
        <v>18.5</v>
      </c>
      <c r="Z73" s="120">
        <v>13.1</v>
      </c>
      <c r="AA73" s="81"/>
      <c r="AB73" s="50" t="s">
        <v>34</v>
      </c>
      <c r="AC73" s="81"/>
      <c r="AD73" s="81"/>
      <c r="AE73" s="81">
        <v>3</v>
      </c>
      <c r="AF73" s="159" t="s">
        <v>621</v>
      </c>
      <c r="AG73" s="159"/>
    </row>
    <row r="74" spans="1:33" ht="14.25" customHeight="1" x14ac:dyDescent="0.3">
      <c r="A74" s="100" t="s">
        <v>23</v>
      </c>
      <c r="B74" s="101" t="s">
        <v>137</v>
      </c>
      <c r="C74" s="47">
        <v>2192</v>
      </c>
      <c r="D74" s="100"/>
      <c r="E74" s="47">
        <v>1</v>
      </c>
      <c r="F74" s="100"/>
      <c r="G74" s="100"/>
      <c r="H74" s="100" t="s">
        <v>46</v>
      </c>
      <c r="I74" s="100" t="s">
        <v>174</v>
      </c>
      <c r="J74" s="100" t="s">
        <v>212</v>
      </c>
      <c r="K74" s="47">
        <v>0</v>
      </c>
      <c r="L74" s="102">
        <v>39169</v>
      </c>
      <c r="M74" s="100">
        <v>73.211273822271863</v>
      </c>
      <c r="N74" s="100"/>
      <c r="O74" s="100"/>
      <c r="P74" s="100"/>
      <c r="Q74" s="100" t="s">
        <v>213</v>
      </c>
      <c r="R74" s="103"/>
      <c r="S74" s="100"/>
      <c r="T74" s="100"/>
      <c r="U74" s="100"/>
      <c r="V74" s="100"/>
      <c r="W74" s="100">
        <v>1</v>
      </c>
      <c r="X74" s="104">
        <v>45692</v>
      </c>
      <c r="Y74" s="100"/>
      <c r="Z74" s="100"/>
      <c r="AA74" s="100"/>
      <c r="AB74" s="47"/>
      <c r="AC74" s="100"/>
      <c r="AD74" s="100"/>
      <c r="AE74" s="100"/>
      <c r="AF74" s="71" t="s">
        <v>214</v>
      </c>
      <c r="AG74" s="71"/>
    </row>
    <row r="75" spans="1:33" ht="14.25" customHeight="1" x14ac:dyDescent="0.3">
      <c r="A75" s="100" t="s">
        <v>23</v>
      </c>
      <c r="B75" s="101" t="s">
        <v>137</v>
      </c>
      <c r="C75" s="47">
        <v>2196</v>
      </c>
      <c r="D75" s="100"/>
      <c r="E75" s="47">
        <v>1</v>
      </c>
      <c r="F75" s="100"/>
      <c r="G75" s="100"/>
      <c r="H75" s="100" t="s">
        <v>191</v>
      </c>
      <c r="I75" s="100" t="s">
        <v>192</v>
      </c>
      <c r="J75" s="100" t="s">
        <v>193</v>
      </c>
      <c r="K75" s="47">
        <v>0</v>
      </c>
      <c r="L75" s="102">
        <v>39169</v>
      </c>
      <c r="M75" s="100">
        <v>36.287327024952141</v>
      </c>
      <c r="N75" s="100"/>
      <c r="O75" s="100"/>
      <c r="P75" s="100"/>
      <c r="Q75" s="100" t="s">
        <v>28</v>
      </c>
      <c r="R75" s="103"/>
      <c r="S75" s="100"/>
      <c r="T75" s="100"/>
      <c r="U75" s="100"/>
      <c r="V75" s="100"/>
      <c r="W75" s="100"/>
      <c r="X75" s="104"/>
      <c r="Y75" s="100"/>
      <c r="Z75" s="100"/>
      <c r="AA75" s="100"/>
      <c r="AB75" s="47"/>
      <c r="AC75" s="100"/>
      <c r="AD75" s="100"/>
      <c r="AE75" s="100"/>
      <c r="AF75" s="71"/>
      <c r="AG75" s="71"/>
    </row>
    <row r="76" spans="1:33" ht="14.25" customHeight="1" x14ac:dyDescent="0.3">
      <c r="A76" s="100" t="s">
        <v>23</v>
      </c>
      <c r="B76" s="101" t="s">
        <v>137</v>
      </c>
      <c r="C76" s="47">
        <v>2197</v>
      </c>
      <c r="D76" s="100">
        <v>8894</v>
      </c>
      <c r="E76" s="47">
        <v>1</v>
      </c>
      <c r="F76" s="100"/>
      <c r="G76" s="100"/>
      <c r="H76" s="100" t="s">
        <v>149</v>
      </c>
      <c r="I76" s="100" t="s">
        <v>222</v>
      </c>
      <c r="J76" s="100" t="s">
        <v>223</v>
      </c>
      <c r="K76" s="47">
        <v>0</v>
      </c>
      <c r="L76" s="102">
        <v>39169</v>
      </c>
      <c r="M76" s="100">
        <v>33.104228163114229</v>
      </c>
      <c r="N76" s="100"/>
      <c r="O76" s="100"/>
      <c r="P76" s="100"/>
      <c r="Q76" s="100" t="s">
        <v>157</v>
      </c>
      <c r="R76" s="103" t="s">
        <v>224</v>
      </c>
      <c r="S76" s="100">
        <v>1</v>
      </c>
      <c r="T76" s="100">
        <v>1</v>
      </c>
      <c r="U76" s="100">
        <v>1</v>
      </c>
      <c r="V76" s="100"/>
      <c r="W76" s="100"/>
      <c r="X76" s="104">
        <v>45692</v>
      </c>
      <c r="Y76" s="100">
        <v>40.200000000000003</v>
      </c>
      <c r="Z76" s="100">
        <v>23</v>
      </c>
      <c r="AA76" s="100"/>
      <c r="AB76" s="47" t="s">
        <v>34</v>
      </c>
      <c r="AC76" s="100"/>
      <c r="AD76" s="100"/>
      <c r="AE76" s="100">
        <v>3</v>
      </c>
      <c r="AF76" s="71" t="s">
        <v>620</v>
      </c>
      <c r="AG76" s="71"/>
    </row>
    <row r="77" spans="1:33" ht="14.25" customHeight="1" x14ac:dyDescent="0.3">
      <c r="A77" s="100" t="s">
        <v>23</v>
      </c>
      <c r="B77" s="101" t="s">
        <v>137</v>
      </c>
      <c r="C77" s="47">
        <v>2198</v>
      </c>
      <c r="D77" s="100"/>
      <c r="E77" s="47">
        <v>1</v>
      </c>
      <c r="F77" s="100"/>
      <c r="G77" s="100"/>
      <c r="H77" s="100" t="s">
        <v>51</v>
      </c>
      <c r="I77" s="100" t="s">
        <v>52</v>
      </c>
      <c r="J77" s="100" t="s">
        <v>225</v>
      </c>
      <c r="K77" s="47">
        <v>0</v>
      </c>
      <c r="L77" s="102">
        <v>39169</v>
      </c>
      <c r="M77" s="100">
        <v>23.077466748324824</v>
      </c>
      <c r="N77" s="100"/>
      <c r="O77" s="100"/>
      <c r="P77" s="100"/>
      <c r="Q77" s="100" t="s">
        <v>226</v>
      </c>
      <c r="R77" s="103" t="s">
        <v>227</v>
      </c>
      <c r="S77" s="100"/>
      <c r="T77" s="100"/>
      <c r="U77" s="100"/>
      <c r="V77" s="100"/>
      <c r="W77" s="100"/>
      <c r="X77" s="100"/>
      <c r="Y77" s="100"/>
      <c r="Z77" s="100"/>
      <c r="AA77" s="100"/>
      <c r="AB77" s="47"/>
      <c r="AC77" s="100"/>
      <c r="AD77" s="100"/>
      <c r="AE77" s="100"/>
      <c r="AF77" s="71"/>
      <c r="AG77" s="71"/>
    </row>
    <row r="78" spans="1:33" ht="14.25" customHeight="1" x14ac:dyDescent="0.3">
      <c r="A78" s="100" t="s">
        <v>23</v>
      </c>
      <c r="B78" s="121" t="s">
        <v>233</v>
      </c>
      <c r="C78" s="47">
        <v>2220</v>
      </c>
      <c r="D78" s="100">
        <v>3622</v>
      </c>
      <c r="E78" s="47">
        <v>1</v>
      </c>
      <c r="F78" s="47">
        <v>0</v>
      </c>
      <c r="G78" s="47">
        <v>0</v>
      </c>
      <c r="H78" s="100" t="s">
        <v>72</v>
      </c>
      <c r="I78" s="67" t="s">
        <v>269</v>
      </c>
      <c r="J78" s="67" t="s">
        <v>270</v>
      </c>
      <c r="K78" s="47">
        <v>1</v>
      </c>
      <c r="L78" s="122">
        <v>39406</v>
      </c>
      <c r="M78" s="123">
        <v>23.25</v>
      </c>
      <c r="N78" s="122">
        <v>40660</v>
      </c>
      <c r="O78" s="124">
        <v>23.25</v>
      </c>
      <c r="P78" s="47">
        <v>9.1</v>
      </c>
      <c r="Q78" s="47"/>
      <c r="R78" s="47">
        <v>3892</v>
      </c>
      <c r="S78" s="100">
        <v>1</v>
      </c>
      <c r="T78" s="100">
        <v>1</v>
      </c>
      <c r="U78" s="100">
        <v>1</v>
      </c>
      <c r="V78" s="100"/>
      <c r="W78" s="100"/>
      <c r="X78" s="104">
        <v>45694</v>
      </c>
      <c r="Y78" s="100">
        <v>23.26</v>
      </c>
      <c r="Z78" s="100">
        <v>7</v>
      </c>
      <c r="AA78" s="100"/>
      <c r="AB78" s="47" t="s">
        <v>45</v>
      </c>
      <c r="AC78" s="100"/>
      <c r="AD78" s="100"/>
      <c r="AE78" s="100"/>
      <c r="AF78" s="71" t="s">
        <v>623</v>
      </c>
      <c r="AG78" s="71"/>
    </row>
    <row r="79" spans="1:33" ht="14.25" customHeight="1" x14ac:dyDescent="0.3">
      <c r="A79" s="100" t="s">
        <v>23</v>
      </c>
      <c r="B79" s="121" t="s">
        <v>233</v>
      </c>
      <c r="C79" s="47">
        <v>2218</v>
      </c>
      <c r="D79" s="100">
        <v>3623</v>
      </c>
      <c r="E79" s="47">
        <v>1</v>
      </c>
      <c r="F79" s="47">
        <v>0</v>
      </c>
      <c r="G79" s="47">
        <v>0</v>
      </c>
      <c r="H79" s="100" t="s">
        <v>112</v>
      </c>
      <c r="I79" s="67" t="s">
        <v>113</v>
      </c>
      <c r="J79" s="67" t="s">
        <v>266</v>
      </c>
      <c r="K79" s="47">
        <v>1</v>
      </c>
      <c r="L79" s="122">
        <v>39406</v>
      </c>
      <c r="M79" s="123">
        <v>14.36</v>
      </c>
      <c r="N79" s="122">
        <v>40660</v>
      </c>
      <c r="O79" s="124">
        <v>15.73</v>
      </c>
      <c r="P79" s="47">
        <v>16.899999999999999</v>
      </c>
      <c r="Q79" s="47"/>
      <c r="R79" s="47">
        <v>3882</v>
      </c>
      <c r="S79" s="100">
        <v>1</v>
      </c>
      <c r="T79" s="100">
        <v>1</v>
      </c>
      <c r="U79" s="100">
        <v>1</v>
      </c>
      <c r="V79" s="100"/>
      <c r="W79" s="100"/>
      <c r="X79" s="104">
        <v>45694</v>
      </c>
      <c r="Y79" s="100">
        <v>18.100000000000001</v>
      </c>
      <c r="Z79" s="100">
        <v>22</v>
      </c>
      <c r="AA79" s="100"/>
      <c r="AB79" s="47" t="s">
        <v>45</v>
      </c>
      <c r="AC79" s="100"/>
      <c r="AD79" s="100"/>
      <c r="AE79" s="100"/>
      <c r="AF79" s="71"/>
      <c r="AG79" s="71"/>
    </row>
    <row r="80" spans="1:33" ht="14.25" customHeight="1" x14ac:dyDescent="0.3">
      <c r="A80" s="100" t="s">
        <v>23</v>
      </c>
      <c r="B80" s="121" t="s">
        <v>233</v>
      </c>
      <c r="C80" s="47">
        <v>2217</v>
      </c>
      <c r="D80" s="100">
        <v>3624</v>
      </c>
      <c r="E80" s="47">
        <v>1</v>
      </c>
      <c r="F80" s="47">
        <v>0</v>
      </c>
      <c r="G80" s="47">
        <v>0</v>
      </c>
      <c r="H80" s="100" t="s">
        <v>25</v>
      </c>
      <c r="I80" s="67" t="s">
        <v>26</v>
      </c>
      <c r="J80" s="67" t="s">
        <v>265</v>
      </c>
      <c r="K80" s="47">
        <v>1</v>
      </c>
      <c r="L80" s="122">
        <v>39406</v>
      </c>
      <c r="M80" s="123">
        <v>15.37</v>
      </c>
      <c r="N80" s="122">
        <v>40660</v>
      </c>
      <c r="O80" s="124">
        <v>15.39</v>
      </c>
      <c r="P80" s="47">
        <v>15.1</v>
      </c>
      <c r="Q80" s="47"/>
      <c r="R80" s="47">
        <v>3881</v>
      </c>
      <c r="S80" s="100">
        <v>1</v>
      </c>
      <c r="T80" s="100">
        <v>1</v>
      </c>
      <c r="U80" s="100">
        <v>1</v>
      </c>
      <c r="V80" s="100"/>
      <c r="W80" s="100"/>
      <c r="X80" s="104">
        <v>45694</v>
      </c>
      <c r="Y80" s="100">
        <v>16.399999999999999</v>
      </c>
      <c r="Z80" s="100">
        <v>17.3</v>
      </c>
      <c r="AA80" s="100"/>
      <c r="AB80" s="47" t="s">
        <v>45</v>
      </c>
      <c r="AC80" s="100"/>
      <c r="AD80" s="100"/>
      <c r="AE80" s="100">
        <v>3</v>
      </c>
      <c r="AF80" s="71"/>
      <c r="AG80" s="71"/>
    </row>
    <row r="81" spans="1:33" s="59" customFormat="1" ht="14.25" customHeight="1" x14ac:dyDescent="0.3">
      <c r="A81" s="125" t="s">
        <v>23</v>
      </c>
      <c r="B81" s="126" t="s">
        <v>233</v>
      </c>
      <c r="C81" s="48"/>
      <c r="D81" s="125">
        <v>3625</v>
      </c>
      <c r="E81" s="48"/>
      <c r="F81" s="48"/>
      <c r="G81" s="48"/>
      <c r="H81" s="125" t="s">
        <v>135</v>
      </c>
      <c r="I81" s="127"/>
      <c r="J81" s="127"/>
      <c r="K81" s="48"/>
      <c r="L81" s="128"/>
      <c r="M81" s="129"/>
      <c r="N81" s="128"/>
      <c r="O81" s="130"/>
      <c r="P81" s="48"/>
      <c r="Q81" s="48"/>
      <c r="R81" s="48"/>
      <c r="S81" s="125"/>
      <c r="T81" s="81"/>
      <c r="U81" s="81">
        <v>1</v>
      </c>
      <c r="V81" s="125"/>
      <c r="W81" s="125"/>
      <c r="X81" s="131">
        <v>45694</v>
      </c>
      <c r="Y81" s="125">
        <v>35</v>
      </c>
      <c r="Z81" s="125">
        <v>24.8</v>
      </c>
      <c r="AA81" s="125"/>
      <c r="AB81" s="48" t="s">
        <v>45</v>
      </c>
      <c r="AC81" s="125"/>
      <c r="AD81" s="125"/>
      <c r="AE81" s="125">
        <v>2</v>
      </c>
      <c r="AF81" s="161" t="s">
        <v>629</v>
      </c>
      <c r="AG81" s="161"/>
    </row>
    <row r="82" spans="1:33" s="59" customFormat="1" ht="14.25" customHeight="1" x14ac:dyDescent="0.3">
      <c r="A82" s="76" t="s">
        <v>23</v>
      </c>
      <c r="B82" s="132" t="s">
        <v>233</v>
      </c>
      <c r="C82" s="76"/>
      <c r="D82" s="76">
        <v>3626</v>
      </c>
      <c r="E82" s="76"/>
      <c r="F82" s="76"/>
      <c r="G82" s="76"/>
      <c r="H82" s="76" t="s">
        <v>51</v>
      </c>
      <c r="I82" s="133"/>
      <c r="J82" s="133"/>
      <c r="K82" s="76"/>
      <c r="L82" s="76"/>
      <c r="M82" s="76"/>
      <c r="N82" s="76"/>
      <c r="O82" s="76"/>
      <c r="P82" s="76"/>
      <c r="Q82" s="76"/>
      <c r="R82" s="76"/>
      <c r="S82" s="76"/>
      <c r="T82" s="81"/>
      <c r="U82" s="81">
        <v>1</v>
      </c>
      <c r="V82" s="76"/>
      <c r="W82" s="76"/>
      <c r="X82" s="82">
        <v>45694</v>
      </c>
      <c r="Y82" s="76">
        <v>27.5</v>
      </c>
      <c r="Z82" s="76">
        <v>18</v>
      </c>
      <c r="AA82" s="76"/>
      <c r="AB82" s="49" t="s">
        <v>45</v>
      </c>
      <c r="AC82" s="76"/>
      <c r="AD82" s="76"/>
      <c r="AE82" s="76"/>
      <c r="AF82" s="75" t="s">
        <v>694</v>
      </c>
      <c r="AG82" s="75"/>
    </row>
    <row r="83" spans="1:33" s="59" customFormat="1" ht="40.200000000000003" x14ac:dyDescent="0.3">
      <c r="A83" s="76" t="s">
        <v>23</v>
      </c>
      <c r="B83" s="132" t="s">
        <v>233</v>
      </c>
      <c r="C83" s="76"/>
      <c r="D83" s="106">
        <v>3627</v>
      </c>
      <c r="E83" s="76"/>
      <c r="F83" s="76"/>
      <c r="G83" s="76"/>
      <c r="H83" s="76" t="s">
        <v>138</v>
      </c>
      <c r="I83" s="76" t="s">
        <v>139</v>
      </c>
      <c r="J83" s="76"/>
      <c r="K83" s="76"/>
      <c r="L83" s="76"/>
      <c r="M83" s="76"/>
      <c r="N83" s="76"/>
      <c r="O83" s="76"/>
      <c r="P83" s="76"/>
      <c r="Q83" s="76"/>
      <c r="R83" s="76"/>
      <c r="S83" s="81">
        <v>1</v>
      </c>
      <c r="T83" s="81">
        <v>1</v>
      </c>
      <c r="U83" s="81">
        <v>1</v>
      </c>
      <c r="V83" s="76"/>
      <c r="W83" s="76"/>
      <c r="X83" s="82">
        <v>45695</v>
      </c>
      <c r="Y83" s="76">
        <v>10.9</v>
      </c>
      <c r="Z83" s="76">
        <v>10.5</v>
      </c>
      <c r="AA83" s="76"/>
      <c r="AB83" s="49" t="s">
        <v>45</v>
      </c>
      <c r="AC83" s="76"/>
      <c r="AD83" s="76"/>
      <c r="AE83" s="76"/>
      <c r="AF83" s="75" t="s">
        <v>699</v>
      </c>
      <c r="AG83" s="75"/>
    </row>
    <row r="84" spans="1:33" ht="14.25" customHeight="1" x14ac:dyDescent="0.3">
      <c r="A84" s="100" t="s">
        <v>23</v>
      </c>
      <c r="B84" s="121" t="s">
        <v>233</v>
      </c>
      <c r="C84" s="47">
        <v>2216</v>
      </c>
      <c r="D84" s="100">
        <v>3660</v>
      </c>
      <c r="E84" s="47">
        <v>1</v>
      </c>
      <c r="F84" s="47">
        <v>0</v>
      </c>
      <c r="G84" s="47">
        <v>0</v>
      </c>
      <c r="H84" s="100" t="s">
        <v>25</v>
      </c>
      <c r="I84" s="67" t="s">
        <v>55</v>
      </c>
      <c r="J84" s="67" t="s">
        <v>56</v>
      </c>
      <c r="K84" s="47">
        <v>1</v>
      </c>
      <c r="L84" s="122">
        <v>39406</v>
      </c>
      <c r="M84" s="123">
        <v>14.56</v>
      </c>
      <c r="N84" s="122">
        <v>40660</v>
      </c>
      <c r="O84" s="124">
        <v>14.77</v>
      </c>
      <c r="P84" s="47">
        <v>12.2</v>
      </c>
      <c r="Q84" s="47"/>
      <c r="R84" s="47"/>
      <c r="S84" s="100"/>
      <c r="T84" s="100"/>
      <c r="U84" s="100">
        <v>1</v>
      </c>
      <c r="V84" s="100"/>
      <c r="W84" s="100"/>
      <c r="X84" s="104">
        <v>45694</v>
      </c>
      <c r="Y84" s="100">
        <v>16.3</v>
      </c>
      <c r="Z84" s="100">
        <v>15</v>
      </c>
      <c r="AA84" s="100"/>
      <c r="AB84" s="47" t="s">
        <v>83</v>
      </c>
      <c r="AC84" s="100"/>
      <c r="AD84" s="100"/>
      <c r="AE84" s="100"/>
      <c r="AF84" s="71" t="s">
        <v>624</v>
      </c>
      <c r="AG84" s="71"/>
    </row>
    <row r="85" spans="1:33" ht="14.25" customHeight="1" x14ac:dyDescent="0.3">
      <c r="A85" s="100" t="s">
        <v>23</v>
      </c>
      <c r="B85" s="121" t="s">
        <v>233</v>
      </c>
      <c r="C85" s="47">
        <v>2224</v>
      </c>
      <c r="D85" s="100">
        <v>3629</v>
      </c>
      <c r="E85" s="47">
        <v>1</v>
      </c>
      <c r="F85" s="47">
        <v>0</v>
      </c>
      <c r="G85" s="47">
        <v>0</v>
      </c>
      <c r="H85" s="100" t="s">
        <v>138</v>
      </c>
      <c r="I85" s="67" t="s">
        <v>272</v>
      </c>
      <c r="J85" s="67" t="s">
        <v>273</v>
      </c>
      <c r="K85" s="47">
        <v>1</v>
      </c>
      <c r="L85" s="122">
        <v>39406</v>
      </c>
      <c r="M85" s="123">
        <v>15.51</v>
      </c>
      <c r="N85" s="122">
        <v>40660</v>
      </c>
      <c r="O85" s="116">
        <v>16.5</v>
      </c>
      <c r="P85" s="47">
        <v>16.8</v>
      </c>
      <c r="Q85" s="47"/>
      <c r="R85" s="47">
        <v>3885</v>
      </c>
      <c r="S85" s="100">
        <v>1</v>
      </c>
      <c r="T85" s="100">
        <v>1</v>
      </c>
      <c r="U85" s="100">
        <v>1</v>
      </c>
      <c r="V85" s="100"/>
      <c r="W85" s="100"/>
      <c r="X85" s="104">
        <v>45694</v>
      </c>
      <c r="Y85" s="100">
        <v>16.5</v>
      </c>
      <c r="Z85" s="100">
        <v>14.1</v>
      </c>
      <c r="AA85" s="100"/>
      <c r="AB85" s="47" t="s">
        <v>45</v>
      </c>
      <c r="AC85" s="100"/>
      <c r="AD85" s="100"/>
      <c r="AE85" s="100">
        <v>3</v>
      </c>
      <c r="AF85" s="71" t="s">
        <v>625</v>
      </c>
      <c r="AG85" s="71"/>
    </row>
    <row r="86" spans="1:33" ht="14.25" customHeight="1" x14ac:dyDescent="0.3">
      <c r="A86" s="100" t="s">
        <v>23</v>
      </c>
      <c r="B86" s="121" t="s">
        <v>233</v>
      </c>
      <c r="C86" s="47">
        <v>2225</v>
      </c>
      <c r="D86" s="100">
        <v>3630</v>
      </c>
      <c r="E86" s="47">
        <v>1</v>
      </c>
      <c r="F86" s="47">
        <v>0</v>
      </c>
      <c r="G86" s="47">
        <v>0</v>
      </c>
      <c r="H86" s="100" t="s">
        <v>237</v>
      </c>
      <c r="I86" s="67" t="s">
        <v>38</v>
      </c>
      <c r="J86" s="100" t="s">
        <v>652</v>
      </c>
      <c r="K86" s="47">
        <v>1</v>
      </c>
      <c r="L86" s="122">
        <v>39406</v>
      </c>
      <c r="M86" s="123">
        <v>22.72</v>
      </c>
      <c r="N86" s="122">
        <v>40660</v>
      </c>
      <c r="O86" s="124">
        <v>22.72</v>
      </c>
      <c r="P86" s="47">
        <v>16.7</v>
      </c>
      <c r="Q86" s="47"/>
      <c r="R86" s="47"/>
      <c r="S86" s="100"/>
      <c r="T86" s="100"/>
      <c r="U86" s="100">
        <v>1</v>
      </c>
      <c r="V86" s="100"/>
      <c r="W86" s="100"/>
      <c r="X86" s="104">
        <v>45694</v>
      </c>
      <c r="Y86" s="100">
        <v>23.11</v>
      </c>
      <c r="Z86" s="100">
        <v>18</v>
      </c>
      <c r="AA86" s="100"/>
      <c r="AB86" s="47" t="s">
        <v>45</v>
      </c>
      <c r="AC86" s="100"/>
      <c r="AD86" s="100"/>
      <c r="AE86" s="100"/>
      <c r="AF86" s="71" t="s">
        <v>626</v>
      </c>
      <c r="AG86" s="71"/>
    </row>
    <row r="87" spans="1:33" ht="14.25" customHeight="1" x14ac:dyDescent="0.3">
      <c r="A87" s="100" t="s">
        <v>23</v>
      </c>
      <c r="B87" s="121" t="s">
        <v>233</v>
      </c>
      <c r="C87" s="47">
        <v>2246</v>
      </c>
      <c r="D87" s="100">
        <v>3631</v>
      </c>
      <c r="E87" s="47">
        <v>1</v>
      </c>
      <c r="F87" s="47">
        <v>0</v>
      </c>
      <c r="G87" s="47">
        <v>0</v>
      </c>
      <c r="H87" s="100" t="s">
        <v>51</v>
      </c>
      <c r="I87" s="67" t="s">
        <v>643</v>
      </c>
      <c r="J87" s="67" t="s">
        <v>295</v>
      </c>
      <c r="K87" s="47">
        <v>1</v>
      </c>
      <c r="L87" s="122">
        <v>39406</v>
      </c>
      <c r="M87" s="123">
        <v>23.3</v>
      </c>
      <c r="N87" s="122">
        <v>40660</v>
      </c>
      <c r="O87" s="124">
        <v>23.59</v>
      </c>
      <c r="P87" s="47">
        <v>22</v>
      </c>
      <c r="Q87" s="47"/>
      <c r="R87" s="47">
        <v>3903</v>
      </c>
      <c r="S87" s="100">
        <v>1</v>
      </c>
      <c r="T87" s="100">
        <v>1</v>
      </c>
      <c r="U87" s="100">
        <v>1</v>
      </c>
      <c r="V87" s="100"/>
      <c r="W87" s="100"/>
      <c r="X87" s="104">
        <v>45694</v>
      </c>
      <c r="Y87" s="100">
        <v>28.2</v>
      </c>
      <c r="Z87" s="100">
        <v>22</v>
      </c>
      <c r="AA87" s="100"/>
      <c r="AB87" s="47" t="s">
        <v>34</v>
      </c>
      <c r="AC87" s="100"/>
      <c r="AD87" s="100"/>
      <c r="AE87" s="100"/>
      <c r="AF87" s="71"/>
      <c r="AG87" s="71" t="s">
        <v>642</v>
      </c>
    </row>
    <row r="88" spans="1:33" s="59" customFormat="1" ht="66.599999999999994" x14ac:dyDescent="0.3">
      <c r="A88" s="81" t="s">
        <v>23</v>
      </c>
      <c r="B88" s="134" t="s">
        <v>233</v>
      </c>
      <c r="C88" s="81"/>
      <c r="D88" s="81">
        <v>3632</v>
      </c>
      <c r="E88" s="81"/>
      <c r="F88" s="81"/>
      <c r="G88" s="81"/>
      <c r="H88" s="81" t="s">
        <v>149</v>
      </c>
      <c r="I88" s="81" t="s">
        <v>228</v>
      </c>
      <c r="J88" s="81" t="s">
        <v>299</v>
      </c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>
        <v>1</v>
      </c>
      <c r="V88" s="81"/>
      <c r="W88" s="81"/>
      <c r="X88" s="115">
        <v>45694</v>
      </c>
      <c r="Y88" s="81">
        <v>15.13</v>
      </c>
      <c r="Z88" s="81">
        <v>15.6</v>
      </c>
      <c r="AA88" s="81"/>
      <c r="AB88" s="50" t="s">
        <v>34</v>
      </c>
      <c r="AC88" s="81"/>
      <c r="AD88" s="81"/>
      <c r="AE88" s="81"/>
      <c r="AF88" s="159" t="s">
        <v>700</v>
      </c>
      <c r="AG88" s="159"/>
    </row>
    <row r="89" spans="1:33" ht="14.25" customHeight="1" x14ac:dyDescent="0.3">
      <c r="A89" s="100" t="s">
        <v>23</v>
      </c>
      <c r="B89" s="121" t="s">
        <v>233</v>
      </c>
      <c r="C89" s="47">
        <v>2242</v>
      </c>
      <c r="D89" s="100">
        <v>3633</v>
      </c>
      <c r="E89" s="47">
        <v>1</v>
      </c>
      <c r="F89" s="47">
        <v>0</v>
      </c>
      <c r="G89" s="47">
        <v>0</v>
      </c>
      <c r="H89" s="100" t="s">
        <v>39</v>
      </c>
      <c r="I89" s="67" t="s">
        <v>276</v>
      </c>
      <c r="J89" s="67" t="s">
        <v>277</v>
      </c>
      <c r="K89" s="47">
        <v>1</v>
      </c>
      <c r="L89" s="122">
        <v>39406</v>
      </c>
      <c r="M89" s="123">
        <v>19.64</v>
      </c>
      <c r="N89" s="122">
        <v>40660</v>
      </c>
      <c r="O89" s="124">
        <v>22.75</v>
      </c>
      <c r="P89" s="47">
        <v>23.4</v>
      </c>
      <c r="Q89" s="47"/>
      <c r="R89" s="47"/>
      <c r="S89" s="100"/>
      <c r="T89" s="100"/>
      <c r="U89" s="100">
        <v>1</v>
      </c>
      <c r="V89" s="100"/>
      <c r="W89" s="100"/>
      <c r="X89" s="104">
        <v>45694</v>
      </c>
      <c r="Y89" s="100">
        <v>27.9</v>
      </c>
      <c r="Z89" s="100">
        <v>25</v>
      </c>
      <c r="AA89" s="100"/>
      <c r="AB89" s="47" t="s">
        <v>34</v>
      </c>
      <c r="AC89" s="100"/>
      <c r="AD89" s="100"/>
      <c r="AE89" s="100"/>
      <c r="AF89" s="71"/>
      <c r="AG89" s="71"/>
    </row>
    <row r="90" spans="1:33" ht="14.25" customHeight="1" x14ac:dyDescent="0.3">
      <c r="A90" s="100" t="s">
        <v>23</v>
      </c>
      <c r="B90" s="121" t="s">
        <v>233</v>
      </c>
      <c r="C90" s="47">
        <v>2245</v>
      </c>
      <c r="D90" s="100">
        <v>3634</v>
      </c>
      <c r="E90" s="47">
        <v>1</v>
      </c>
      <c r="F90" s="47">
        <v>0</v>
      </c>
      <c r="G90" s="47">
        <v>0</v>
      </c>
      <c r="H90" s="100" t="s">
        <v>283</v>
      </c>
      <c r="I90" s="67" t="s">
        <v>293</v>
      </c>
      <c r="J90" s="67" t="s">
        <v>294</v>
      </c>
      <c r="K90" s="47">
        <v>1</v>
      </c>
      <c r="L90" s="122">
        <v>39406</v>
      </c>
      <c r="M90" s="123">
        <v>11.62</v>
      </c>
      <c r="N90" s="122">
        <v>40660</v>
      </c>
      <c r="O90" s="124">
        <v>11.62</v>
      </c>
      <c r="P90" s="47">
        <v>10.7</v>
      </c>
      <c r="Q90" s="47"/>
      <c r="R90" s="47">
        <v>3902</v>
      </c>
      <c r="S90" s="100">
        <v>1</v>
      </c>
      <c r="T90" s="100">
        <v>1</v>
      </c>
      <c r="U90" s="100">
        <v>1</v>
      </c>
      <c r="V90" s="100"/>
      <c r="W90" s="100"/>
      <c r="X90" s="104">
        <v>45694</v>
      </c>
      <c r="Y90" s="100">
        <v>11.8</v>
      </c>
      <c r="Z90" s="135"/>
      <c r="AA90" s="100"/>
      <c r="AB90" s="47" t="s">
        <v>34</v>
      </c>
      <c r="AC90" s="100"/>
      <c r="AD90" s="100"/>
      <c r="AE90" s="100"/>
      <c r="AF90" s="71" t="s">
        <v>627</v>
      </c>
      <c r="AG90" s="71"/>
    </row>
    <row r="91" spans="1:33" ht="14.25" customHeight="1" x14ac:dyDescent="0.3">
      <c r="A91" s="100" t="s">
        <v>23</v>
      </c>
      <c r="B91" s="121" t="s">
        <v>233</v>
      </c>
      <c r="C91" s="47">
        <v>2238</v>
      </c>
      <c r="D91" s="100">
        <v>3635</v>
      </c>
      <c r="E91" s="47">
        <v>1</v>
      </c>
      <c r="F91" s="47">
        <v>0</v>
      </c>
      <c r="G91" s="47">
        <v>0</v>
      </c>
      <c r="H91" s="100" t="s">
        <v>283</v>
      </c>
      <c r="I91" s="67" t="s">
        <v>284</v>
      </c>
      <c r="J91" s="67" t="s">
        <v>285</v>
      </c>
      <c r="K91" s="47">
        <v>1</v>
      </c>
      <c r="L91" s="122">
        <v>39406</v>
      </c>
      <c r="M91" s="123">
        <v>20.239999999999998</v>
      </c>
      <c r="N91" s="122">
        <v>40660</v>
      </c>
      <c r="O91" s="124">
        <v>20.239999999999998</v>
      </c>
      <c r="P91" s="47">
        <v>12.7</v>
      </c>
      <c r="Q91" s="47"/>
      <c r="R91" s="47">
        <v>3889</v>
      </c>
      <c r="S91" s="100">
        <v>1</v>
      </c>
      <c r="T91" s="100">
        <v>1</v>
      </c>
      <c r="U91" s="100">
        <v>1</v>
      </c>
      <c r="V91" s="100"/>
      <c r="W91" s="100"/>
      <c r="X91" s="104">
        <v>45694</v>
      </c>
      <c r="Y91" s="100">
        <v>20.5</v>
      </c>
      <c r="Z91" s="100">
        <v>17</v>
      </c>
      <c r="AA91" s="100"/>
      <c r="AB91" s="47" t="s">
        <v>34</v>
      </c>
      <c r="AC91" s="100"/>
      <c r="AD91" s="100"/>
      <c r="AE91" s="100"/>
      <c r="AF91" s="71"/>
      <c r="AG91" s="71"/>
    </row>
    <row r="92" spans="1:33" ht="14.25" customHeight="1" x14ac:dyDescent="0.3">
      <c r="A92" s="100" t="s">
        <v>23</v>
      </c>
      <c r="B92" s="121" t="s">
        <v>233</v>
      </c>
      <c r="C92" s="47">
        <v>2234</v>
      </c>
      <c r="D92" s="100">
        <v>3636</v>
      </c>
      <c r="E92" s="47">
        <v>1</v>
      </c>
      <c r="F92" s="47">
        <v>0</v>
      </c>
      <c r="G92" s="47">
        <v>1</v>
      </c>
      <c r="H92" s="100" t="s">
        <v>278</v>
      </c>
      <c r="I92" s="67" t="s">
        <v>279</v>
      </c>
      <c r="J92" s="67" t="s">
        <v>280</v>
      </c>
      <c r="K92" s="47">
        <v>1</v>
      </c>
      <c r="L92" s="122">
        <v>39406</v>
      </c>
      <c r="M92" s="123">
        <v>18.940000000000001</v>
      </c>
      <c r="N92" s="122">
        <v>40660</v>
      </c>
      <c r="O92" s="124"/>
      <c r="P92" s="47"/>
      <c r="Q92" s="47" t="s">
        <v>117</v>
      </c>
      <c r="R92" s="47"/>
      <c r="S92" s="100"/>
      <c r="T92" s="100"/>
      <c r="U92" s="100">
        <v>1</v>
      </c>
      <c r="V92" s="100"/>
      <c r="W92" s="100"/>
      <c r="X92" s="104">
        <v>45694</v>
      </c>
      <c r="Y92" s="100">
        <v>20.5</v>
      </c>
      <c r="Z92" s="135"/>
      <c r="AA92" s="100"/>
      <c r="AB92" s="47" t="s">
        <v>34</v>
      </c>
      <c r="AC92" s="100"/>
      <c r="AD92" s="100"/>
      <c r="AE92" s="100"/>
      <c r="AF92" s="71"/>
      <c r="AG92" s="71"/>
    </row>
    <row r="93" spans="1:33" ht="14.25" customHeight="1" x14ac:dyDescent="0.3">
      <c r="A93" s="100" t="s">
        <v>23</v>
      </c>
      <c r="B93" s="121" t="s">
        <v>233</v>
      </c>
      <c r="C93" s="47">
        <v>2236</v>
      </c>
      <c r="D93" s="100">
        <v>3637</v>
      </c>
      <c r="E93" s="47">
        <v>1</v>
      </c>
      <c r="F93" s="47">
        <v>0</v>
      </c>
      <c r="G93" s="47">
        <v>0</v>
      </c>
      <c r="H93" s="100" t="s">
        <v>29</v>
      </c>
      <c r="I93" s="67" t="s">
        <v>30</v>
      </c>
      <c r="J93" s="67" t="s">
        <v>31</v>
      </c>
      <c r="K93" s="47">
        <v>1</v>
      </c>
      <c r="L93" s="122">
        <v>39406</v>
      </c>
      <c r="M93" s="123">
        <v>24.25</v>
      </c>
      <c r="N93" s="122">
        <v>40660</v>
      </c>
      <c r="O93" s="124">
        <v>24.26</v>
      </c>
      <c r="P93" s="47">
        <v>15.3</v>
      </c>
      <c r="Q93" s="47"/>
      <c r="R93" s="47">
        <v>3888</v>
      </c>
      <c r="S93" s="100">
        <v>1</v>
      </c>
      <c r="T93" s="100">
        <v>1</v>
      </c>
      <c r="U93" s="100">
        <v>1</v>
      </c>
      <c r="V93" s="100"/>
      <c r="W93" s="100"/>
      <c r="X93" s="104">
        <v>45694</v>
      </c>
      <c r="Y93" s="100">
        <v>24.61</v>
      </c>
      <c r="Z93" s="100">
        <v>12</v>
      </c>
      <c r="AA93" s="100"/>
      <c r="AB93" s="47" t="s">
        <v>34</v>
      </c>
      <c r="AC93" s="100"/>
      <c r="AD93" s="100"/>
      <c r="AE93" s="100"/>
      <c r="AF93" s="71" t="s">
        <v>628</v>
      </c>
      <c r="AG93" s="71"/>
    </row>
    <row r="94" spans="1:33" ht="14.25" customHeight="1" x14ac:dyDescent="0.3">
      <c r="A94" s="100" t="s">
        <v>23</v>
      </c>
      <c r="B94" s="121" t="s">
        <v>233</v>
      </c>
      <c r="C94" s="47">
        <v>2237</v>
      </c>
      <c r="D94" s="100">
        <v>3638</v>
      </c>
      <c r="E94" s="47">
        <v>1</v>
      </c>
      <c r="F94" s="47">
        <v>0</v>
      </c>
      <c r="G94" s="47">
        <v>0</v>
      </c>
      <c r="H94" s="100" t="s">
        <v>29</v>
      </c>
      <c r="I94" s="67" t="s">
        <v>282</v>
      </c>
      <c r="J94" s="67" t="s">
        <v>64</v>
      </c>
      <c r="K94" s="47">
        <v>1</v>
      </c>
      <c r="L94" s="122">
        <v>39406</v>
      </c>
      <c r="M94" s="123">
        <v>22.92</v>
      </c>
      <c r="N94" s="122">
        <v>40660</v>
      </c>
      <c r="O94" s="124">
        <v>22.98</v>
      </c>
      <c r="P94" s="47">
        <v>17.5</v>
      </c>
      <c r="Q94" s="47"/>
      <c r="R94" s="47"/>
      <c r="S94" s="100"/>
      <c r="T94" s="100"/>
      <c r="U94" s="100">
        <v>1</v>
      </c>
      <c r="V94" s="100"/>
      <c r="W94" s="100"/>
      <c r="X94" s="104">
        <v>45694</v>
      </c>
      <c r="Y94" s="100">
        <v>26.3</v>
      </c>
      <c r="Z94" s="100">
        <v>18.8</v>
      </c>
      <c r="AA94" s="100"/>
      <c r="AB94" s="47" t="s">
        <v>34</v>
      </c>
      <c r="AC94" s="100"/>
      <c r="AD94" s="100"/>
      <c r="AE94" s="100"/>
      <c r="AF94" s="71"/>
      <c r="AG94" s="71"/>
    </row>
    <row r="95" spans="1:33" ht="14.25" customHeight="1" x14ac:dyDescent="0.3">
      <c r="A95" s="100" t="s">
        <v>23</v>
      </c>
      <c r="B95" s="121" t="s">
        <v>233</v>
      </c>
      <c r="C95" s="100"/>
      <c r="D95" s="114">
        <v>3639</v>
      </c>
      <c r="E95" s="100"/>
      <c r="F95" s="100"/>
      <c r="G95" s="100"/>
      <c r="H95" s="100" t="s">
        <v>35</v>
      </c>
      <c r="I95" s="100" t="s">
        <v>631</v>
      </c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>
        <v>1</v>
      </c>
      <c r="V95" s="100"/>
      <c r="W95" s="100"/>
      <c r="X95" s="104">
        <v>45694</v>
      </c>
      <c r="Y95" s="100">
        <v>12</v>
      </c>
      <c r="Z95" s="100">
        <v>13</v>
      </c>
      <c r="AA95" s="100">
        <v>1</v>
      </c>
      <c r="AB95" s="47" t="s">
        <v>111</v>
      </c>
      <c r="AC95" s="100"/>
      <c r="AD95" s="100"/>
      <c r="AE95" s="100">
        <v>2</v>
      </c>
      <c r="AF95" s="71" t="s">
        <v>133</v>
      </c>
      <c r="AG95" s="71"/>
    </row>
    <row r="96" spans="1:33" ht="14.25" customHeight="1" x14ac:dyDescent="0.3">
      <c r="A96" s="100" t="s">
        <v>23</v>
      </c>
      <c r="B96" s="121" t="s">
        <v>233</v>
      </c>
      <c r="C96" s="100"/>
      <c r="D96" s="114">
        <v>3640</v>
      </c>
      <c r="E96" s="100"/>
      <c r="F96" s="100"/>
      <c r="G96" s="100"/>
      <c r="H96" s="100" t="s">
        <v>166</v>
      </c>
      <c r="I96" s="100" t="s">
        <v>300</v>
      </c>
      <c r="J96" s="100" t="s">
        <v>301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>
        <v>1</v>
      </c>
      <c r="V96" s="100"/>
      <c r="W96" s="100"/>
      <c r="X96" s="104">
        <v>45694</v>
      </c>
      <c r="Y96" s="100">
        <v>10.4</v>
      </c>
      <c r="Z96" s="100">
        <v>8</v>
      </c>
      <c r="AA96" s="100">
        <v>1</v>
      </c>
      <c r="AB96" s="47" t="s">
        <v>111</v>
      </c>
      <c r="AC96" s="100"/>
      <c r="AD96" s="100"/>
      <c r="AE96" s="100">
        <v>3</v>
      </c>
      <c r="AF96" s="71" t="s">
        <v>632</v>
      </c>
    </row>
    <row r="97" spans="1:33" s="59" customFormat="1" ht="14.25" customHeight="1" x14ac:dyDescent="0.3">
      <c r="A97" s="136" t="s">
        <v>23</v>
      </c>
      <c r="B97" s="137" t="s">
        <v>233</v>
      </c>
      <c r="C97" s="136"/>
      <c r="D97" s="136">
        <v>3641</v>
      </c>
      <c r="E97" s="136"/>
      <c r="F97" s="136"/>
      <c r="G97" s="136"/>
      <c r="H97" s="136" t="s">
        <v>135</v>
      </c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81"/>
      <c r="U97" s="81">
        <v>1</v>
      </c>
      <c r="V97" s="136"/>
      <c r="W97" s="136"/>
      <c r="X97" s="138">
        <v>45694</v>
      </c>
      <c r="Y97" s="136">
        <v>14.8</v>
      </c>
      <c r="Z97" s="136">
        <v>15</v>
      </c>
      <c r="AA97" s="136"/>
      <c r="AB97" s="51" t="s">
        <v>111</v>
      </c>
      <c r="AC97" s="136"/>
      <c r="AD97" s="136"/>
      <c r="AE97" s="136"/>
      <c r="AF97" s="162" t="s">
        <v>633</v>
      </c>
      <c r="AG97" s="162"/>
    </row>
    <row r="98" spans="1:33" ht="14.25" customHeight="1" x14ac:dyDescent="0.3">
      <c r="A98" s="100" t="s">
        <v>23</v>
      </c>
      <c r="B98" s="121" t="s">
        <v>233</v>
      </c>
      <c r="C98" s="47">
        <v>2233</v>
      </c>
      <c r="D98" s="100">
        <v>3642</v>
      </c>
      <c r="E98" s="47">
        <v>1</v>
      </c>
      <c r="F98" s="47">
        <v>0</v>
      </c>
      <c r="G98" s="47">
        <v>0</v>
      </c>
      <c r="H98" s="100" t="s">
        <v>39</v>
      </c>
      <c r="I98" s="67" t="s">
        <v>276</v>
      </c>
      <c r="J98" s="67" t="s">
        <v>277</v>
      </c>
      <c r="K98" s="47">
        <v>1</v>
      </c>
      <c r="L98" s="122">
        <v>39406</v>
      </c>
      <c r="M98" s="123">
        <v>12.33</v>
      </c>
      <c r="N98" s="122">
        <v>40660</v>
      </c>
      <c r="O98" s="124">
        <v>13.58</v>
      </c>
      <c r="P98" s="47">
        <v>19.3</v>
      </c>
      <c r="Q98" s="47"/>
      <c r="R98" s="47">
        <v>3897</v>
      </c>
      <c r="S98" s="100">
        <v>1</v>
      </c>
      <c r="T98" s="100">
        <v>1</v>
      </c>
      <c r="U98" s="100">
        <v>1</v>
      </c>
      <c r="V98" s="100"/>
      <c r="W98" s="100"/>
      <c r="X98" s="104">
        <v>45694</v>
      </c>
      <c r="Y98" s="100">
        <v>20</v>
      </c>
      <c r="Z98" s="100">
        <v>18</v>
      </c>
      <c r="AA98" s="100"/>
      <c r="AB98" s="47" t="s">
        <v>111</v>
      </c>
      <c r="AC98" s="100"/>
      <c r="AD98" s="100"/>
      <c r="AE98" s="100"/>
      <c r="AF98" s="71"/>
      <c r="AG98" s="71"/>
    </row>
    <row r="99" spans="1:33" ht="14.25" customHeight="1" x14ac:dyDescent="0.3">
      <c r="A99" s="100" t="s">
        <v>23</v>
      </c>
      <c r="B99" s="121" t="s">
        <v>233</v>
      </c>
      <c r="C99" s="47">
        <v>2239</v>
      </c>
      <c r="D99" s="100">
        <v>3643</v>
      </c>
      <c r="E99" s="47">
        <v>1</v>
      </c>
      <c r="F99" s="47">
        <v>0</v>
      </c>
      <c r="G99" s="47">
        <v>0</v>
      </c>
      <c r="H99" s="100" t="s">
        <v>112</v>
      </c>
      <c r="I99" s="67" t="s">
        <v>113</v>
      </c>
      <c r="J99" s="67"/>
      <c r="K99" s="47">
        <v>1</v>
      </c>
      <c r="L99" s="122">
        <v>39406</v>
      </c>
      <c r="M99" s="123">
        <v>10.14</v>
      </c>
      <c r="N99" s="122">
        <v>40660</v>
      </c>
      <c r="O99" s="124">
        <v>10.5</v>
      </c>
      <c r="P99" s="47">
        <v>12.9</v>
      </c>
      <c r="Q99" s="47" t="s">
        <v>240</v>
      </c>
      <c r="R99" s="47">
        <v>3899</v>
      </c>
      <c r="S99" s="100">
        <v>1</v>
      </c>
      <c r="T99" s="100">
        <v>1</v>
      </c>
      <c r="U99" s="100">
        <v>1</v>
      </c>
      <c r="V99" s="100"/>
      <c r="W99" s="100"/>
      <c r="X99" s="104">
        <v>45694</v>
      </c>
      <c r="Y99" s="100">
        <v>13.3</v>
      </c>
      <c r="Z99" s="100">
        <v>10</v>
      </c>
      <c r="AA99" s="100"/>
      <c r="AB99" s="47" t="s">
        <v>111</v>
      </c>
      <c r="AC99" s="100"/>
      <c r="AD99" s="100"/>
      <c r="AE99" s="100"/>
      <c r="AF99" s="71" t="s">
        <v>286</v>
      </c>
      <c r="AG99" s="71" t="s">
        <v>287</v>
      </c>
    </row>
    <row r="100" spans="1:33" s="59" customFormat="1" ht="27" x14ac:dyDescent="0.3">
      <c r="A100" s="81" t="s">
        <v>23</v>
      </c>
      <c r="B100" s="134" t="s">
        <v>233</v>
      </c>
      <c r="C100" s="52"/>
      <c r="D100" s="114">
        <v>3644</v>
      </c>
      <c r="E100" s="52"/>
      <c r="F100" s="52"/>
      <c r="G100" s="52"/>
      <c r="H100" s="172" t="s">
        <v>705</v>
      </c>
      <c r="I100" s="173" t="s">
        <v>256</v>
      </c>
      <c r="J100" s="140"/>
      <c r="K100" s="52"/>
      <c r="L100" s="141"/>
      <c r="M100" s="142"/>
      <c r="N100" s="141"/>
      <c r="O100" s="143"/>
      <c r="P100" s="52"/>
      <c r="Q100" s="52"/>
      <c r="R100" s="52"/>
      <c r="S100" s="139"/>
      <c r="T100" s="81"/>
      <c r="U100" s="139">
        <v>1</v>
      </c>
      <c r="V100" s="139"/>
      <c r="W100" s="139"/>
      <c r="X100" s="144">
        <v>45694</v>
      </c>
      <c r="Y100" s="81">
        <v>19.5</v>
      </c>
      <c r="Z100" s="81">
        <v>13</v>
      </c>
      <c r="AA100" s="81"/>
      <c r="AB100" s="50" t="s">
        <v>111</v>
      </c>
      <c r="AC100" s="139"/>
      <c r="AD100" s="139"/>
      <c r="AE100" s="139" t="s">
        <v>707</v>
      </c>
      <c r="AF100" s="163" t="s">
        <v>634</v>
      </c>
      <c r="AG100" s="171" t="s">
        <v>706</v>
      </c>
    </row>
    <row r="101" spans="1:33" s="59" customFormat="1" ht="27" x14ac:dyDescent="0.3">
      <c r="A101" s="81" t="s">
        <v>23</v>
      </c>
      <c r="B101" s="117" t="s">
        <v>233</v>
      </c>
      <c r="C101" s="52"/>
      <c r="D101" s="114">
        <v>3645</v>
      </c>
      <c r="E101" s="52"/>
      <c r="F101" s="52"/>
      <c r="G101" s="52"/>
      <c r="H101" s="172" t="s">
        <v>705</v>
      </c>
      <c r="I101" s="173" t="s">
        <v>256</v>
      </c>
      <c r="J101" s="140"/>
      <c r="K101" s="52"/>
      <c r="L101" s="141"/>
      <c r="M101" s="142"/>
      <c r="N101" s="141"/>
      <c r="O101" s="143"/>
      <c r="P101" s="52"/>
      <c r="Q101" s="52"/>
      <c r="R101" s="52"/>
      <c r="S101" s="139"/>
      <c r="T101" s="81"/>
      <c r="U101" s="139">
        <v>0</v>
      </c>
      <c r="V101" s="139"/>
      <c r="W101" s="139"/>
      <c r="X101" s="144">
        <v>45694</v>
      </c>
      <c r="Y101" s="81">
        <v>17.5</v>
      </c>
      <c r="Z101" s="81">
        <v>13</v>
      </c>
      <c r="AA101" s="81"/>
      <c r="AB101" s="50" t="s">
        <v>111</v>
      </c>
      <c r="AC101" s="139"/>
      <c r="AD101" s="139"/>
      <c r="AE101" s="139"/>
      <c r="AF101" s="163" t="s">
        <v>634</v>
      </c>
      <c r="AG101" s="171" t="s">
        <v>706</v>
      </c>
    </row>
    <row r="102" spans="1:33" ht="14.25" customHeight="1" x14ac:dyDescent="0.3">
      <c r="A102" s="100" t="s">
        <v>23</v>
      </c>
      <c r="B102" s="121" t="s">
        <v>233</v>
      </c>
      <c r="C102" s="47">
        <v>2204</v>
      </c>
      <c r="D102" s="100">
        <v>3653</v>
      </c>
      <c r="E102" s="47">
        <v>1</v>
      </c>
      <c r="F102" s="47">
        <v>0</v>
      </c>
      <c r="G102" s="47">
        <v>0</v>
      </c>
      <c r="H102" s="100" t="s">
        <v>244</v>
      </c>
      <c r="I102" s="67" t="s">
        <v>245</v>
      </c>
      <c r="J102" s="67" t="s">
        <v>246</v>
      </c>
      <c r="K102" s="47">
        <v>1</v>
      </c>
      <c r="L102" s="122">
        <v>39406</v>
      </c>
      <c r="M102" s="124">
        <v>10.1</v>
      </c>
      <c r="N102" s="122">
        <v>40660</v>
      </c>
      <c r="O102" s="124">
        <f>32/3.141592654</f>
        <v>10.185916356551298</v>
      </c>
      <c r="P102" s="47">
        <v>10.1</v>
      </c>
      <c r="Q102" s="47" t="s">
        <v>247</v>
      </c>
      <c r="R102" s="47">
        <v>3886</v>
      </c>
      <c r="S102" s="100"/>
      <c r="T102" s="100"/>
      <c r="U102" s="100">
        <v>1</v>
      </c>
      <c r="V102" s="100"/>
      <c r="W102" s="100"/>
      <c r="X102" s="104">
        <v>45694</v>
      </c>
      <c r="Y102" s="100">
        <v>21.1</v>
      </c>
      <c r="Z102" s="100">
        <v>9</v>
      </c>
      <c r="AA102" s="100"/>
      <c r="AB102" s="47" t="s">
        <v>83</v>
      </c>
      <c r="AC102" s="100"/>
      <c r="AD102" s="100"/>
      <c r="AE102" s="100"/>
      <c r="AF102" s="71"/>
      <c r="AG102" s="71"/>
    </row>
    <row r="103" spans="1:33" ht="14.25" customHeight="1" x14ac:dyDescent="0.3">
      <c r="A103" s="100" t="s">
        <v>23</v>
      </c>
      <c r="B103" s="121" t="s">
        <v>233</v>
      </c>
      <c r="C103" s="47">
        <v>2206</v>
      </c>
      <c r="D103" s="100">
        <v>3646</v>
      </c>
      <c r="E103" s="47">
        <v>1</v>
      </c>
      <c r="F103" s="47">
        <v>0</v>
      </c>
      <c r="G103" s="47">
        <v>0</v>
      </c>
      <c r="H103" s="100" t="s">
        <v>251</v>
      </c>
      <c r="I103" s="67" t="s">
        <v>252</v>
      </c>
      <c r="J103" s="67" t="s">
        <v>253</v>
      </c>
      <c r="K103" s="47">
        <v>1</v>
      </c>
      <c r="L103" s="122">
        <v>39406</v>
      </c>
      <c r="M103" s="123">
        <v>30.62</v>
      </c>
      <c r="N103" s="122">
        <v>40660</v>
      </c>
      <c r="O103" s="124">
        <v>31.69</v>
      </c>
      <c r="P103" s="47">
        <v>29.8</v>
      </c>
      <c r="Q103" s="47"/>
      <c r="R103" s="47"/>
      <c r="S103" s="100"/>
      <c r="T103" s="100"/>
      <c r="U103" s="100">
        <v>1</v>
      </c>
      <c r="V103" s="100"/>
      <c r="W103" s="100"/>
      <c r="X103" s="104">
        <v>45694</v>
      </c>
      <c r="Y103" s="100">
        <v>50.5</v>
      </c>
      <c r="Z103" s="100">
        <v>30</v>
      </c>
      <c r="AA103" s="100"/>
      <c r="AB103" s="47" t="s">
        <v>111</v>
      </c>
      <c r="AC103" s="100"/>
      <c r="AD103" s="100"/>
      <c r="AE103" s="100"/>
      <c r="AF103" s="71"/>
      <c r="AG103" s="71"/>
    </row>
    <row r="104" spans="1:33" ht="14.25" customHeight="1" x14ac:dyDescent="0.3">
      <c r="A104" s="100" t="s">
        <v>23</v>
      </c>
      <c r="B104" s="121" t="s">
        <v>233</v>
      </c>
      <c r="C104" s="47">
        <v>2207</v>
      </c>
      <c r="D104" s="100">
        <v>3647</v>
      </c>
      <c r="E104" s="47">
        <v>1</v>
      </c>
      <c r="F104" s="47">
        <v>0</v>
      </c>
      <c r="G104" s="47">
        <v>0</v>
      </c>
      <c r="H104" s="100" t="s">
        <v>149</v>
      </c>
      <c r="I104" s="67" t="s">
        <v>254</v>
      </c>
      <c r="J104" s="67" t="s">
        <v>255</v>
      </c>
      <c r="K104" s="47">
        <v>1</v>
      </c>
      <c r="L104" s="122">
        <v>39406</v>
      </c>
      <c r="M104" s="123">
        <v>14.58</v>
      </c>
      <c r="N104" s="122">
        <v>40660</v>
      </c>
      <c r="O104" s="124">
        <v>15.76</v>
      </c>
      <c r="P104" s="47">
        <v>16.600000000000001</v>
      </c>
      <c r="Q104" s="47"/>
      <c r="R104" s="47">
        <v>3877</v>
      </c>
      <c r="S104" s="100">
        <v>1</v>
      </c>
      <c r="T104" s="100">
        <v>1</v>
      </c>
      <c r="U104" s="100">
        <v>1</v>
      </c>
      <c r="V104" s="100"/>
      <c r="W104" s="100"/>
      <c r="X104" s="104">
        <v>45694</v>
      </c>
      <c r="Y104" s="100">
        <v>15.9</v>
      </c>
      <c r="Z104" s="100">
        <v>14</v>
      </c>
      <c r="AA104" s="100"/>
      <c r="AB104" s="47" t="s">
        <v>83</v>
      </c>
      <c r="AC104" s="100"/>
      <c r="AD104" s="100"/>
      <c r="AE104" s="100"/>
      <c r="AF104" s="71" t="s">
        <v>630</v>
      </c>
      <c r="AG104" s="71"/>
    </row>
    <row r="105" spans="1:33" ht="14.25" customHeight="1" x14ac:dyDescent="0.3">
      <c r="A105" s="100" t="s">
        <v>23</v>
      </c>
      <c r="B105" s="121" t="s">
        <v>233</v>
      </c>
      <c r="C105" s="47">
        <v>2208</v>
      </c>
      <c r="D105" s="100">
        <v>3648</v>
      </c>
      <c r="E105" s="47">
        <v>1</v>
      </c>
      <c r="F105" s="47">
        <v>0</v>
      </c>
      <c r="G105" s="47">
        <v>0</v>
      </c>
      <c r="H105" s="100" t="s">
        <v>121</v>
      </c>
      <c r="I105" s="67" t="s">
        <v>122</v>
      </c>
      <c r="J105" s="67"/>
      <c r="K105" s="47">
        <v>1</v>
      </c>
      <c r="L105" s="122">
        <v>39406</v>
      </c>
      <c r="M105" s="123">
        <v>10.24</v>
      </c>
      <c r="N105" s="122">
        <v>40660</v>
      </c>
      <c r="O105" s="124">
        <v>10.24</v>
      </c>
      <c r="P105" s="47">
        <v>8.8000000000000007</v>
      </c>
      <c r="Q105" s="47" t="s">
        <v>240</v>
      </c>
      <c r="R105" s="47"/>
      <c r="S105" s="100"/>
      <c r="T105" s="100"/>
      <c r="U105" s="100">
        <v>1</v>
      </c>
      <c r="V105" s="100"/>
      <c r="W105" s="100"/>
      <c r="X105" s="104">
        <v>45694</v>
      </c>
      <c r="Y105" s="100">
        <v>10.210000000000001</v>
      </c>
      <c r="Z105" s="135"/>
      <c r="AA105" s="100"/>
      <c r="AB105" s="47" t="s">
        <v>83</v>
      </c>
      <c r="AC105" s="100"/>
      <c r="AD105" s="100"/>
      <c r="AE105" s="100"/>
      <c r="AF105" s="71" t="s">
        <v>636</v>
      </c>
      <c r="AG105" s="71"/>
    </row>
    <row r="106" spans="1:33" ht="14.25" customHeight="1" x14ac:dyDescent="0.3">
      <c r="A106" s="100" t="s">
        <v>23</v>
      </c>
      <c r="B106" s="121" t="s">
        <v>233</v>
      </c>
      <c r="C106" s="47">
        <v>2231</v>
      </c>
      <c r="D106" s="100"/>
      <c r="E106" s="47">
        <v>1</v>
      </c>
      <c r="F106" s="47">
        <v>0</v>
      </c>
      <c r="G106" s="47">
        <v>0</v>
      </c>
      <c r="H106" s="100" t="s">
        <v>166</v>
      </c>
      <c r="I106" s="67" t="s">
        <v>256</v>
      </c>
      <c r="J106" s="67" t="s">
        <v>257</v>
      </c>
      <c r="K106" s="47">
        <v>1</v>
      </c>
      <c r="L106" s="122">
        <v>39406</v>
      </c>
      <c r="M106" s="123">
        <v>15.26</v>
      </c>
      <c r="N106" s="122">
        <v>40660</v>
      </c>
      <c r="O106" s="124">
        <v>16.11</v>
      </c>
      <c r="P106" s="47">
        <v>16.2</v>
      </c>
      <c r="Q106" s="47"/>
      <c r="R106" s="47">
        <v>3895</v>
      </c>
      <c r="S106" s="100"/>
      <c r="T106" s="100"/>
      <c r="U106" s="100"/>
      <c r="V106" s="100"/>
      <c r="W106" s="100"/>
      <c r="X106" s="104"/>
      <c r="Y106" s="100"/>
      <c r="Z106" s="100"/>
      <c r="AA106" s="100"/>
      <c r="AB106" s="47"/>
      <c r="AC106" s="100"/>
      <c r="AD106" s="100"/>
      <c r="AE106" s="100"/>
      <c r="AF106" s="71"/>
      <c r="AG106" s="71"/>
    </row>
    <row r="107" spans="1:33" s="59" customFormat="1" ht="14.25" customHeight="1" x14ac:dyDescent="0.3">
      <c r="A107" s="136" t="s">
        <v>23</v>
      </c>
      <c r="B107" s="137" t="s">
        <v>233</v>
      </c>
      <c r="C107" s="136"/>
      <c r="D107" s="136">
        <v>3650</v>
      </c>
      <c r="E107" s="136"/>
      <c r="F107" s="136"/>
      <c r="G107" s="136"/>
      <c r="H107" s="136" t="s">
        <v>135</v>
      </c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81"/>
      <c r="U107" s="81">
        <v>1</v>
      </c>
      <c r="V107" s="136"/>
      <c r="W107" s="136"/>
      <c r="X107" s="138">
        <v>45694</v>
      </c>
      <c r="Y107" s="136">
        <v>27.3</v>
      </c>
      <c r="Z107" s="136">
        <v>14</v>
      </c>
      <c r="AA107" s="136"/>
      <c r="AB107" s="51" t="s">
        <v>83</v>
      </c>
      <c r="AC107" s="136"/>
      <c r="AD107" s="136"/>
      <c r="AE107" s="136" t="s">
        <v>703</v>
      </c>
      <c r="AF107" s="162" t="s">
        <v>638</v>
      </c>
      <c r="AG107" s="162"/>
    </row>
    <row r="108" spans="1:33" ht="14.25" customHeight="1" x14ac:dyDescent="0.3">
      <c r="A108" s="100" t="s">
        <v>23</v>
      </c>
      <c r="B108" s="121" t="s">
        <v>233</v>
      </c>
      <c r="C108" s="100"/>
      <c r="D108" s="100">
        <v>3652</v>
      </c>
      <c r="E108" s="100"/>
      <c r="F108" s="100"/>
      <c r="G108" s="100"/>
      <c r="H108" s="100" t="s">
        <v>138</v>
      </c>
      <c r="I108" s="100" t="s">
        <v>139</v>
      </c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>
        <v>1</v>
      </c>
      <c r="V108" s="100"/>
      <c r="W108" s="100"/>
      <c r="X108" s="104">
        <v>45694</v>
      </c>
      <c r="Y108" s="100">
        <v>12</v>
      </c>
      <c r="Z108" s="100">
        <v>7</v>
      </c>
      <c r="AA108" s="100"/>
      <c r="AB108" s="47" t="s">
        <v>83</v>
      </c>
      <c r="AC108" s="100"/>
      <c r="AD108" s="100"/>
      <c r="AE108" s="100">
        <v>3</v>
      </c>
      <c r="AF108" s="71" t="s">
        <v>303</v>
      </c>
      <c r="AG108" s="71"/>
    </row>
    <row r="109" spans="1:33" ht="14.25" customHeight="1" x14ac:dyDescent="0.3">
      <c r="A109" s="100" t="s">
        <v>23</v>
      </c>
      <c r="B109" s="121" t="s">
        <v>233</v>
      </c>
      <c r="C109" s="47">
        <v>2205</v>
      </c>
      <c r="D109" s="100">
        <v>3654</v>
      </c>
      <c r="E109" s="47">
        <v>1</v>
      </c>
      <c r="F109" s="47">
        <v>0</v>
      </c>
      <c r="G109" s="47">
        <v>0</v>
      </c>
      <c r="H109" s="100" t="s">
        <v>39</v>
      </c>
      <c r="I109" s="67" t="s">
        <v>104</v>
      </c>
      <c r="J109" s="67" t="s">
        <v>248</v>
      </c>
      <c r="K109" s="47">
        <v>1</v>
      </c>
      <c r="L109" s="122">
        <v>39406</v>
      </c>
      <c r="M109" s="124">
        <v>14.6</v>
      </c>
      <c r="N109" s="122">
        <v>40660</v>
      </c>
      <c r="O109" s="124">
        <f>46/3.141592654</f>
        <v>14.642254762542489</v>
      </c>
      <c r="P109" s="47">
        <v>12</v>
      </c>
      <c r="Q109" s="47"/>
      <c r="R109" s="47">
        <v>3876</v>
      </c>
      <c r="S109" s="100">
        <v>1</v>
      </c>
      <c r="T109" s="100">
        <v>1</v>
      </c>
      <c r="U109" s="100">
        <v>1</v>
      </c>
      <c r="V109" s="100"/>
      <c r="W109" s="100"/>
      <c r="X109" s="104">
        <v>45694</v>
      </c>
      <c r="Y109" s="100">
        <v>14</v>
      </c>
      <c r="Z109" s="100">
        <v>9</v>
      </c>
      <c r="AA109" s="100"/>
      <c r="AB109" s="47" t="s">
        <v>83</v>
      </c>
      <c r="AC109" s="100"/>
      <c r="AD109" s="100"/>
      <c r="AE109" s="100">
        <v>3</v>
      </c>
      <c r="AF109" s="71" t="s">
        <v>635</v>
      </c>
      <c r="AG109" s="71"/>
    </row>
    <row r="110" spans="1:33" ht="14.25" customHeight="1" x14ac:dyDescent="0.3">
      <c r="A110" s="100" t="s">
        <v>23</v>
      </c>
      <c r="B110" s="101" t="s">
        <v>233</v>
      </c>
      <c r="C110" s="47">
        <v>2205</v>
      </c>
      <c r="D110" s="100">
        <v>3654</v>
      </c>
      <c r="E110" s="47">
        <v>1</v>
      </c>
      <c r="F110" s="100"/>
      <c r="G110" s="100"/>
      <c r="H110" s="100" t="s">
        <v>39</v>
      </c>
      <c r="I110" s="100" t="s">
        <v>104</v>
      </c>
      <c r="J110" s="100" t="s">
        <v>248</v>
      </c>
      <c r="K110" s="47">
        <v>0</v>
      </c>
      <c r="L110" s="102">
        <v>39169</v>
      </c>
      <c r="M110" s="100">
        <v>0</v>
      </c>
      <c r="N110" s="100"/>
      <c r="O110" s="100"/>
      <c r="P110" s="100"/>
      <c r="Q110" s="100" t="s">
        <v>249</v>
      </c>
      <c r="R110" s="103" t="s">
        <v>250</v>
      </c>
      <c r="S110" s="100"/>
      <c r="T110" s="100"/>
      <c r="U110" s="100"/>
      <c r="V110" s="100"/>
      <c r="W110" s="100"/>
      <c r="X110" s="104"/>
      <c r="Y110" s="100"/>
      <c r="Z110" s="100"/>
      <c r="AA110" s="100"/>
      <c r="AB110" s="47" t="s">
        <v>83</v>
      </c>
      <c r="AC110" s="100"/>
      <c r="AD110" s="100"/>
      <c r="AE110" s="100"/>
      <c r="AF110" s="71"/>
      <c r="AG110" s="71"/>
    </row>
    <row r="111" spans="1:33" ht="14.25" customHeight="1" x14ac:dyDescent="0.3">
      <c r="A111" s="100" t="s">
        <v>23</v>
      </c>
      <c r="B111" s="121" t="s">
        <v>233</v>
      </c>
      <c r="C111" s="47">
        <v>2230</v>
      </c>
      <c r="D111" s="100">
        <v>3655</v>
      </c>
      <c r="E111" s="47">
        <v>1</v>
      </c>
      <c r="F111" s="47">
        <v>0</v>
      </c>
      <c r="G111" s="47">
        <v>0</v>
      </c>
      <c r="H111" s="100" t="s">
        <v>251</v>
      </c>
      <c r="I111" s="67" t="s">
        <v>252</v>
      </c>
      <c r="J111" s="67" t="s">
        <v>253</v>
      </c>
      <c r="K111" s="47">
        <v>1</v>
      </c>
      <c r="L111" s="122">
        <v>39406</v>
      </c>
      <c r="M111" s="123">
        <v>26.8</v>
      </c>
      <c r="N111" s="122">
        <v>40660</v>
      </c>
      <c r="O111" s="124">
        <v>31.69</v>
      </c>
      <c r="P111" s="47">
        <v>39.5</v>
      </c>
      <c r="Q111" s="47"/>
      <c r="R111" s="47">
        <v>3887</v>
      </c>
      <c r="S111" s="100"/>
      <c r="T111" s="100"/>
      <c r="U111" s="100">
        <v>1</v>
      </c>
      <c r="V111" s="100"/>
      <c r="W111" s="100"/>
      <c r="X111" s="104">
        <v>45694</v>
      </c>
      <c r="Y111" s="100">
        <v>43.8</v>
      </c>
      <c r="Z111" s="100">
        <v>25</v>
      </c>
      <c r="AA111" s="100"/>
      <c r="AB111" s="47" t="s">
        <v>83</v>
      </c>
      <c r="AC111" s="100"/>
      <c r="AD111" s="100"/>
      <c r="AE111" s="100"/>
      <c r="AF111" s="71"/>
      <c r="AG111" s="71"/>
    </row>
    <row r="112" spans="1:33" s="59" customFormat="1" ht="14.25" customHeight="1" x14ac:dyDescent="0.3">
      <c r="A112" s="76" t="s">
        <v>23</v>
      </c>
      <c r="B112" s="132" t="s">
        <v>233</v>
      </c>
      <c r="C112" s="49"/>
      <c r="D112" s="76">
        <v>3656</v>
      </c>
      <c r="E112" s="49"/>
      <c r="F112" s="49"/>
      <c r="G112" s="49"/>
      <c r="H112" s="76" t="s">
        <v>135</v>
      </c>
      <c r="I112" s="68"/>
      <c r="J112" s="68"/>
      <c r="K112" s="49"/>
      <c r="L112" s="87"/>
      <c r="M112" s="145"/>
      <c r="N112" s="87"/>
      <c r="O112" s="146"/>
      <c r="P112" s="49"/>
      <c r="Q112" s="49"/>
      <c r="R112" s="49"/>
      <c r="S112" s="76"/>
      <c r="T112" s="81"/>
      <c r="U112" s="81">
        <v>1</v>
      </c>
      <c r="V112" s="76"/>
      <c r="W112" s="76"/>
      <c r="X112" s="82">
        <v>45694</v>
      </c>
      <c r="Y112" s="76">
        <v>29.3</v>
      </c>
      <c r="Z112" s="76">
        <v>10</v>
      </c>
      <c r="AA112" s="76"/>
      <c r="AB112" s="49" t="s">
        <v>83</v>
      </c>
      <c r="AC112" s="76"/>
      <c r="AD112" s="76"/>
      <c r="AE112" s="113">
        <v>3</v>
      </c>
      <c r="AF112" s="75" t="s">
        <v>584</v>
      </c>
      <c r="AG112" s="75"/>
    </row>
    <row r="113" spans="1:33" ht="14.25" customHeight="1" x14ac:dyDescent="0.3">
      <c r="A113" s="100" t="s">
        <v>23</v>
      </c>
      <c r="B113" s="121" t="s">
        <v>233</v>
      </c>
      <c r="C113" s="47">
        <v>2201</v>
      </c>
      <c r="D113" s="100">
        <v>3657</v>
      </c>
      <c r="E113" s="47">
        <v>1</v>
      </c>
      <c r="F113" s="47">
        <v>0</v>
      </c>
      <c r="G113" s="47">
        <v>0</v>
      </c>
      <c r="H113" s="100" t="s">
        <v>237</v>
      </c>
      <c r="I113" s="67" t="s">
        <v>238</v>
      </c>
      <c r="J113" s="67" t="s">
        <v>239</v>
      </c>
      <c r="K113" s="47">
        <v>1</v>
      </c>
      <c r="L113" s="122">
        <v>39406</v>
      </c>
      <c r="M113" s="123">
        <v>11.57</v>
      </c>
      <c r="N113" s="122">
        <v>40660</v>
      </c>
      <c r="O113" s="124">
        <v>12.09</v>
      </c>
      <c r="P113" s="47">
        <v>19.8</v>
      </c>
      <c r="Q113" s="47" t="s">
        <v>240</v>
      </c>
      <c r="R113" s="47">
        <v>3872</v>
      </c>
      <c r="S113" s="100"/>
      <c r="T113" s="100"/>
      <c r="U113" s="100">
        <v>1</v>
      </c>
      <c r="V113" s="100"/>
      <c r="W113" s="100"/>
      <c r="X113" s="104">
        <v>45694</v>
      </c>
      <c r="Y113" s="100">
        <v>19.2</v>
      </c>
      <c r="Z113" s="100">
        <v>8</v>
      </c>
      <c r="AA113" s="100"/>
      <c r="AB113" s="47" t="s">
        <v>83</v>
      </c>
      <c r="AC113" s="100"/>
      <c r="AD113" s="100"/>
      <c r="AE113" s="100"/>
      <c r="AF113" s="71"/>
      <c r="AG113" s="71"/>
    </row>
    <row r="114" spans="1:33" ht="14.25" customHeight="1" x14ac:dyDescent="0.3">
      <c r="A114" s="100" t="s">
        <v>23</v>
      </c>
      <c r="B114" s="121" t="s">
        <v>233</v>
      </c>
      <c r="C114" s="47">
        <v>2202</v>
      </c>
      <c r="D114" s="100">
        <v>3658</v>
      </c>
      <c r="E114" s="47">
        <v>1</v>
      </c>
      <c r="F114" s="47">
        <v>0</v>
      </c>
      <c r="G114" s="47">
        <v>0</v>
      </c>
      <c r="H114" s="100" t="s">
        <v>467</v>
      </c>
      <c r="I114" s="67" t="s">
        <v>241</v>
      </c>
      <c r="J114" s="67" t="s">
        <v>242</v>
      </c>
      <c r="K114" s="47">
        <v>1</v>
      </c>
      <c r="L114" s="122">
        <v>39406</v>
      </c>
      <c r="M114" s="123">
        <v>12.98</v>
      </c>
      <c r="N114" s="122">
        <v>40660</v>
      </c>
      <c r="O114" s="124">
        <v>13.08</v>
      </c>
      <c r="P114" s="47">
        <v>24.9</v>
      </c>
      <c r="Q114" s="47"/>
      <c r="R114" s="47">
        <v>3873</v>
      </c>
      <c r="S114" s="100">
        <v>1</v>
      </c>
      <c r="T114" s="100">
        <v>1</v>
      </c>
      <c r="U114" s="100">
        <v>1</v>
      </c>
      <c r="V114" s="100"/>
      <c r="W114" s="100"/>
      <c r="X114" s="104">
        <v>45694</v>
      </c>
      <c r="Y114" s="100">
        <v>14.8</v>
      </c>
      <c r="Z114" s="100">
        <v>7</v>
      </c>
      <c r="AA114" s="100"/>
      <c r="AB114" s="47" t="s">
        <v>83</v>
      </c>
      <c r="AC114" s="100"/>
      <c r="AD114" s="100"/>
      <c r="AE114" s="100" t="s">
        <v>691</v>
      </c>
      <c r="AF114" s="71"/>
      <c r="AG114" s="71" t="s">
        <v>641</v>
      </c>
    </row>
    <row r="115" spans="1:33" s="59" customFormat="1" ht="14.25" customHeight="1" x14ac:dyDescent="0.3">
      <c r="A115" s="81" t="s">
        <v>23</v>
      </c>
      <c r="B115" s="134" t="s">
        <v>233</v>
      </c>
      <c r="C115" s="81"/>
      <c r="D115" s="69">
        <v>3659</v>
      </c>
      <c r="E115" s="81"/>
      <c r="F115" s="81"/>
      <c r="G115" s="81"/>
      <c r="H115" s="81" t="s">
        <v>138</v>
      </c>
      <c r="I115" s="81" t="s">
        <v>139</v>
      </c>
      <c r="J115" s="81" t="s">
        <v>263</v>
      </c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>
        <v>1</v>
      </c>
      <c r="V115" s="81"/>
      <c r="W115" s="81"/>
      <c r="X115" s="115">
        <v>45694</v>
      </c>
      <c r="Y115" s="81">
        <v>11.86</v>
      </c>
      <c r="Z115" s="81">
        <v>8</v>
      </c>
      <c r="AA115" s="81"/>
      <c r="AB115" s="50" t="s">
        <v>83</v>
      </c>
      <c r="AC115" s="81"/>
      <c r="AD115" s="81"/>
      <c r="AE115" s="81">
        <v>3</v>
      </c>
      <c r="AF115" s="159"/>
      <c r="AG115" s="159">
        <v>3</v>
      </c>
    </row>
    <row r="116" spans="1:33" ht="14.25" customHeight="1" x14ac:dyDescent="0.3">
      <c r="A116" s="100" t="s">
        <v>23</v>
      </c>
      <c r="B116" s="121" t="s">
        <v>233</v>
      </c>
      <c r="C116" s="47">
        <v>2209</v>
      </c>
      <c r="D116" s="100"/>
      <c r="E116" s="47">
        <v>1</v>
      </c>
      <c r="F116" s="47">
        <v>0</v>
      </c>
      <c r="G116" s="47">
        <v>0</v>
      </c>
      <c r="H116" s="100" t="s">
        <v>166</v>
      </c>
      <c r="I116" s="67" t="s">
        <v>256</v>
      </c>
      <c r="J116" s="67" t="s">
        <v>257</v>
      </c>
      <c r="K116" s="47">
        <v>1</v>
      </c>
      <c r="L116" s="122">
        <v>39406</v>
      </c>
      <c r="M116" s="123">
        <v>10.93</v>
      </c>
      <c r="N116" s="122">
        <v>40660</v>
      </c>
      <c r="O116" s="124">
        <v>11.36</v>
      </c>
      <c r="P116" s="47">
        <v>13.7</v>
      </c>
      <c r="Q116" s="47"/>
      <c r="R116" s="47">
        <v>3875</v>
      </c>
      <c r="S116" s="100"/>
      <c r="T116" s="100"/>
      <c r="U116" s="100"/>
      <c r="V116" s="100"/>
      <c r="W116" s="100">
        <v>1</v>
      </c>
      <c r="X116" s="104">
        <v>45694</v>
      </c>
      <c r="Y116" s="100"/>
      <c r="Z116" s="100"/>
      <c r="AA116" s="100"/>
      <c r="AB116" s="47" t="s">
        <v>111</v>
      </c>
      <c r="AC116" s="100"/>
      <c r="AD116" s="100"/>
      <c r="AE116" s="100"/>
      <c r="AF116" s="71" t="s">
        <v>125</v>
      </c>
      <c r="AG116" s="71"/>
    </row>
    <row r="117" spans="1:33" ht="14.25" customHeight="1" x14ac:dyDescent="0.3">
      <c r="A117" s="100" t="s">
        <v>23</v>
      </c>
      <c r="B117" s="121" t="s">
        <v>233</v>
      </c>
      <c r="C117" s="47">
        <v>2200</v>
      </c>
      <c r="D117" s="100"/>
      <c r="E117" s="47">
        <v>1</v>
      </c>
      <c r="F117" s="47">
        <v>0</v>
      </c>
      <c r="G117" s="47">
        <v>0</v>
      </c>
      <c r="H117" s="100" t="s">
        <v>234</v>
      </c>
      <c r="I117" s="67" t="s">
        <v>235</v>
      </c>
      <c r="J117" s="67" t="s">
        <v>236</v>
      </c>
      <c r="K117" s="47">
        <v>1</v>
      </c>
      <c r="L117" s="122">
        <v>39406</v>
      </c>
      <c r="M117" s="123">
        <v>25.14</v>
      </c>
      <c r="N117" s="122">
        <v>40660</v>
      </c>
      <c r="O117" s="124">
        <v>25.4</v>
      </c>
      <c r="P117" s="47">
        <v>20.399999999999999</v>
      </c>
      <c r="Q117" s="47"/>
      <c r="R117" s="47">
        <v>3871</v>
      </c>
      <c r="S117" s="100"/>
      <c r="T117" s="100"/>
      <c r="U117" s="100"/>
      <c r="V117" s="100"/>
      <c r="W117" s="100"/>
      <c r="X117" s="100"/>
      <c r="Y117" s="100"/>
      <c r="Z117" s="100"/>
      <c r="AA117" s="100"/>
      <c r="AB117" s="47"/>
      <c r="AC117" s="100"/>
      <c r="AD117" s="100"/>
      <c r="AE117" s="100"/>
      <c r="AF117" s="71"/>
      <c r="AG117" s="71"/>
    </row>
    <row r="118" spans="1:33" ht="14.25" customHeight="1" x14ac:dyDescent="0.3">
      <c r="A118" s="100" t="s">
        <v>23</v>
      </c>
      <c r="B118" s="121" t="s">
        <v>233</v>
      </c>
      <c r="C118" s="47">
        <v>2203</v>
      </c>
      <c r="D118" s="100"/>
      <c r="E118" s="47">
        <v>1</v>
      </c>
      <c r="F118" s="47">
        <v>0</v>
      </c>
      <c r="G118" s="47">
        <v>0</v>
      </c>
      <c r="H118" s="100" t="s">
        <v>46</v>
      </c>
      <c r="I118" s="67" t="s">
        <v>174</v>
      </c>
      <c r="J118" s="67" t="s">
        <v>243</v>
      </c>
      <c r="K118" s="47">
        <v>1</v>
      </c>
      <c r="L118" s="122">
        <v>39406</v>
      </c>
      <c r="M118" s="123">
        <v>16.829999999999998</v>
      </c>
      <c r="N118" s="122">
        <v>40660</v>
      </c>
      <c r="O118" s="124">
        <v>17.75</v>
      </c>
      <c r="P118" s="47">
        <v>16.3</v>
      </c>
      <c r="Q118" s="47"/>
      <c r="R118" s="47">
        <v>3874</v>
      </c>
      <c r="S118" s="100"/>
      <c r="T118" s="100"/>
      <c r="U118" s="100"/>
      <c r="V118" s="100"/>
      <c r="W118" s="100"/>
      <c r="X118" s="100"/>
      <c r="Y118" s="100"/>
      <c r="Z118" s="100"/>
      <c r="AA118" s="100"/>
      <c r="AB118" s="47"/>
      <c r="AC118" s="100"/>
      <c r="AD118" s="100"/>
      <c r="AE118" s="100"/>
      <c r="AF118" s="71"/>
      <c r="AG118" s="71"/>
    </row>
    <row r="119" spans="1:33" ht="14.25" customHeight="1" x14ac:dyDescent="0.3">
      <c r="A119" s="100" t="s">
        <v>23</v>
      </c>
      <c r="B119" s="121" t="s">
        <v>233</v>
      </c>
      <c r="C119" s="47">
        <v>2210</v>
      </c>
      <c r="D119" s="100">
        <v>3649</v>
      </c>
      <c r="E119" s="47">
        <v>1</v>
      </c>
      <c r="F119" s="47">
        <v>0</v>
      </c>
      <c r="G119" s="47">
        <v>0</v>
      </c>
      <c r="H119" s="100" t="s">
        <v>29</v>
      </c>
      <c r="I119" s="67" t="s">
        <v>258</v>
      </c>
      <c r="J119" s="67" t="s">
        <v>259</v>
      </c>
      <c r="K119" s="47">
        <v>1</v>
      </c>
      <c r="L119" s="122">
        <v>39406</v>
      </c>
      <c r="M119" s="123">
        <v>11.81</v>
      </c>
      <c r="N119" s="122">
        <v>40660</v>
      </c>
      <c r="O119" s="124">
        <v>12.12</v>
      </c>
      <c r="P119" s="47">
        <v>13.9</v>
      </c>
      <c r="Q119" s="47"/>
      <c r="R119" s="47">
        <v>3878</v>
      </c>
      <c r="S119" s="100"/>
      <c r="T119" s="100"/>
      <c r="U119" s="100">
        <v>1</v>
      </c>
      <c r="V119" s="100"/>
      <c r="W119" s="100"/>
      <c r="X119" s="104">
        <v>45694</v>
      </c>
      <c r="Y119" s="100">
        <v>14.2</v>
      </c>
      <c r="Z119" s="147"/>
      <c r="AA119" s="100"/>
      <c r="AB119" s="47" t="s">
        <v>83</v>
      </c>
      <c r="AC119" s="100"/>
      <c r="AD119" s="100"/>
      <c r="AE119" s="100">
        <v>3</v>
      </c>
      <c r="AF119" s="71" t="s">
        <v>637</v>
      </c>
      <c r="AG119" s="71"/>
    </row>
    <row r="120" spans="1:33" s="187" customFormat="1" ht="14.25" customHeight="1" x14ac:dyDescent="0.3">
      <c r="A120" s="181" t="s">
        <v>23</v>
      </c>
      <c r="B120" s="188" t="s">
        <v>233</v>
      </c>
      <c r="C120" s="183">
        <v>2211</v>
      </c>
      <c r="D120" s="181">
        <v>3651</v>
      </c>
      <c r="E120" s="183">
        <v>1</v>
      </c>
      <c r="F120" s="183">
        <v>0</v>
      </c>
      <c r="G120" s="183">
        <v>0</v>
      </c>
      <c r="H120" s="181" t="s">
        <v>25</v>
      </c>
      <c r="I120" s="189" t="s">
        <v>55</v>
      </c>
      <c r="J120" s="189" t="s">
        <v>56</v>
      </c>
      <c r="K120" s="183">
        <v>1</v>
      </c>
      <c r="L120" s="190">
        <v>39406</v>
      </c>
      <c r="M120" s="191">
        <v>33.04</v>
      </c>
      <c r="N120" s="190">
        <v>40660</v>
      </c>
      <c r="O120" s="192">
        <v>33.04</v>
      </c>
      <c r="P120" s="183">
        <v>23.4</v>
      </c>
      <c r="Q120" s="183"/>
      <c r="R120" s="183"/>
      <c r="S120" s="181"/>
      <c r="T120" s="181"/>
      <c r="U120" s="181">
        <v>1</v>
      </c>
      <c r="V120" s="181"/>
      <c r="W120" s="181"/>
      <c r="X120" s="193">
        <v>45694</v>
      </c>
      <c r="Y120" s="181">
        <v>34.1</v>
      </c>
      <c r="Z120" s="181">
        <v>18</v>
      </c>
      <c r="AA120" s="181"/>
      <c r="AB120" s="183" t="s">
        <v>83</v>
      </c>
      <c r="AC120" s="181"/>
      <c r="AD120" s="181"/>
      <c r="AE120" s="181"/>
      <c r="AF120" s="186"/>
      <c r="AG120" s="186"/>
    </row>
    <row r="121" spans="1:33" ht="14.25" customHeight="1" x14ac:dyDescent="0.3">
      <c r="A121" s="100" t="s">
        <v>23</v>
      </c>
      <c r="B121" s="121" t="s">
        <v>233</v>
      </c>
      <c r="C121" s="47">
        <v>2212</v>
      </c>
      <c r="D121" s="100"/>
      <c r="E121" s="47">
        <v>1</v>
      </c>
      <c r="F121" s="47">
        <v>0</v>
      </c>
      <c r="G121" s="47">
        <v>0</v>
      </c>
      <c r="H121" s="100" t="s">
        <v>39</v>
      </c>
      <c r="I121" s="67" t="s">
        <v>260</v>
      </c>
      <c r="J121" s="67"/>
      <c r="K121" s="47">
        <v>1</v>
      </c>
      <c r="L121" s="122">
        <v>39406</v>
      </c>
      <c r="M121" s="123">
        <v>10.41</v>
      </c>
      <c r="N121" s="122">
        <v>40660</v>
      </c>
      <c r="O121" s="124">
        <v>10.42</v>
      </c>
      <c r="P121" s="47">
        <v>8.8000000000000007</v>
      </c>
      <c r="Q121" s="47"/>
      <c r="R121" s="47">
        <v>3879</v>
      </c>
      <c r="S121" s="100"/>
      <c r="T121" s="100"/>
      <c r="U121" s="100"/>
      <c r="V121" s="100"/>
      <c r="W121" s="100"/>
      <c r="X121" s="100"/>
      <c r="Y121" s="100"/>
      <c r="Z121" s="100"/>
      <c r="AA121" s="100"/>
      <c r="AB121" s="47"/>
      <c r="AC121" s="100"/>
      <c r="AD121" s="100"/>
      <c r="AE121" s="100"/>
      <c r="AF121" s="71"/>
      <c r="AG121" s="71"/>
    </row>
    <row r="122" spans="1:33" ht="14.25" customHeight="1" x14ac:dyDescent="0.3">
      <c r="A122" s="100" t="s">
        <v>23</v>
      </c>
      <c r="B122" s="121" t="s">
        <v>233</v>
      </c>
      <c r="C122" s="47">
        <v>2213</v>
      </c>
      <c r="D122" s="100"/>
      <c r="E122" s="47">
        <v>1</v>
      </c>
      <c r="F122" s="47">
        <v>0</v>
      </c>
      <c r="G122" s="47">
        <v>0</v>
      </c>
      <c r="H122" s="100" t="s">
        <v>25</v>
      </c>
      <c r="I122" s="67" t="s">
        <v>261</v>
      </c>
      <c r="J122" s="67" t="s">
        <v>262</v>
      </c>
      <c r="K122" s="47">
        <v>1</v>
      </c>
      <c r="L122" s="122">
        <v>39406</v>
      </c>
      <c r="M122" s="123">
        <v>17.940000000000001</v>
      </c>
      <c r="N122" s="122">
        <v>40660</v>
      </c>
      <c r="O122" s="124">
        <v>17.940000000000001</v>
      </c>
      <c r="P122" s="47">
        <v>16.899999999999999</v>
      </c>
      <c r="Q122" s="47"/>
      <c r="R122" s="47">
        <v>3880</v>
      </c>
      <c r="S122" s="100"/>
      <c r="T122" s="100"/>
      <c r="U122" s="100"/>
      <c r="V122" s="100"/>
      <c r="W122" s="100">
        <v>1</v>
      </c>
      <c r="X122" s="104">
        <v>45694</v>
      </c>
      <c r="Y122" s="100"/>
      <c r="Z122" s="100"/>
      <c r="AA122" s="100"/>
      <c r="AB122" s="47"/>
      <c r="AC122" s="100"/>
      <c r="AD122" s="100"/>
      <c r="AE122" s="100"/>
      <c r="AF122" s="71"/>
      <c r="AG122" s="71"/>
    </row>
    <row r="123" spans="1:33" ht="14.25" customHeight="1" x14ac:dyDescent="0.3">
      <c r="A123" s="100" t="s">
        <v>23</v>
      </c>
      <c r="B123" s="121" t="s">
        <v>233</v>
      </c>
      <c r="C123" s="47">
        <v>2214</v>
      </c>
      <c r="D123" s="100"/>
      <c r="E123" s="47">
        <v>1</v>
      </c>
      <c r="F123" s="47">
        <v>0</v>
      </c>
      <c r="G123" s="47">
        <v>0</v>
      </c>
      <c r="H123" s="100" t="s">
        <v>138</v>
      </c>
      <c r="I123" s="67" t="s">
        <v>139</v>
      </c>
      <c r="J123" s="67" t="s">
        <v>263</v>
      </c>
      <c r="K123" s="47">
        <v>1</v>
      </c>
      <c r="L123" s="122">
        <v>39406</v>
      </c>
      <c r="M123" s="123">
        <v>11.68</v>
      </c>
      <c r="N123" s="122">
        <v>40660</v>
      </c>
      <c r="O123" s="124">
        <v>14.65</v>
      </c>
      <c r="P123" s="47">
        <v>12</v>
      </c>
      <c r="Q123" s="47"/>
      <c r="R123" s="47">
        <v>3890</v>
      </c>
      <c r="S123" s="100"/>
      <c r="T123" s="100"/>
      <c r="U123" s="100"/>
      <c r="V123" s="100"/>
      <c r="W123" s="100"/>
      <c r="X123" s="100"/>
      <c r="Y123" s="100"/>
      <c r="Z123" s="100"/>
      <c r="AA123" s="100"/>
      <c r="AB123" s="47"/>
      <c r="AC123" s="100"/>
      <c r="AD123" s="100"/>
      <c r="AE123" s="100"/>
      <c r="AF123" s="71"/>
      <c r="AG123" s="71"/>
    </row>
    <row r="124" spans="1:33" ht="14.25" customHeight="1" x14ac:dyDescent="0.3">
      <c r="A124" s="100" t="s">
        <v>23</v>
      </c>
      <c r="B124" s="121" t="s">
        <v>233</v>
      </c>
      <c r="C124" s="47">
        <v>2215</v>
      </c>
      <c r="D124" s="100"/>
      <c r="E124" s="47">
        <v>1</v>
      </c>
      <c r="F124" s="47">
        <v>0</v>
      </c>
      <c r="G124" s="47">
        <v>0</v>
      </c>
      <c r="H124" s="100" t="s">
        <v>51</v>
      </c>
      <c r="I124" s="67" t="s">
        <v>264</v>
      </c>
      <c r="J124" s="67"/>
      <c r="K124" s="47">
        <v>1</v>
      </c>
      <c r="L124" s="122">
        <v>39406</v>
      </c>
      <c r="M124" s="123">
        <v>46.49</v>
      </c>
      <c r="N124" s="122">
        <v>40660</v>
      </c>
      <c r="O124" s="124">
        <v>46.49</v>
      </c>
      <c r="P124" s="47">
        <v>26.5</v>
      </c>
      <c r="Q124" s="47" t="s">
        <v>240</v>
      </c>
      <c r="R124" s="47">
        <v>3891</v>
      </c>
      <c r="S124" s="100"/>
      <c r="T124" s="100"/>
      <c r="U124" s="100"/>
      <c r="V124" s="100"/>
      <c r="W124" s="100"/>
      <c r="X124" s="104"/>
      <c r="Y124" s="100"/>
      <c r="Z124" s="100"/>
      <c r="AA124" s="100"/>
      <c r="AB124" s="47"/>
      <c r="AC124" s="100"/>
      <c r="AD124" s="100"/>
      <c r="AE124" s="100"/>
      <c r="AF124" s="71"/>
      <c r="AG124" s="71"/>
    </row>
    <row r="125" spans="1:33" ht="14.25" customHeight="1" x14ac:dyDescent="0.3">
      <c r="A125" s="100" t="s">
        <v>23</v>
      </c>
      <c r="B125" s="121" t="s">
        <v>233</v>
      </c>
      <c r="C125" s="47">
        <v>2219</v>
      </c>
      <c r="D125" s="100"/>
      <c r="E125" s="47">
        <v>1</v>
      </c>
      <c r="F125" s="47">
        <v>0</v>
      </c>
      <c r="G125" s="47">
        <v>0</v>
      </c>
      <c r="H125" s="100" t="s">
        <v>267</v>
      </c>
      <c r="I125" s="67" t="s">
        <v>268</v>
      </c>
      <c r="J125" s="67" t="s">
        <v>64</v>
      </c>
      <c r="K125" s="47">
        <v>1</v>
      </c>
      <c r="L125" s="122">
        <v>39406</v>
      </c>
      <c r="M125" s="123">
        <v>13.93</v>
      </c>
      <c r="N125" s="122">
        <v>40660</v>
      </c>
      <c r="O125" s="124">
        <v>17.260000000000002</v>
      </c>
      <c r="P125" s="47">
        <v>19.899999999999999</v>
      </c>
      <c r="Q125" s="47"/>
      <c r="R125" s="47">
        <v>3883</v>
      </c>
      <c r="S125" s="100"/>
      <c r="T125" s="100"/>
      <c r="U125" s="100"/>
      <c r="V125" s="100"/>
      <c r="W125" s="100"/>
      <c r="X125" s="100"/>
      <c r="Y125" s="100"/>
      <c r="Z125" s="100"/>
      <c r="AA125" s="100"/>
      <c r="AB125" s="47"/>
      <c r="AC125" s="100"/>
      <c r="AD125" s="100"/>
      <c r="AE125" s="100"/>
      <c r="AF125" s="71"/>
      <c r="AG125" s="71"/>
    </row>
    <row r="126" spans="1:33" ht="14.25" customHeight="1" x14ac:dyDescent="0.3">
      <c r="A126" s="100" t="s">
        <v>23</v>
      </c>
      <c r="B126" s="121" t="s">
        <v>233</v>
      </c>
      <c r="C126" s="47">
        <v>2221</v>
      </c>
      <c r="D126" s="100"/>
      <c r="E126" s="47">
        <v>1</v>
      </c>
      <c r="F126" s="47">
        <v>0</v>
      </c>
      <c r="G126" s="47">
        <v>0</v>
      </c>
      <c r="H126" s="100" t="s">
        <v>25</v>
      </c>
      <c r="I126" s="67" t="s">
        <v>55</v>
      </c>
      <c r="J126" s="67" t="s">
        <v>56</v>
      </c>
      <c r="K126" s="47">
        <v>1</v>
      </c>
      <c r="L126" s="122">
        <v>39406</v>
      </c>
      <c r="M126" s="123">
        <v>10.41</v>
      </c>
      <c r="N126" s="122">
        <v>40660</v>
      </c>
      <c r="O126" s="124">
        <v>10.76</v>
      </c>
      <c r="P126" s="47">
        <v>13</v>
      </c>
      <c r="Q126" s="47"/>
      <c r="R126" s="47"/>
      <c r="S126" s="100"/>
      <c r="T126" s="100"/>
      <c r="U126" s="100"/>
      <c r="V126" s="100"/>
      <c r="W126" s="100"/>
      <c r="X126" s="100"/>
      <c r="Y126" s="100"/>
      <c r="Z126" s="100"/>
      <c r="AA126" s="100"/>
      <c r="AB126" s="47"/>
      <c r="AC126" s="100"/>
      <c r="AD126" s="100"/>
      <c r="AE126" s="100"/>
      <c r="AF126" s="71"/>
      <c r="AG126" s="71"/>
    </row>
    <row r="127" spans="1:33" ht="14.25" customHeight="1" x14ac:dyDescent="0.3">
      <c r="A127" s="100" t="s">
        <v>23</v>
      </c>
      <c r="B127" s="121" t="s">
        <v>233</v>
      </c>
      <c r="C127" s="47">
        <v>2222</v>
      </c>
      <c r="D127" s="100"/>
      <c r="E127" s="47">
        <v>1</v>
      </c>
      <c r="F127" s="47">
        <v>0</v>
      </c>
      <c r="G127" s="47">
        <v>0</v>
      </c>
      <c r="H127" s="100" t="s">
        <v>135</v>
      </c>
      <c r="I127" s="67"/>
      <c r="J127" s="67"/>
      <c r="K127" s="47">
        <v>1</v>
      </c>
      <c r="L127" s="122">
        <v>39406</v>
      </c>
      <c r="M127" s="123">
        <v>24.44</v>
      </c>
      <c r="N127" s="122">
        <v>40660</v>
      </c>
      <c r="O127" s="124">
        <v>25.65</v>
      </c>
      <c r="P127" s="47">
        <v>24.4</v>
      </c>
      <c r="Q127" s="47" t="s">
        <v>271</v>
      </c>
      <c r="R127" s="47">
        <v>3884</v>
      </c>
      <c r="S127" s="100"/>
      <c r="T127" s="100"/>
      <c r="U127" s="100"/>
      <c r="V127" s="100"/>
      <c r="W127" s="100"/>
      <c r="X127" s="100"/>
      <c r="Y127" s="100"/>
      <c r="Z127" s="100"/>
      <c r="AA127" s="100"/>
      <c r="AB127" s="47"/>
      <c r="AC127" s="100"/>
      <c r="AD127" s="100"/>
      <c r="AE127" s="100"/>
      <c r="AF127" s="71"/>
      <c r="AG127" s="71"/>
    </row>
    <row r="128" spans="1:33" ht="14.25" customHeight="1" x14ac:dyDescent="0.3">
      <c r="A128" s="100" t="s">
        <v>23</v>
      </c>
      <c r="B128" s="121" t="s">
        <v>233</v>
      </c>
      <c r="C128" s="47">
        <v>2223</v>
      </c>
      <c r="D128" s="100">
        <v>3628</v>
      </c>
      <c r="E128" s="47">
        <v>1</v>
      </c>
      <c r="F128" s="47">
        <v>0</v>
      </c>
      <c r="G128" s="47">
        <v>0</v>
      </c>
      <c r="H128" s="100" t="s">
        <v>25</v>
      </c>
      <c r="I128" s="67" t="s">
        <v>55</v>
      </c>
      <c r="J128" s="67" t="s">
        <v>56</v>
      </c>
      <c r="K128" s="47">
        <v>1</v>
      </c>
      <c r="L128" s="122">
        <v>39406</v>
      </c>
      <c r="M128" s="123">
        <v>10.46</v>
      </c>
      <c r="N128" s="122">
        <v>40660</v>
      </c>
      <c r="O128" s="124">
        <v>11.07</v>
      </c>
      <c r="P128" s="47">
        <v>11.6</v>
      </c>
      <c r="Q128" s="47"/>
      <c r="R128" s="47">
        <v>3893</v>
      </c>
      <c r="S128" s="100"/>
      <c r="T128" s="100"/>
      <c r="U128" s="100">
        <v>1</v>
      </c>
      <c r="V128" s="100"/>
      <c r="W128" s="100"/>
      <c r="X128" s="102">
        <v>45694</v>
      </c>
      <c r="Y128" s="100">
        <v>15.8</v>
      </c>
      <c r="Z128" s="100">
        <v>10.6</v>
      </c>
      <c r="AA128" s="100"/>
      <c r="AB128" s="47" t="s">
        <v>45</v>
      </c>
      <c r="AC128" s="100"/>
      <c r="AD128" s="100"/>
      <c r="AE128" s="100"/>
      <c r="AF128" s="71" t="s">
        <v>639</v>
      </c>
      <c r="AG128" s="71"/>
    </row>
    <row r="129" spans="1:33" ht="14.25" customHeight="1" x14ac:dyDescent="0.3">
      <c r="A129" s="100" t="s">
        <v>23</v>
      </c>
      <c r="B129" s="121" t="s">
        <v>233</v>
      </c>
      <c r="C129" s="47">
        <v>2226</v>
      </c>
      <c r="D129" s="100"/>
      <c r="E129" s="47">
        <v>1</v>
      </c>
      <c r="F129" s="47">
        <v>0</v>
      </c>
      <c r="G129" s="47">
        <v>0</v>
      </c>
      <c r="H129" s="100" t="s">
        <v>35</v>
      </c>
      <c r="I129" s="67" t="s">
        <v>36</v>
      </c>
      <c r="J129" s="67" t="s">
        <v>37</v>
      </c>
      <c r="K129" s="47">
        <v>1</v>
      </c>
      <c r="L129" s="122">
        <v>39406</v>
      </c>
      <c r="M129" s="123">
        <v>13.35</v>
      </c>
      <c r="N129" s="122">
        <v>40660</v>
      </c>
      <c r="O129" s="124">
        <v>13.35</v>
      </c>
      <c r="P129" s="47">
        <v>9.5</v>
      </c>
      <c r="Q129" s="47" t="s">
        <v>247</v>
      </c>
      <c r="R129" s="47"/>
      <c r="S129" s="100"/>
      <c r="T129" s="100"/>
      <c r="U129" s="100"/>
      <c r="V129" s="100"/>
      <c r="W129" s="100"/>
      <c r="X129" s="104"/>
      <c r="Y129" s="100"/>
      <c r="Z129" s="100"/>
      <c r="AA129" s="100"/>
      <c r="AB129" s="47"/>
      <c r="AC129" s="100"/>
      <c r="AD129" s="100"/>
      <c r="AE129" s="100"/>
      <c r="AF129" s="71"/>
      <c r="AG129" s="71"/>
    </row>
    <row r="130" spans="1:33" ht="14.25" customHeight="1" x14ac:dyDescent="0.3">
      <c r="A130" s="100" t="s">
        <v>23</v>
      </c>
      <c r="B130" s="121" t="s">
        <v>233</v>
      </c>
      <c r="C130" s="47">
        <v>2227</v>
      </c>
      <c r="D130" s="100"/>
      <c r="E130" s="47">
        <v>1</v>
      </c>
      <c r="F130" s="47">
        <v>0</v>
      </c>
      <c r="G130" s="47">
        <v>0</v>
      </c>
      <c r="H130" s="100" t="s">
        <v>25</v>
      </c>
      <c r="I130" s="67" t="s">
        <v>26</v>
      </c>
      <c r="J130" s="67" t="s">
        <v>274</v>
      </c>
      <c r="K130" s="47">
        <v>1</v>
      </c>
      <c r="L130" s="122">
        <v>39406</v>
      </c>
      <c r="M130" s="123">
        <v>27.26</v>
      </c>
      <c r="N130" s="122">
        <v>40660</v>
      </c>
      <c r="O130" s="124">
        <v>27.26</v>
      </c>
      <c r="P130" s="47">
        <v>20.7</v>
      </c>
      <c r="Q130" s="47"/>
      <c r="R130" s="47">
        <v>3894</v>
      </c>
      <c r="S130" s="100"/>
      <c r="T130" s="100"/>
      <c r="U130" s="100"/>
      <c r="V130" s="100"/>
      <c r="W130" s="100"/>
      <c r="X130" s="100"/>
      <c r="Y130" s="100"/>
      <c r="Z130" s="100"/>
      <c r="AA130" s="100"/>
      <c r="AB130" s="47"/>
      <c r="AC130" s="100"/>
      <c r="AD130" s="100"/>
      <c r="AE130" s="100"/>
      <c r="AF130" s="71"/>
      <c r="AG130" s="71"/>
    </row>
    <row r="131" spans="1:33" ht="14.25" customHeight="1" x14ac:dyDescent="0.3">
      <c r="A131" s="100" t="s">
        <v>23</v>
      </c>
      <c r="B131" s="121" t="s">
        <v>233</v>
      </c>
      <c r="C131" s="47">
        <v>2228</v>
      </c>
      <c r="D131" s="100"/>
      <c r="E131" s="47">
        <v>1</v>
      </c>
      <c r="F131" s="47">
        <v>0</v>
      </c>
      <c r="G131" s="47">
        <v>0</v>
      </c>
      <c r="H131" s="100" t="s">
        <v>138</v>
      </c>
      <c r="I131" s="67" t="s">
        <v>139</v>
      </c>
      <c r="J131" s="67" t="s">
        <v>140</v>
      </c>
      <c r="K131" s="47">
        <v>1</v>
      </c>
      <c r="L131" s="122">
        <v>39406</v>
      </c>
      <c r="M131" s="123">
        <v>11.5</v>
      </c>
      <c r="N131" s="122">
        <v>40660</v>
      </c>
      <c r="O131" s="124">
        <v>11.5</v>
      </c>
      <c r="P131" s="47">
        <v>14.2</v>
      </c>
      <c r="Q131" s="47"/>
      <c r="R131" s="47"/>
      <c r="S131" s="100"/>
      <c r="T131" s="100"/>
      <c r="U131" s="100"/>
      <c r="V131" s="100"/>
      <c r="W131" s="100"/>
      <c r="X131" s="100"/>
      <c r="Y131" s="100"/>
      <c r="Z131" s="100"/>
      <c r="AA131" s="100"/>
      <c r="AB131" s="47"/>
      <c r="AC131" s="100"/>
      <c r="AD131" s="100"/>
      <c r="AE131" s="100"/>
      <c r="AF131" s="71"/>
      <c r="AG131" s="71"/>
    </row>
    <row r="132" spans="1:33" ht="14.25" customHeight="1" x14ac:dyDescent="0.3">
      <c r="A132" s="100" t="s">
        <v>23</v>
      </c>
      <c r="B132" s="121" t="s">
        <v>233</v>
      </c>
      <c r="C132" s="47">
        <v>2229</v>
      </c>
      <c r="D132" s="100"/>
      <c r="E132" s="47">
        <v>1</v>
      </c>
      <c r="F132" s="47">
        <v>0</v>
      </c>
      <c r="G132" s="47">
        <v>0</v>
      </c>
      <c r="H132" s="100" t="s">
        <v>267</v>
      </c>
      <c r="I132" s="67" t="s">
        <v>268</v>
      </c>
      <c r="J132" s="67" t="s">
        <v>64</v>
      </c>
      <c r="K132" s="47">
        <v>1</v>
      </c>
      <c r="L132" s="122">
        <v>39406</v>
      </c>
      <c r="M132" s="123">
        <v>18.37</v>
      </c>
      <c r="N132" s="122">
        <v>40660</v>
      </c>
      <c r="O132" s="124">
        <v>19.43</v>
      </c>
      <c r="P132" s="47">
        <v>18.2</v>
      </c>
      <c r="Q132" s="47" t="s">
        <v>247</v>
      </c>
      <c r="R132" s="47"/>
      <c r="S132" s="100"/>
      <c r="T132" s="100"/>
      <c r="U132" s="100"/>
      <c r="V132" s="100"/>
      <c r="W132" s="100"/>
      <c r="X132" s="100"/>
      <c r="Y132" s="100"/>
      <c r="Z132" s="100"/>
      <c r="AA132" s="100"/>
      <c r="AB132" s="47"/>
      <c r="AC132" s="100"/>
      <c r="AD132" s="100"/>
      <c r="AE132" s="100"/>
      <c r="AF132" s="71"/>
      <c r="AG132" s="71"/>
    </row>
    <row r="133" spans="1:33" ht="14.25" customHeight="1" x14ac:dyDescent="0.3">
      <c r="A133" s="100" t="s">
        <v>23</v>
      </c>
      <c r="B133" s="121" t="s">
        <v>233</v>
      </c>
      <c r="C133" s="47">
        <v>2232</v>
      </c>
      <c r="D133" s="100"/>
      <c r="E133" s="47">
        <v>1</v>
      </c>
      <c r="F133" s="47">
        <v>0</v>
      </c>
      <c r="G133" s="47">
        <v>0</v>
      </c>
      <c r="H133" s="100" t="s">
        <v>46</v>
      </c>
      <c r="I133" s="67" t="s">
        <v>174</v>
      </c>
      <c r="J133" s="67" t="s">
        <v>275</v>
      </c>
      <c r="K133" s="47">
        <v>1</v>
      </c>
      <c r="L133" s="122">
        <v>39406</v>
      </c>
      <c r="M133" s="123">
        <v>19.13</v>
      </c>
      <c r="N133" s="122">
        <v>40660</v>
      </c>
      <c r="O133" s="124">
        <f>77/3.141592654</f>
        <v>24.509861232951557</v>
      </c>
      <c r="P133" s="47">
        <v>16.899999999999999</v>
      </c>
      <c r="Q133" s="47" t="s">
        <v>247</v>
      </c>
      <c r="R133" s="47">
        <v>3896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47"/>
      <c r="AC133" s="100"/>
      <c r="AD133" s="100"/>
      <c r="AE133" s="100"/>
      <c r="AF133" s="71"/>
      <c r="AG133" s="71"/>
    </row>
    <row r="134" spans="1:33" ht="14.25" customHeight="1" x14ac:dyDescent="0.3">
      <c r="A134" s="100" t="s">
        <v>23</v>
      </c>
      <c r="B134" s="121" t="s">
        <v>233</v>
      </c>
      <c r="C134" s="47">
        <v>2235</v>
      </c>
      <c r="D134" s="100"/>
      <c r="E134" s="47">
        <v>1</v>
      </c>
      <c r="F134" s="47">
        <v>0</v>
      </c>
      <c r="G134" s="47">
        <v>1</v>
      </c>
      <c r="H134" s="100" t="s">
        <v>35</v>
      </c>
      <c r="I134" s="67" t="s">
        <v>281</v>
      </c>
      <c r="J134" s="67" t="s">
        <v>168</v>
      </c>
      <c r="K134" s="47">
        <v>1</v>
      </c>
      <c r="L134" s="122">
        <v>39406</v>
      </c>
      <c r="M134" s="123">
        <v>19.36</v>
      </c>
      <c r="N134" s="122">
        <v>40660</v>
      </c>
      <c r="O134" s="124"/>
      <c r="P134" s="47"/>
      <c r="Q134" s="47" t="s">
        <v>117</v>
      </c>
      <c r="R134" s="47">
        <v>3898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47"/>
      <c r="AC134" s="100"/>
      <c r="AD134" s="100"/>
      <c r="AE134" s="100"/>
      <c r="AF134" s="71"/>
      <c r="AG134" s="71"/>
    </row>
    <row r="135" spans="1:33" ht="14.25" customHeight="1" x14ac:dyDescent="0.3">
      <c r="A135" s="100" t="s">
        <v>23</v>
      </c>
      <c r="B135" s="121" t="s">
        <v>233</v>
      </c>
      <c r="C135" s="47">
        <v>2240</v>
      </c>
      <c r="D135" s="100"/>
      <c r="E135" s="47">
        <v>1</v>
      </c>
      <c r="F135" s="47">
        <v>0</v>
      </c>
      <c r="G135" s="47">
        <v>0</v>
      </c>
      <c r="H135" s="100" t="s">
        <v>278</v>
      </c>
      <c r="I135" s="67" t="s">
        <v>279</v>
      </c>
      <c r="J135" s="67" t="s">
        <v>280</v>
      </c>
      <c r="K135" s="47">
        <v>1</v>
      </c>
      <c r="L135" s="122">
        <v>39406</v>
      </c>
      <c r="M135" s="123">
        <v>12.22</v>
      </c>
      <c r="N135" s="122">
        <v>40660</v>
      </c>
      <c r="O135" s="124">
        <v>14.55</v>
      </c>
      <c r="P135" s="47">
        <v>12.2</v>
      </c>
      <c r="Q135" s="47"/>
      <c r="R135" s="47"/>
      <c r="S135" s="100"/>
      <c r="T135" s="100"/>
      <c r="U135" s="100"/>
      <c r="V135" s="100"/>
      <c r="W135" s="100"/>
      <c r="X135" s="100"/>
      <c r="Y135" s="100"/>
      <c r="Z135" s="100"/>
      <c r="AA135" s="100"/>
      <c r="AB135" s="47"/>
      <c r="AC135" s="100"/>
      <c r="AD135" s="100"/>
      <c r="AE135" s="100"/>
      <c r="AF135" s="71"/>
      <c r="AG135" s="71"/>
    </row>
    <row r="136" spans="1:33" ht="14.25" customHeight="1" x14ac:dyDescent="0.3">
      <c r="A136" s="100" t="s">
        <v>23</v>
      </c>
      <c r="B136" s="121" t="s">
        <v>233</v>
      </c>
      <c r="C136" s="47">
        <v>2241</v>
      </c>
      <c r="D136" s="100"/>
      <c r="E136" s="47">
        <v>1</v>
      </c>
      <c r="F136" s="47">
        <v>0</v>
      </c>
      <c r="G136" s="47">
        <v>0</v>
      </c>
      <c r="H136" s="100" t="s">
        <v>288</v>
      </c>
      <c r="I136" s="67" t="s">
        <v>289</v>
      </c>
      <c r="J136" s="67" t="s">
        <v>290</v>
      </c>
      <c r="K136" s="47">
        <v>1</v>
      </c>
      <c r="L136" s="122">
        <v>39406</v>
      </c>
      <c r="M136" s="123">
        <v>29</v>
      </c>
      <c r="N136" s="122">
        <v>40660</v>
      </c>
      <c r="O136" s="124">
        <v>29.09</v>
      </c>
      <c r="P136" s="47">
        <v>23.1</v>
      </c>
      <c r="Q136" s="47"/>
      <c r="R136" s="47"/>
      <c r="S136" s="100"/>
      <c r="T136" s="100"/>
      <c r="U136" s="100"/>
      <c r="V136" s="100"/>
      <c r="W136" s="100"/>
      <c r="X136" s="100"/>
      <c r="Y136" s="100"/>
      <c r="Z136" s="100"/>
      <c r="AA136" s="100"/>
      <c r="AB136" s="47"/>
      <c r="AC136" s="100"/>
      <c r="AD136" s="100"/>
      <c r="AE136" s="100"/>
      <c r="AF136" s="71"/>
      <c r="AG136" s="71"/>
    </row>
    <row r="137" spans="1:33" ht="14.25" customHeight="1" x14ac:dyDescent="0.3">
      <c r="A137" s="100" t="s">
        <v>23</v>
      </c>
      <c r="B137" s="121" t="s">
        <v>233</v>
      </c>
      <c r="C137" s="47">
        <v>2243</v>
      </c>
      <c r="D137" s="100"/>
      <c r="E137" s="47">
        <v>1</v>
      </c>
      <c r="F137" s="47">
        <v>0</v>
      </c>
      <c r="G137" s="47">
        <v>0</v>
      </c>
      <c r="H137" s="100" t="s">
        <v>149</v>
      </c>
      <c r="I137" s="67"/>
      <c r="J137" s="67"/>
      <c r="K137" s="47">
        <v>1</v>
      </c>
      <c r="L137" s="122">
        <v>39406</v>
      </c>
      <c r="M137" s="123">
        <v>12.13</v>
      </c>
      <c r="N137" s="122">
        <v>40660</v>
      </c>
      <c r="O137" s="124">
        <v>12.78</v>
      </c>
      <c r="P137" s="47">
        <v>13.9</v>
      </c>
      <c r="Q137" s="47" t="s">
        <v>240</v>
      </c>
      <c r="R137" s="47">
        <v>3900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47"/>
      <c r="AC137" s="100"/>
      <c r="AD137" s="100"/>
      <c r="AE137" s="100"/>
      <c r="AF137" s="71"/>
      <c r="AG137" s="71"/>
    </row>
    <row r="138" spans="1:33" ht="14.25" customHeight="1" x14ac:dyDescent="0.3">
      <c r="A138" s="100" t="s">
        <v>23</v>
      </c>
      <c r="B138" s="121" t="s">
        <v>233</v>
      </c>
      <c r="C138" s="47">
        <v>2244</v>
      </c>
      <c r="D138" s="100"/>
      <c r="E138" s="47">
        <v>1</v>
      </c>
      <c r="F138" s="47">
        <v>0</v>
      </c>
      <c r="G138" s="47">
        <v>0</v>
      </c>
      <c r="H138" s="100" t="s">
        <v>77</v>
      </c>
      <c r="I138" s="67" t="s">
        <v>291</v>
      </c>
      <c r="J138" s="67" t="s">
        <v>292</v>
      </c>
      <c r="K138" s="47">
        <v>1</v>
      </c>
      <c r="L138" s="122">
        <v>39406</v>
      </c>
      <c r="M138" s="123">
        <v>10.59</v>
      </c>
      <c r="N138" s="122">
        <v>40660</v>
      </c>
      <c r="O138" s="124">
        <v>10.59</v>
      </c>
      <c r="P138" s="47">
        <v>10.5</v>
      </c>
      <c r="Q138" s="47"/>
      <c r="R138" s="47">
        <v>3901</v>
      </c>
      <c r="S138" s="100"/>
      <c r="T138" s="100"/>
      <c r="U138" s="100"/>
      <c r="V138" s="100"/>
      <c r="W138" s="100">
        <v>1</v>
      </c>
      <c r="X138" s="104">
        <v>45694</v>
      </c>
      <c r="Y138" s="100"/>
      <c r="Z138" s="100"/>
      <c r="AA138" s="100"/>
      <c r="AB138" s="47"/>
      <c r="AC138" s="100"/>
      <c r="AD138" s="100"/>
      <c r="AE138" s="100"/>
      <c r="AF138" s="71" t="s">
        <v>125</v>
      </c>
      <c r="AG138" s="71"/>
    </row>
    <row r="139" spans="1:33" ht="14.25" customHeight="1" x14ac:dyDescent="0.3">
      <c r="A139" s="100" t="s">
        <v>23</v>
      </c>
      <c r="B139" s="121" t="s">
        <v>233</v>
      </c>
      <c r="C139" s="47" t="s">
        <v>296</v>
      </c>
      <c r="D139" s="100"/>
      <c r="E139" s="47">
        <v>0</v>
      </c>
      <c r="F139" s="47">
        <v>1</v>
      </c>
      <c r="G139" s="47">
        <v>0</v>
      </c>
      <c r="H139" s="100" t="s">
        <v>112</v>
      </c>
      <c r="I139" s="67"/>
      <c r="J139" s="67"/>
      <c r="K139" s="47">
        <v>1</v>
      </c>
      <c r="L139" s="122">
        <v>39406</v>
      </c>
      <c r="M139" s="123"/>
      <c r="N139" s="122">
        <v>40660</v>
      </c>
      <c r="O139" s="124">
        <f>31.5/3.141592654</f>
        <v>10.026761413480182</v>
      </c>
      <c r="P139" s="47">
        <v>13.3</v>
      </c>
      <c r="Q139" s="47" t="s">
        <v>297</v>
      </c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47"/>
      <c r="AC139" s="100"/>
      <c r="AD139" s="100"/>
      <c r="AE139" s="100"/>
      <c r="AF139" s="71"/>
      <c r="AG139" s="71"/>
    </row>
    <row r="140" spans="1:33" ht="14.25" customHeight="1" x14ac:dyDescent="0.3">
      <c r="A140" s="100" t="s">
        <v>23</v>
      </c>
      <c r="B140" s="121" t="s">
        <v>233</v>
      </c>
      <c r="C140" s="47" t="s">
        <v>298</v>
      </c>
      <c r="D140" s="100"/>
      <c r="E140" s="47">
        <v>0</v>
      </c>
      <c r="F140" s="47">
        <v>1</v>
      </c>
      <c r="G140" s="47">
        <v>0</v>
      </c>
      <c r="H140" s="100" t="s">
        <v>135</v>
      </c>
      <c r="I140" s="67"/>
      <c r="J140" s="67"/>
      <c r="K140" s="47">
        <v>1</v>
      </c>
      <c r="L140" s="122">
        <v>39406</v>
      </c>
      <c r="M140" s="123"/>
      <c r="N140" s="122">
        <v>40660</v>
      </c>
      <c r="O140" s="124">
        <f>32/3.141592654</f>
        <v>10.185916356551298</v>
      </c>
      <c r="P140" s="47">
        <v>16.899999999999999</v>
      </c>
      <c r="Q140" s="47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47"/>
      <c r="AC140" s="100"/>
      <c r="AD140" s="100"/>
      <c r="AE140" s="100"/>
      <c r="AF140" s="71"/>
      <c r="AG140" s="71"/>
    </row>
    <row r="141" spans="1:33" ht="14.25" customHeight="1" x14ac:dyDescent="0.3">
      <c r="A141" s="100" t="s">
        <v>23</v>
      </c>
      <c r="B141" s="101" t="s">
        <v>304</v>
      </c>
      <c r="C141" s="47">
        <v>2247</v>
      </c>
      <c r="D141" s="100"/>
      <c r="E141" s="47">
        <v>1</v>
      </c>
      <c r="F141" s="100"/>
      <c r="G141" s="100"/>
      <c r="H141" s="100" t="s">
        <v>35</v>
      </c>
      <c r="I141" s="100" t="s">
        <v>36</v>
      </c>
      <c r="J141" s="100" t="s">
        <v>37</v>
      </c>
      <c r="K141" s="47">
        <v>0</v>
      </c>
      <c r="L141" s="102">
        <v>39170</v>
      </c>
      <c r="M141" s="100">
        <v>22.918311805232928</v>
      </c>
      <c r="N141" s="100"/>
      <c r="O141" s="100"/>
      <c r="P141" s="100"/>
      <c r="Q141" s="100" t="s">
        <v>305</v>
      </c>
      <c r="R141" s="103"/>
      <c r="S141" s="100"/>
      <c r="T141" s="100"/>
      <c r="U141" s="100"/>
      <c r="V141" s="100"/>
      <c r="W141" s="100"/>
      <c r="X141" s="100"/>
      <c r="Y141" s="100"/>
      <c r="Z141" s="100"/>
      <c r="AA141" s="100"/>
      <c r="AB141" s="47"/>
      <c r="AC141" s="100"/>
      <c r="AD141" s="100"/>
      <c r="AE141" s="100"/>
      <c r="AF141" s="71"/>
      <c r="AG141" s="71"/>
    </row>
    <row r="142" spans="1:33" ht="14.25" customHeight="1" x14ac:dyDescent="0.3">
      <c r="A142" s="100" t="s">
        <v>23</v>
      </c>
      <c r="B142" s="101" t="s">
        <v>304</v>
      </c>
      <c r="C142" s="47">
        <v>2248</v>
      </c>
      <c r="D142" s="100"/>
      <c r="E142" s="47">
        <v>1</v>
      </c>
      <c r="F142" s="100"/>
      <c r="G142" s="100"/>
      <c r="H142" s="100" t="s">
        <v>149</v>
      </c>
      <c r="I142" s="100" t="s">
        <v>222</v>
      </c>
      <c r="J142" s="100"/>
      <c r="K142" s="47">
        <v>0</v>
      </c>
      <c r="L142" s="102">
        <v>39170</v>
      </c>
      <c r="M142" s="100">
        <v>17.82535362629228</v>
      </c>
      <c r="N142" s="100"/>
      <c r="O142" s="100"/>
      <c r="P142" s="100"/>
      <c r="Q142" s="100" t="s">
        <v>306</v>
      </c>
      <c r="R142" s="103" t="s">
        <v>307</v>
      </c>
      <c r="S142" s="100"/>
      <c r="T142" s="100"/>
      <c r="U142" s="100"/>
      <c r="V142" s="100"/>
      <c r="W142" s="100"/>
      <c r="X142" s="100"/>
      <c r="Y142" s="100"/>
      <c r="Z142" s="100"/>
      <c r="AA142" s="100"/>
      <c r="AB142" s="47"/>
      <c r="AC142" s="100"/>
      <c r="AD142" s="100"/>
      <c r="AE142" s="100"/>
      <c r="AF142" s="71"/>
      <c r="AG142" s="71"/>
    </row>
    <row r="143" spans="1:33" ht="14.25" customHeight="1" x14ac:dyDescent="0.3">
      <c r="A143" s="100" t="s">
        <v>23</v>
      </c>
      <c r="B143" s="101" t="s">
        <v>304</v>
      </c>
      <c r="C143" s="47">
        <v>2249</v>
      </c>
      <c r="D143" s="100"/>
      <c r="E143" s="47">
        <v>1</v>
      </c>
      <c r="F143" s="100"/>
      <c r="G143" s="100"/>
      <c r="H143" s="100" t="s">
        <v>234</v>
      </c>
      <c r="I143" s="100" t="s">
        <v>308</v>
      </c>
      <c r="J143" s="100" t="s">
        <v>309</v>
      </c>
      <c r="K143" s="47">
        <v>0</v>
      </c>
      <c r="L143" s="102">
        <v>39170</v>
      </c>
      <c r="M143" s="100">
        <v>78.304232001212512</v>
      </c>
      <c r="N143" s="100"/>
      <c r="O143" s="100"/>
      <c r="P143" s="100"/>
      <c r="Q143" s="100" t="s">
        <v>310</v>
      </c>
      <c r="R143" s="103"/>
      <c r="S143" s="100"/>
      <c r="T143" s="100"/>
      <c r="U143" s="100"/>
      <c r="V143" s="100"/>
      <c r="W143" s="100"/>
      <c r="X143" s="100"/>
      <c r="Y143" s="100"/>
      <c r="Z143" s="100"/>
      <c r="AA143" s="100"/>
      <c r="AB143" s="47"/>
      <c r="AC143" s="100"/>
      <c r="AD143" s="100"/>
      <c r="AE143" s="100"/>
      <c r="AF143" s="71"/>
      <c r="AG143" s="71"/>
    </row>
    <row r="144" spans="1:33" ht="14.25" customHeight="1" x14ac:dyDescent="0.3">
      <c r="A144" s="100" t="s">
        <v>23</v>
      </c>
      <c r="B144" s="101" t="s">
        <v>304</v>
      </c>
      <c r="C144" s="47">
        <v>2250</v>
      </c>
      <c r="D144" s="100"/>
      <c r="E144" s="47">
        <v>1</v>
      </c>
      <c r="F144" s="100"/>
      <c r="G144" s="100"/>
      <c r="H144" s="100" t="s">
        <v>35</v>
      </c>
      <c r="I144" s="100" t="s">
        <v>36</v>
      </c>
      <c r="J144" s="100" t="s">
        <v>37</v>
      </c>
      <c r="K144" s="47">
        <v>0</v>
      </c>
      <c r="L144" s="102">
        <v>39170</v>
      </c>
      <c r="M144" s="100">
        <v>18.461973398659861</v>
      </c>
      <c r="N144" s="100"/>
      <c r="O144" s="100"/>
      <c r="P144" s="100"/>
      <c r="Q144" s="100" t="s">
        <v>305</v>
      </c>
      <c r="R144" s="103"/>
      <c r="S144" s="100"/>
      <c r="T144" s="100"/>
      <c r="U144" s="100"/>
      <c r="V144" s="100"/>
      <c r="W144" s="100"/>
      <c r="X144" s="100"/>
      <c r="Y144" s="100"/>
      <c r="Z144" s="100"/>
      <c r="AA144" s="100"/>
      <c r="AB144" s="47"/>
      <c r="AC144" s="100"/>
      <c r="AD144" s="100"/>
      <c r="AE144" s="100"/>
      <c r="AF144" s="71"/>
      <c r="AG144" s="71"/>
    </row>
    <row r="145" spans="1:33" ht="14.25" customHeight="1" x14ac:dyDescent="0.3">
      <c r="A145" s="100" t="s">
        <v>23</v>
      </c>
      <c r="B145" s="101" t="s">
        <v>304</v>
      </c>
      <c r="C145" s="47">
        <v>2251</v>
      </c>
      <c r="D145" s="100"/>
      <c r="E145" s="47">
        <v>1</v>
      </c>
      <c r="F145" s="100"/>
      <c r="G145" s="100"/>
      <c r="H145" s="100" t="s">
        <v>311</v>
      </c>
      <c r="I145" s="100" t="s">
        <v>312</v>
      </c>
      <c r="J145" s="100" t="s">
        <v>313</v>
      </c>
      <c r="K145" s="47">
        <v>0</v>
      </c>
      <c r="L145" s="102">
        <v>39170</v>
      </c>
      <c r="M145" s="100">
        <v>22.918311805232928</v>
      </c>
      <c r="N145" s="100"/>
      <c r="O145" s="100"/>
      <c r="P145" s="100"/>
      <c r="Q145" s="100" t="s">
        <v>314</v>
      </c>
      <c r="R145" s="103" t="s">
        <v>315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47"/>
      <c r="AC145" s="100"/>
      <c r="AD145" s="100"/>
      <c r="AE145" s="100"/>
      <c r="AF145" s="71"/>
      <c r="AG145" s="71"/>
    </row>
    <row r="146" spans="1:33" ht="14.25" customHeight="1" x14ac:dyDescent="0.3">
      <c r="A146" s="100" t="s">
        <v>23</v>
      </c>
      <c r="B146" s="101" t="s">
        <v>304</v>
      </c>
      <c r="C146" s="47">
        <v>2252</v>
      </c>
      <c r="D146" s="100"/>
      <c r="E146" s="47">
        <v>1</v>
      </c>
      <c r="F146" s="100"/>
      <c r="G146" s="100"/>
      <c r="H146" s="100" t="s">
        <v>149</v>
      </c>
      <c r="I146" s="100"/>
      <c r="J146" s="100"/>
      <c r="K146" s="47">
        <v>0</v>
      </c>
      <c r="L146" s="102">
        <v>39170</v>
      </c>
      <c r="M146" s="100">
        <v>12.095775674984045</v>
      </c>
      <c r="N146" s="100"/>
      <c r="O146" s="100"/>
      <c r="P146" s="100"/>
      <c r="Q146" s="100" t="s">
        <v>157</v>
      </c>
      <c r="R146" s="103" t="s">
        <v>316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47"/>
      <c r="AC146" s="100"/>
      <c r="AD146" s="100"/>
      <c r="AE146" s="100"/>
      <c r="AF146" s="71"/>
      <c r="AG146" s="71"/>
    </row>
    <row r="147" spans="1:33" ht="14.25" customHeight="1" x14ac:dyDescent="0.3">
      <c r="A147" s="100" t="s">
        <v>23</v>
      </c>
      <c r="B147" s="101" t="s">
        <v>304</v>
      </c>
      <c r="C147" s="47">
        <v>2253</v>
      </c>
      <c r="D147" s="100"/>
      <c r="E147" s="47">
        <v>1</v>
      </c>
      <c r="F147" s="100"/>
      <c r="G147" s="100"/>
      <c r="H147" s="100" t="s">
        <v>46</v>
      </c>
      <c r="I147" s="100" t="s">
        <v>174</v>
      </c>
      <c r="J147" s="100" t="s">
        <v>317</v>
      </c>
      <c r="K147" s="47">
        <v>0</v>
      </c>
      <c r="L147" s="102">
        <v>39170</v>
      </c>
      <c r="M147" s="100">
        <v>28.01126998417358</v>
      </c>
      <c r="N147" s="100"/>
      <c r="O147" s="100"/>
      <c r="P147" s="100"/>
      <c r="Q147" s="100" t="s">
        <v>318</v>
      </c>
      <c r="R147" s="103" t="s">
        <v>319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47"/>
      <c r="AC147" s="100"/>
      <c r="AD147" s="100"/>
      <c r="AE147" s="100"/>
      <c r="AF147" s="71"/>
      <c r="AG147" s="71"/>
    </row>
    <row r="148" spans="1:33" ht="14.25" customHeight="1" x14ac:dyDescent="0.3">
      <c r="A148" s="100" t="s">
        <v>23</v>
      </c>
      <c r="B148" s="101" t="s">
        <v>304</v>
      </c>
      <c r="C148" s="47">
        <v>2254</v>
      </c>
      <c r="D148" s="100"/>
      <c r="E148" s="47">
        <v>1</v>
      </c>
      <c r="F148" s="100"/>
      <c r="G148" s="100"/>
      <c r="H148" s="100" t="s">
        <v>35</v>
      </c>
      <c r="I148" s="100" t="s">
        <v>144</v>
      </c>
      <c r="J148" s="100" t="s">
        <v>145</v>
      </c>
      <c r="K148" s="47">
        <v>0</v>
      </c>
      <c r="L148" s="102">
        <v>39170</v>
      </c>
      <c r="M148" s="100">
        <v>37.242256683503513</v>
      </c>
      <c r="N148" s="100"/>
      <c r="O148" s="100"/>
      <c r="P148" s="100"/>
      <c r="Q148" s="100" t="s">
        <v>320</v>
      </c>
      <c r="R148" s="103"/>
      <c r="S148" s="100"/>
      <c r="T148" s="100"/>
      <c r="U148" s="100"/>
      <c r="V148" s="100"/>
      <c r="W148" s="100"/>
      <c r="X148" s="100"/>
      <c r="Y148" s="100"/>
      <c r="Z148" s="100"/>
      <c r="AA148" s="100"/>
      <c r="AB148" s="47"/>
      <c r="AC148" s="100"/>
      <c r="AD148" s="100"/>
      <c r="AE148" s="100"/>
      <c r="AF148" s="71"/>
      <c r="AG148" s="71"/>
    </row>
    <row r="149" spans="1:33" ht="14.25" customHeight="1" x14ac:dyDescent="0.3">
      <c r="A149" s="100" t="s">
        <v>23</v>
      </c>
      <c r="B149" s="101" t="s">
        <v>304</v>
      </c>
      <c r="C149" s="47">
        <v>2255</v>
      </c>
      <c r="D149" s="100"/>
      <c r="E149" s="47">
        <v>1</v>
      </c>
      <c r="F149" s="100"/>
      <c r="G149" s="100"/>
      <c r="H149" s="100" t="s">
        <v>35</v>
      </c>
      <c r="I149" s="100" t="s">
        <v>36</v>
      </c>
      <c r="J149" s="100" t="s">
        <v>37</v>
      </c>
      <c r="K149" s="47">
        <v>0</v>
      </c>
      <c r="L149" s="102">
        <v>39170</v>
      </c>
      <c r="M149" s="100">
        <v>12.414085561167836</v>
      </c>
      <c r="N149" s="100"/>
      <c r="O149" s="100"/>
      <c r="P149" s="100"/>
      <c r="Q149" s="100" t="s">
        <v>305</v>
      </c>
      <c r="R149" s="103" t="s">
        <v>321</v>
      </c>
      <c r="S149" s="100"/>
      <c r="T149" s="100"/>
      <c r="U149" s="100"/>
      <c r="V149" s="100"/>
      <c r="W149" s="100"/>
      <c r="X149" s="100"/>
      <c r="Y149" s="100"/>
      <c r="Z149" s="100"/>
      <c r="AA149" s="100"/>
      <c r="AB149" s="47"/>
      <c r="AC149" s="100"/>
      <c r="AD149" s="100"/>
      <c r="AE149" s="100"/>
      <c r="AF149" s="71"/>
      <c r="AG149" s="71"/>
    </row>
    <row r="150" spans="1:33" ht="14.25" customHeight="1" x14ac:dyDescent="0.3">
      <c r="A150" s="100" t="s">
        <v>23</v>
      </c>
      <c r="B150" s="101" t="s">
        <v>304</v>
      </c>
      <c r="C150" s="47">
        <v>2256</v>
      </c>
      <c r="D150" s="100"/>
      <c r="E150" s="47">
        <v>1</v>
      </c>
      <c r="F150" s="100"/>
      <c r="G150" s="100"/>
      <c r="H150" s="100" t="s">
        <v>138</v>
      </c>
      <c r="I150" s="100" t="s">
        <v>272</v>
      </c>
      <c r="J150" s="100" t="s">
        <v>322</v>
      </c>
      <c r="K150" s="47">
        <v>0</v>
      </c>
      <c r="L150" s="102">
        <v>39170</v>
      </c>
      <c r="M150" s="100">
        <v>10.185916357881302</v>
      </c>
      <c r="N150" s="100"/>
      <c r="O150" s="100"/>
      <c r="P150" s="100"/>
      <c r="Q150" s="100" t="s">
        <v>323</v>
      </c>
      <c r="R150" s="103" t="s">
        <v>324</v>
      </c>
      <c r="S150" s="100"/>
      <c r="T150" s="100"/>
      <c r="U150" s="100"/>
      <c r="V150" s="100"/>
      <c r="W150" s="100"/>
      <c r="X150" s="100"/>
      <c r="Y150" s="100"/>
      <c r="Z150" s="100"/>
      <c r="AA150" s="100"/>
      <c r="AB150" s="47"/>
      <c r="AC150" s="100"/>
      <c r="AD150" s="100"/>
      <c r="AE150" s="100"/>
      <c r="AF150" s="71"/>
      <c r="AG150" s="71"/>
    </row>
    <row r="151" spans="1:33" ht="14.25" customHeight="1" x14ac:dyDescent="0.3">
      <c r="A151" s="100" t="s">
        <v>23</v>
      </c>
      <c r="B151" s="101" t="s">
        <v>304</v>
      </c>
      <c r="C151" s="47">
        <v>2257</v>
      </c>
      <c r="D151" s="100"/>
      <c r="E151" s="47">
        <v>1</v>
      </c>
      <c r="F151" s="100"/>
      <c r="G151" s="100"/>
      <c r="H151" s="100" t="s">
        <v>149</v>
      </c>
      <c r="I151" s="100" t="s">
        <v>222</v>
      </c>
      <c r="J151" s="100"/>
      <c r="K151" s="47">
        <v>0</v>
      </c>
      <c r="L151" s="102">
        <v>39170</v>
      </c>
      <c r="M151" s="100">
        <v>81.8056407492342</v>
      </c>
      <c r="N151" s="100"/>
      <c r="O151" s="100"/>
      <c r="P151" s="100"/>
      <c r="Q151" s="100" t="s">
        <v>325</v>
      </c>
      <c r="R151" s="103"/>
      <c r="S151" s="100"/>
      <c r="T151" s="100"/>
      <c r="U151" s="100"/>
      <c r="V151" s="100"/>
      <c r="W151" s="100"/>
      <c r="X151" s="100"/>
      <c r="Y151" s="100"/>
      <c r="Z151" s="100"/>
      <c r="AA151" s="100"/>
      <c r="AB151" s="47"/>
      <c r="AC151" s="100"/>
      <c r="AD151" s="100"/>
      <c r="AE151" s="100"/>
      <c r="AF151" s="71"/>
      <c r="AG151" s="71"/>
    </row>
    <row r="152" spans="1:33" ht="14.25" customHeight="1" x14ac:dyDescent="0.3">
      <c r="A152" s="100" t="s">
        <v>23</v>
      </c>
      <c r="B152" s="101" t="s">
        <v>304</v>
      </c>
      <c r="C152" s="47">
        <v>2258</v>
      </c>
      <c r="D152" s="100"/>
      <c r="E152" s="47">
        <v>1</v>
      </c>
      <c r="F152" s="100"/>
      <c r="G152" s="100"/>
      <c r="H152" s="100" t="s">
        <v>311</v>
      </c>
      <c r="I152" s="100" t="s">
        <v>312</v>
      </c>
      <c r="J152" s="100" t="s">
        <v>313</v>
      </c>
      <c r="K152" s="47">
        <v>0</v>
      </c>
      <c r="L152" s="102">
        <v>39170</v>
      </c>
      <c r="M152" s="100">
        <v>13.687325105903</v>
      </c>
      <c r="N152" s="100"/>
      <c r="O152" s="100"/>
      <c r="P152" s="100"/>
      <c r="Q152" s="100" t="s">
        <v>326</v>
      </c>
      <c r="R152" s="103"/>
      <c r="S152" s="100"/>
      <c r="T152" s="100"/>
      <c r="U152" s="100"/>
      <c r="V152" s="100"/>
      <c r="W152" s="100"/>
      <c r="X152" s="100"/>
      <c r="Y152" s="100"/>
      <c r="Z152" s="100"/>
      <c r="AA152" s="100"/>
      <c r="AB152" s="47"/>
      <c r="AC152" s="100"/>
      <c r="AD152" s="100"/>
      <c r="AE152" s="100"/>
      <c r="AF152" s="71"/>
      <c r="AG152" s="71"/>
    </row>
    <row r="153" spans="1:33" ht="14.25" customHeight="1" x14ac:dyDescent="0.3">
      <c r="A153" s="100" t="s">
        <v>23</v>
      </c>
      <c r="B153" s="101" t="s">
        <v>304</v>
      </c>
      <c r="C153" s="47">
        <v>2259</v>
      </c>
      <c r="D153" s="100"/>
      <c r="E153" s="47">
        <v>1</v>
      </c>
      <c r="F153" s="100"/>
      <c r="G153" s="100"/>
      <c r="H153" s="100" t="s">
        <v>327</v>
      </c>
      <c r="I153" s="100" t="s">
        <v>328</v>
      </c>
      <c r="J153" s="100" t="s">
        <v>329</v>
      </c>
      <c r="K153" s="47">
        <v>0</v>
      </c>
      <c r="L153" s="102">
        <v>39170</v>
      </c>
      <c r="M153" s="100">
        <v>22.281692032865347</v>
      </c>
      <c r="N153" s="100"/>
      <c r="O153" s="100"/>
      <c r="P153" s="100"/>
      <c r="Q153" s="100" t="s">
        <v>330</v>
      </c>
      <c r="R153" s="103" t="s">
        <v>331</v>
      </c>
      <c r="S153" s="100"/>
      <c r="T153" s="100"/>
      <c r="U153" s="100"/>
      <c r="V153" s="100"/>
      <c r="W153" s="100"/>
      <c r="X153" s="100"/>
      <c r="Y153" s="100"/>
      <c r="Z153" s="100"/>
      <c r="AA153" s="100"/>
      <c r="AB153" s="47"/>
      <c r="AC153" s="100"/>
      <c r="AD153" s="100"/>
      <c r="AE153" s="100"/>
      <c r="AF153" s="71"/>
      <c r="AG153" s="71"/>
    </row>
    <row r="154" spans="1:33" ht="14.25" customHeight="1" x14ac:dyDescent="0.3">
      <c r="A154" s="100" t="s">
        <v>23</v>
      </c>
      <c r="B154" s="101" t="s">
        <v>304</v>
      </c>
      <c r="C154" s="47">
        <v>2260</v>
      </c>
      <c r="D154" s="100"/>
      <c r="E154" s="47">
        <v>1</v>
      </c>
      <c r="F154" s="100"/>
      <c r="G154" s="100"/>
      <c r="H154" s="100" t="s">
        <v>332</v>
      </c>
      <c r="I154" s="100" t="s">
        <v>333</v>
      </c>
      <c r="J154" s="100" t="s">
        <v>64</v>
      </c>
      <c r="K154" s="47">
        <v>0</v>
      </c>
      <c r="L154" s="102">
        <v>39170</v>
      </c>
      <c r="M154" s="100">
        <v>27.374650211805999</v>
      </c>
      <c r="N154" s="100"/>
      <c r="O154" s="100"/>
      <c r="P154" s="100"/>
      <c r="Q154" s="100" t="s">
        <v>334</v>
      </c>
      <c r="R154" s="103" t="s">
        <v>335</v>
      </c>
      <c r="S154" s="100"/>
      <c r="T154" s="100"/>
      <c r="U154" s="100"/>
      <c r="V154" s="100"/>
      <c r="W154" s="100"/>
      <c r="X154" s="100"/>
      <c r="Y154" s="100"/>
      <c r="Z154" s="100"/>
      <c r="AA154" s="100"/>
      <c r="AB154" s="47"/>
      <c r="AC154" s="100"/>
      <c r="AD154" s="100"/>
      <c r="AE154" s="100"/>
      <c r="AF154" s="71"/>
      <c r="AG154" s="71"/>
    </row>
    <row r="155" spans="1:33" ht="14.25" customHeight="1" x14ac:dyDescent="0.3">
      <c r="A155" s="100" t="s">
        <v>23</v>
      </c>
      <c r="B155" s="101" t="s">
        <v>304</v>
      </c>
      <c r="C155" s="47">
        <v>2261</v>
      </c>
      <c r="D155" s="100"/>
      <c r="E155" s="47">
        <v>1</v>
      </c>
      <c r="F155" s="100"/>
      <c r="G155" s="100"/>
      <c r="H155" s="100" t="s">
        <v>149</v>
      </c>
      <c r="I155" s="100" t="s">
        <v>150</v>
      </c>
      <c r="J155" s="100"/>
      <c r="K155" s="47">
        <v>0</v>
      </c>
      <c r="L155" s="102">
        <v>39170</v>
      </c>
      <c r="M155" s="100">
        <v>38.515496228238675</v>
      </c>
      <c r="N155" s="100"/>
      <c r="O155" s="100"/>
      <c r="P155" s="100"/>
      <c r="Q155" s="100" t="s">
        <v>336</v>
      </c>
      <c r="R155" s="103" t="s">
        <v>337</v>
      </c>
      <c r="S155" s="100"/>
      <c r="T155" s="100"/>
      <c r="U155" s="100"/>
      <c r="V155" s="100"/>
      <c r="W155" s="100"/>
      <c r="X155" s="100"/>
      <c r="Y155" s="100"/>
      <c r="Z155" s="100"/>
      <c r="AA155" s="100"/>
      <c r="AB155" s="47"/>
      <c r="AC155" s="100"/>
      <c r="AD155" s="100"/>
      <c r="AE155" s="100"/>
      <c r="AF155" s="71"/>
      <c r="AG155" s="71"/>
    </row>
    <row r="156" spans="1:33" ht="14.25" customHeight="1" x14ac:dyDescent="0.3">
      <c r="A156" s="100" t="s">
        <v>23</v>
      </c>
      <c r="B156" s="101" t="s">
        <v>304</v>
      </c>
      <c r="C156" s="47">
        <v>2262</v>
      </c>
      <c r="D156" s="100"/>
      <c r="E156" s="47">
        <v>1</v>
      </c>
      <c r="F156" s="100"/>
      <c r="G156" s="100"/>
      <c r="H156" s="100" t="s">
        <v>77</v>
      </c>
      <c r="I156" s="100" t="s">
        <v>338</v>
      </c>
      <c r="J156" s="100" t="s">
        <v>339</v>
      </c>
      <c r="K156" s="47">
        <v>0</v>
      </c>
      <c r="L156" s="102">
        <v>39170</v>
      </c>
      <c r="M156" s="100">
        <v>12.095775674984045</v>
      </c>
      <c r="N156" s="100"/>
      <c r="O156" s="100"/>
      <c r="P156" s="100"/>
      <c r="Q156" s="100" t="s">
        <v>340</v>
      </c>
      <c r="R156" s="103" t="s">
        <v>341</v>
      </c>
      <c r="S156" s="100"/>
      <c r="T156" s="100"/>
      <c r="U156" s="100"/>
      <c r="V156" s="100"/>
      <c r="W156" s="100"/>
      <c r="X156" s="100"/>
      <c r="Y156" s="100"/>
      <c r="Z156" s="100"/>
      <c r="AA156" s="100"/>
      <c r="AB156" s="47"/>
      <c r="AC156" s="100"/>
      <c r="AD156" s="100"/>
      <c r="AE156" s="100"/>
      <c r="AF156" s="71"/>
      <c r="AG156" s="71"/>
    </row>
    <row r="157" spans="1:33" ht="14.25" customHeight="1" x14ac:dyDescent="0.3">
      <c r="A157" s="100" t="s">
        <v>23</v>
      </c>
      <c r="B157" s="101" t="s">
        <v>304</v>
      </c>
      <c r="C157" s="47">
        <v>2263</v>
      </c>
      <c r="D157" s="100"/>
      <c r="E157" s="47">
        <v>1</v>
      </c>
      <c r="F157" s="100"/>
      <c r="G157" s="100"/>
      <c r="H157" s="100" t="s">
        <v>311</v>
      </c>
      <c r="I157" s="100" t="s">
        <v>312</v>
      </c>
      <c r="J157" s="100" t="s">
        <v>313</v>
      </c>
      <c r="K157" s="47">
        <v>0</v>
      </c>
      <c r="L157" s="102">
        <v>39170</v>
      </c>
      <c r="M157" s="100">
        <v>38.197186342054884</v>
      </c>
      <c r="N157" s="100"/>
      <c r="O157" s="100"/>
      <c r="P157" s="100"/>
      <c r="Q157" s="100" t="s">
        <v>326</v>
      </c>
      <c r="R157" s="103"/>
      <c r="S157" s="100"/>
      <c r="T157" s="100"/>
      <c r="U157" s="100"/>
      <c r="V157" s="100"/>
      <c r="W157" s="100"/>
      <c r="X157" s="100"/>
      <c r="Y157" s="100"/>
      <c r="Z157" s="100"/>
      <c r="AA157" s="100"/>
      <c r="AB157" s="47"/>
      <c r="AC157" s="100"/>
      <c r="AD157" s="100"/>
      <c r="AE157" s="100"/>
      <c r="AF157" s="71"/>
      <c r="AG157" s="71"/>
    </row>
    <row r="158" spans="1:33" ht="14.25" customHeight="1" x14ac:dyDescent="0.3">
      <c r="A158" s="100" t="s">
        <v>23</v>
      </c>
      <c r="B158" s="101" t="s">
        <v>304</v>
      </c>
      <c r="C158" s="47">
        <v>2264</v>
      </c>
      <c r="D158" s="100"/>
      <c r="E158" s="47">
        <v>1</v>
      </c>
      <c r="F158" s="100"/>
      <c r="G158" s="100"/>
      <c r="H158" s="100" t="s">
        <v>342</v>
      </c>
      <c r="I158" s="100" t="s">
        <v>343</v>
      </c>
      <c r="J158" s="100"/>
      <c r="K158" s="47">
        <v>0</v>
      </c>
      <c r="L158" s="102">
        <v>39170</v>
      </c>
      <c r="M158" s="100">
        <v>15.597184423005743</v>
      </c>
      <c r="N158" s="100"/>
      <c r="O158" s="100"/>
      <c r="P158" s="100"/>
      <c r="Q158" s="100" t="s">
        <v>344</v>
      </c>
      <c r="R158" s="103" t="s">
        <v>345</v>
      </c>
      <c r="S158" s="100"/>
      <c r="T158" s="100"/>
      <c r="U158" s="100"/>
      <c r="V158" s="100"/>
      <c r="W158" s="100"/>
      <c r="X158" s="100"/>
      <c r="Y158" s="100"/>
      <c r="Z158" s="100"/>
      <c r="AA158" s="100"/>
      <c r="AB158" s="47"/>
      <c r="AC158" s="100"/>
      <c r="AD158" s="100"/>
      <c r="AE158" s="100"/>
      <c r="AF158" s="71"/>
      <c r="AG158" s="71"/>
    </row>
    <row r="159" spans="1:33" ht="14.25" customHeight="1" x14ac:dyDescent="0.3">
      <c r="A159" s="100" t="s">
        <v>23</v>
      </c>
      <c r="B159" s="101" t="s">
        <v>304</v>
      </c>
      <c r="C159" s="47">
        <v>2265</v>
      </c>
      <c r="D159" s="100"/>
      <c r="E159" s="47">
        <v>1</v>
      </c>
      <c r="F159" s="100"/>
      <c r="G159" s="100"/>
      <c r="H159" s="100" t="s">
        <v>149</v>
      </c>
      <c r="I159" s="100" t="s">
        <v>222</v>
      </c>
      <c r="J159" s="100"/>
      <c r="K159" s="47">
        <v>0</v>
      </c>
      <c r="L159" s="102">
        <v>39170</v>
      </c>
      <c r="M159" s="100">
        <v>25.783100780887047</v>
      </c>
      <c r="N159" s="100"/>
      <c r="O159" s="100"/>
      <c r="P159" s="100"/>
      <c r="Q159" s="100" t="s">
        <v>346</v>
      </c>
      <c r="R159" s="103"/>
      <c r="S159" s="100"/>
      <c r="T159" s="100"/>
      <c r="U159" s="100"/>
      <c r="V159" s="100"/>
      <c r="W159" s="100"/>
      <c r="X159" s="100"/>
      <c r="Y159" s="100"/>
      <c r="Z159" s="100"/>
      <c r="AA159" s="100"/>
      <c r="AB159" s="47"/>
      <c r="AC159" s="100"/>
      <c r="AD159" s="100"/>
      <c r="AE159" s="100"/>
      <c r="AF159" s="71"/>
      <c r="AG159" s="71"/>
    </row>
    <row r="160" spans="1:33" ht="14.25" customHeight="1" x14ac:dyDescent="0.3">
      <c r="A160" s="100" t="s">
        <v>23</v>
      </c>
      <c r="B160" s="101" t="s">
        <v>304</v>
      </c>
      <c r="C160" s="47">
        <v>2266</v>
      </c>
      <c r="D160" s="100"/>
      <c r="E160" s="47">
        <v>1</v>
      </c>
      <c r="F160" s="100"/>
      <c r="G160" s="100"/>
      <c r="H160" s="100" t="s">
        <v>35</v>
      </c>
      <c r="I160" s="100" t="s">
        <v>144</v>
      </c>
      <c r="J160" s="100" t="s">
        <v>145</v>
      </c>
      <c r="K160" s="47">
        <v>0</v>
      </c>
      <c r="L160" s="102">
        <v>39170</v>
      </c>
      <c r="M160" s="100">
        <v>24.191551349968091</v>
      </c>
      <c r="N160" s="100"/>
      <c r="O160" s="100"/>
      <c r="P160" s="100"/>
      <c r="Q160" s="100" t="s">
        <v>347</v>
      </c>
      <c r="R160" s="103" t="s">
        <v>348</v>
      </c>
      <c r="S160" s="100"/>
      <c r="T160" s="100"/>
      <c r="U160" s="100"/>
      <c r="V160" s="100"/>
      <c r="W160" s="100"/>
      <c r="X160" s="100"/>
      <c r="Y160" s="100"/>
      <c r="Z160" s="100"/>
      <c r="AA160" s="100"/>
      <c r="AB160" s="47"/>
      <c r="AC160" s="100"/>
      <c r="AD160" s="100"/>
      <c r="AE160" s="100"/>
      <c r="AF160" s="71"/>
      <c r="AG160" s="71"/>
    </row>
    <row r="161" spans="1:33" ht="14.25" customHeight="1" x14ac:dyDescent="0.3">
      <c r="A161" s="100" t="s">
        <v>23</v>
      </c>
      <c r="B161" s="101" t="s">
        <v>304</v>
      </c>
      <c r="C161" s="47">
        <v>2267</v>
      </c>
      <c r="D161" s="100"/>
      <c r="E161" s="47">
        <v>1</v>
      </c>
      <c r="F161" s="100"/>
      <c r="G161" s="100"/>
      <c r="H161" s="100" t="s">
        <v>149</v>
      </c>
      <c r="I161" s="100" t="s">
        <v>228</v>
      </c>
      <c r="J161" s="100" t="s">
        <v>229</v>
      </c>
      <c r="K161" s="47">
        <v>0</v>
      </c>
      <c r="L161" s="102">
        <v>39170</v>
      </c>
      <c r="M161" s="100">
        <v>35.65070725258456</v>
      </c>
      <c r="N161" s="100"/>
      <c r="O161" s="100"/>
      <c r="P161" s="100"/>
      <c r="Q161" s="100" t="s">
        <v>157</v>
      </c>
      <c r="R161" s="103" t="s">
        <v>349</v>
      </c>
      <c r="S161" s="100"/>
      <c r="T161" s="100"/>
      <c r="U161" s="100"/>
      <c r="V161" s="100"/>
      <c r="W161" s="100"/>
      <c r="X161" s="100"/>
      <c r="Y161" s="100"/>
      <c r="Z161" s="100"/>
      <c r="AA161" s="100"/>
      <c r="AB161" s="47"/>
      <c r="AC161" s="100"/>
      <c r="AD161" s="100"/>
      <c r="AE161" s="100"/>
      <c r="AF161" s="71"/>
      <c r="AG161" s="71"/>
    </row>
    <row r="162" spans="1:33" ht="14.25" customHeight="1" x14ac:dyDescent="0.3">
      <c r="A162" s="100" t="s">
        <v>23</v>
      </c>
      <c r="B162" s="101" t="s">
        <v>304</v>
      </c>
      <c r="C162" s="47">
        <v>2268</v>
      </c>
      <c r="D162" s="100"/>
      <c r="E162" s="47">
        <v>1</v>
      </c>
      <c r="F162" s="100"/>
      <c r="G162" s="100"/>
      <c r="H162" s="100" t="s">
        <v>35</v>
      </c>
      <c r="I162" s="100" t="s">
        <v>144</v>
      </c>
      <c r="J162" s="100" t="s">
        <v>145</v>
      </c>
      <c r="K162" s="47">
        <v>0</v>
      </c>
      <c r="L162" s="102">
        <v>39170</v>
      </c>
      <c r="M162" s="100">
        <v>13.369015219719209</v>
      </c>
      <c r="N162" s="100"/>
      <c r="O162" s="100"/>
      <c r="P162" s="100"/>
      <c r="Q162" s="100" t="s">
        <v>350</v>
      </c>
      <c r="R162" s="103"/>
      <c r="S162" s="100"/>
      <c r="T162" s="100"/>
      <c r="U162" s="100"/>
      <c r="V162" s="100"/>
      <c r="W162" s="100"/>
      <c r="X162" s="100"/>
      <c r="Y162" s="100"/>
      <c r="Z162" s="100"/>
      <c r="AA162" s="100"/>
      <c r="AB162" s="47"/>
      <c r="AC162" s="100"/>
      <c r="AD162" s="100"/>
      <c r="AE162" s="100"/>
      <c r="AF162" s="71"/>
      <c r="AG162" s="71"/>
    </row>
    <row r="163" spans="1:33" ht="14.25" customHeight="1" x14ac:dyDescent="0.3">
      <c r="A163" s="100" t="s">
        <v>23</v>
      </c>
      <c r="B163" s="101" t="s">
        <v>304</v>
      </c>
      <c r="C163" s="47">
        <v>2269</v>
      </c>
      <c r="D163" s="100"/>
      <c r="E163" s="47">
        <v>1</v>
      </c>
      <c r="F163" s="100"/>
      <c r="G163" s="100"/>
      <c r="H163" s="100" t="s">
        <v>35</v>
      </c>
      <c r="I163" s="100" t="s">
        <v>36</v>
      </c>
      <c r="J163" s="100" t="s">
        <v>37</v>
      </c>
      <c r="K163" s="47">
        <v>0</v>
      </c>
      <c r="L163" s="102">
        <v>39170</v>
      </c>
      <c r="M163" s="100">
        <v>16.870423967740905</v>
      </c>
      <c r="N163" s="100"/>
      <c r="O163" s="100"/>
      <c r="P163" s="100"/>
      <c r="Q163" s="100" t="s">
        <v>305</v>
      </c>
      <c r="R163" s="103"/>
      <c r="S163" s="100"/>
      <c r="T163" s="100"/>
      <c r="U163" s="100"/>
      <c r="V163" s="100"/>
      <c r="W163" s="100"/>
      <c r="X163" s="100"/>
      <c r="Y163" s="100"/>
      <c r="Z163" s="100"/>
      <c r="AA163" s="100"/>
      <c r="AB163" s="47"/>
      <c r="AC163" s="100"/>
      <c r="AD163" s="100"/>
      <c r="AE163" s="100"/>
      <c r="AF163" s="71"/>
      <c r="AG163" s="71"/>
    </row>
    <row r="164" spans="1:33" ht="14.25" customHeight="1" x14ac:dyDescent="0.3">
      <c r="A164" s="100" t="s">
        <v>23</v>
      </c>
      <c r="B164" s="101" t="s">
        <v>304</v>
      </c>
      <c r="C164" s="47">
        <v>2270</v>
      </c>
      <c r="D164" s="100"/>
      <c r="E164" s="47">
        <v>1</v>
      </c>
      <c r="F164" s="100"/>
      <c r="G164" s="100"/>
      <c r="H164" s="100" t="s">
        <v>29</v>
      </c>
      <c r="I164" s="100" t="s">
        <v>30</v>
      </c>
      <c r="J164" s="100" t="s">
        <v>351</v>
      </c>
      <c r="K164" s="47">
        <v>0</v>
      </c>
      <c r="L164" s="102">
        <v>39170</v>
      </c>
      <c r="M164" s="100">
        <v>21.008452488130185</v>
      </c>
      <c r="N164" s="100"/>
      <c r="O164" s="100"/>
      <c r="P164" s="100"/>
      <c r="Q164" s="100" t="s">
        <v>352</v>
      </c>
      <c r="R164" s="103" t="s">
        <v>353</v>
      </c>
      <c r="S164" s="100"/>
      <c r="T164" s="100"/>
      <c r="U164" s="100"/>
      <c r="V164" s="100"/>
      <c r="W164" s="100"/>
      <c r="X164" s="100"/>
      <c r="Y164" s="100"/>
      <c r="Z164" s="100"/>
      <c r="AA164" s="100"/>
      <c r="AB164" s="47"/>
      <c r="AC164" s="100"/>
      <c r="AD164" s="100"/>
      <c r="AE164" s="100"/>
      <c r="AF164" s="71"/>
      <c r="AG164" s="71"/>
    </row>
    <row r="165" spans="1:33" ht="14.25" customHeight="1" x14ac:dyDescent="0.3">
      <c r="A165" s="100" t="s">
        <v>23</v>
      </c>
      <c r="B165" s="101" t="s">
        <v>304</v>
      </c>
      <c r="C165" s="47">
        <v>2271</v>
      </c>
      <c r="D165" s="100"/>
      <c r="E165" s="47">
        <v>1</v>
      </c>
      <c r="F165" s="100"/>
      <c r="G165" s="100"/>
      <c r="H165" s="100"/>
      <c r="I165" s="100"/>
      <c r="J165" s="100"/>
      <c r="K165" s="47">
        <v>0</v>
      </c>
      <c r="L165" s="102">
        <v>39170</v>
      </c>
      <c r="M165" s="100">
        <v>66.526766212412255</v>
      </c>
      <c r="N165" s="100"/>
      <c r="O165" s="100"/>
      <c r="P165" s="100"/>
      <c r="Q165" s="100" t="s">
        <v>354</v>
      </c>
      <c r="R165" s="103"/>
      <c r="S165" s="100"/>
      <c r="T165" s="100"/>
      <c r="U165" s="100"/>
      <c r="V165" s="100"/>
      <c r="W165" s="100"/>
      <c r="X165" s="100"/>
      <c r="Y165" s="100"/>
      <c r="Z165" s="100"/>
      <c r="AA165" s="100"/>
      <c r="AB165" s="47"/>
      <c r="AC165" s="100"/>
      <c r="AD165" s="100"/>
      <c r="AE165" s="100"/>
      <c r="AF165" s="71"/>
      <c r="AG165" s="71"/>
    </row>
    <row r="166" spans="1:33" ht="14.25" customHeight="1" x14ac:dyDescent="0.3">
      <c r="A166" s="100" t="s">
        <v>23</v>
      </c>
      <c r="B166" s="101" t="s">
        <v>304</v>
      </c>
      <c r="C166" s="47">
        <v>2272</v>
      </c>
      <c r="D166" s="100"/>
      <c r="E166" s="47">
        <v>1</v>
      </c>
      <c r="F166" s="100"/>
      <c r="G166" s="100"/>
      <c r="H166" s="100" t="s">
        <v>25</v>
      </c>
      <c r="I166" s="100" t="s">
        <v>55</v>
      </c>
      <c r="J166" s="100" t="s">
        <v>56</v>
      </c>
      <c r="K166" s="47">
        <v>0</v>
      </c>
      <c r="L166" s="102">
        <v>39170</v>
      </c>
      <c r="M166" s="100">
        <v>28.966199642724952</v>
      </c>
      <c r="N166" s="100"/>
      <c r="O166" s="100"/>
      <c r="P166" s="100"/>
      <c r="Q166" s="100" t="s">
        <v>355</v>
      </c>
      <c r="R166" s="103"/>
      <c r="S166" s="100"/>
      <c r="T166" s="100"/>
      <c r="U166" s="100"/>
      <c r="V166" s="100"/>
      <c r="W166" s="100"/>
      <c r="X166" s="100"/>
      <c r="Y166" s="100"/>
      <c r="Z166" s="100"/>
      <c r="AA166" s="100"/>
      <c r="AB166" s="47"/>
      <c r="AC166" s="100"/>
      <c r="AD166" s="100"/>
      <c r="AE166" s="100"/>
      <c r="AF166" s="71"/>
      <c r="AG166" s="71"/>
    </row>
    <row r="167" spans="1:33" ht="14.25" customHeight="1" x14ac:dyDescent="0.3">
      <c r="A167" s="100" t="s">
        <v>23</v>
      </c>
      <c r="B167" s="101" t="s">
        <v>304</v>
      </c>
      <c r="C167" s="47">
        <v>2273</v>
      </c>
      <c r="D167" s="100"/>
      <c r="E167" s="47">
        <v>1</v>
      </c>
      <c r="F167" s="100"/>
      <c r="G167" s="100"/>
      <c r="H167" s="100" t="s">
        <v>35</v>
      </c>
      <c r="I167" s="100" t="s">
        <v>36</v>
      </c>
      <c r="J167" s="100" t="s">
        <v>37</v>
      </c>
      <c r="K167" s="47">
        <v>0</v>
      </c>
      <c r="L167" s="102">
        <v>39170</v>
      </c>
      <c r="M167" s="100">
        <v>13.369015219719209</v>
      </c>
      <c r="N167" s="100"/>
      <c r="O167" s="100"/>
      <c r="P167" s="100"/>
      <c r="Q167" s="100" t="s">
        <v>305</v>
      </c>
      <c r="R167" s="103"/>
      <c r="S167" s="100"/>
      <c r="T167" s="100"/>
      <c r="U167" s="100"/>
      <c r="V167" s="100"/>
      <c r="W167" s="100"/>
      <c r="X167" s="100"/>
      <c r="Y167" s="100"/>
      <c r="Z167" s="100"/>
      <c r="AA167" s="100"/>
      <c r="AB167" s="47"/>
      <c r="AC167" s="100"/>
      <c r="AD167" s="100"/>
      <c r="AE167" s="100"/>
      <c r="AF167" s="71"/>
      <c r="AG167" s="71"/>
    </row>
    <row r="168" spans="1:33" ht="14.25" customHeight="1" x14ac:dyDescent="0.3">
      <c r="A168" s="100" t="s">
        <v>23</v>
      </c>
      <c r="B168" s="101" t="s">
        <v>304</v>
      </c>
      <c r="C168" s="47">
        <v>2274</v>
      </c>
      <c r="D168" s="100"/>
      <c r="E168" s="47">
        <v>1</v>
      </c>
      <c r="F168" s="100"/>
      <c r="G168" s="100"/>
      <c r="H168" s="100" t="s">
        <v>121</v>
      </c>
      <c r="I168" s="100" t="s">
        <v>122</v>
      </c>
      <c r="J168" s="100" t="s">
        <v>356</v>
      </c>
      <c r="K168" s="47">
        <v>0</v>
      </c>
      <c r="L168" s="102">
        <v>39170</v>
      </c>
      <c r="M168" s="100">
        <v>12.732395447351628</v>
      </c>
      <c r="N168" s="100"/>
      <c r="O168" s="100"/>
      <c r="P168" s="100"/>
      <c r="Q168" s="100" t="s">
        <v>357</v>
      </c>
      <c r="R168" s="103" t="s">
        <v>358</v>
      </c>
      <c r="S168" s="100"/>
      <c r="T168" s="100"/>
      <c r="U168" s="100"/>
      <c r="V168" s="100"/>
      <c r="W168" s="100"/>
      <c r="X168" s="100"/>
      <c r="Y168" s="100"/>
      <c r="Z168" s="100"/>
      <c r="AA168" s="100"/>
      <c r="AB168" s="47"/>
      <c r="AC168" s="100"/>
      <c r="AD168" s="100"/>
      <c r="AE168" s="100"/>
      <c r="AF168" s="71"/>
      <c r="AG168" s="71"/>
    </row>
    <row r="169" spans="1:33" ht="14.25" customHeight="1" x14ac:dyDescent="0.3">
      <c r="A169" s="100" t="s">
        <v>23</v>
      </c>
      <c r="B169" s="101" t="s">
        <v>304</v>
      </c>
      <c r="C169" s="47">
        <v>2275</v>
      </c>
      <c r="D169" s="100"/>
      <c r="E169" s="47">
        <v>1</v>
      </c>
      <c r="F169" s="100"/>
      <c r="G169" s="100"/>
      <c r="H169" s="100" t="s">
        <v>359</v>
      </c>
      <c r="I169" s="100" t="s">
        <v>360</v>
      </c>
      <c r="J169" s="100" t="s">
        <v>361</v>
      </c>
      <c r="K169" s="47">
        <v>0</v>
      </c>
      <c r="L169" s="102">
        <v>39170</v>
      </c>
      <c r="M169" s="100">
        <v>16.233804195373324</v>
      </c>
      <c r="N169" s="100"/>
      <c r="O169" s="100"/>
      <c r="P169" s="100"/>
      <c r="Q169" s="100" t="s">
        <v>362</v>
      </c>
      <c r="R169" s="103" t="s">
        <v>363</v>
      </c>
      <c r="S169" s="100"/>
      <c r="T169" s="100"/>
      <c r="U169" s="100"/>
      <c r="V169" s="100"/>
      <c r="W169" s="100"/>
      <c r="X169" s="100"/>
      <c r="Y169" s="100"/>
      <c r="Z169" s="100"/>
      <c r="AA169" s="100"/>
      <c r="AB169" s="47"/>
      <c r="AC169" s="100"/>
      <c r="AD169" s="100"/>
      <c r="AE169" s="100"/>
      <c r="AF169" s="71"/>
      <c r="AG169" s="71"/>
    </row>
    <row r="170" spans="1:33" ht="14.25" customHeight="1" x14ac:dyDescent="0.3">
      <c r="A170" s="100" t="s">
        <v>23</v>
      </c>
      <c r="B170" s="101" t="s">
        <v>304</v>
      </c>
      <c r="C170" s="47">
        <v>2276</v>
      </c>
      <c r="D170" s="100"/>
      <c r="E170" s="47">
        <v>1</v>
      </c>
      <c r="F170" s="100"/>
      <c r="G170" s="100"/>
      <c r="H170" s="100" t="s">
        <v>29</v>
      </c>
      <c r="I170" s="100" t="s">
        <v>258</v>
      </c>
      <c r="J170" s="100" t="s">
        <v>364</v>
      </c>
      <c r="K170" s="47">
        <v>0</v>
      </c>
      <c r="L170" s="102">
        <v>39170</v>
      </c>
      <c r="M170" s="100">
        <v>12.573240504259733</v>
      </c>
      <c r="N170" s="100"/>
      <c r="O170" s="100"/>
      <c r="P170" s="100"/>
      <c r="Q170" s="100" t="s">
        <v>365</v>
      </c>
      <c r="R170" s="103" t="s">
        <v>366</v>
      </c>
      <c r="S170" s="100"/>
      <c r="T170" s="100"/>
      <c r="U170" s="100"/>
      <c r="V170" s="100"/>
      <c r="W170" s="100"/>
      <c r="X170" s="100"/>
      <c r="Y170" s="100"/>
      <c r="Z170" s="100"/>
      <c r="AA170" s="100"/>
      <c r="AB170" s="47"/>
      <c r="AC170" s="100"/>
      <c r="AD170" s="100"/>
      <c r="AE170" s="100"/>
      <c r="AF170" s="71"/>
      <c r="AG170" s="71"/>
    </row>
    <row r="171" spans="1:33" ht="14.25" customHeight="1" x14ac:dyDescent="0.3">
      <c r="A171" s="100" t="s">
        <v>23</v>
      </c>
      <c r="B171" s="101" t="s">
        <v>304</v>
      </c>
      <c r="C171" s="47">
        <v>2277</v>
      </c>
      <c r="D171" s="100"/>
      <c r="E171" s="47">
        <v>1</v>
      </c>
      <c r="F171" s="100"/>
      <c r="G171" s="100"/>
      <c r="H171" s="100" t="s">
        <v>35</v>
      </c>
      <c r="I171" s="100" t="s">
        <v>36</v>
      </c>
      <c r="J171" s="100" t="s">
        <v>37</v>
      </c>
      <c r="K171" s="47">
        <v>0</v>
      </c>
      <c r="L171" s="102">
        <v>39170</v>
      </c>
      <c r="M171" s="100">
        <v>10.981691073340778</v>
      </c>
      <c r="N171" s="100"/>
      <c r="O171" s="100"/>
      <c r="P171" s="100"/>
      <c r="Q171" s="100" t="s">
        <v>305</v>
      </c>
      <c r="R171" s="103"/>
      <c r="S171" s="100"/>
      <c r="T171" s="100"/>
      <c r="U171" s="100"/>
      <c r="V171" s="100"/>
      <c r="W171" s="100"/>
      <c r="X171" s="100"/>
      <c r="Y171" s="100"/>
      <c r="Z171" s="100"/>
      <c r="AA171" s="100"/>
      <c r="AB171" s="47"/>
      <c r="AC171" s="100"/>
      <c r="AD171" s="100"/>
      <c r="AE171" s="100"/>
      <c r="AF171" s="71"/>
      <c r="AG171" s="71"/>
    </row>
    <row r="172" spans="1:33" ht="14.25" customHeight="1" x14ac:dyDescent="0.3">
      <c r="A172" s="100" t="s">
        <v>23</v>
      </c>
      <c r="B172" s="101" t="s">
        <v>304</v>
      </c>
      <c r="C172" s="47">
        <v>2278</v>
      </c>
      <c r="D172" s="100"/>
      <c r="E172" s="47">
        <v>1</v>
      </c>
      <c r="F172" s="100"/>
      <c r="G172" s="100"/>
      <c r="H172" s="100" t="s">
        <v>283</v>
      </c>
      <c r="I172" s="100" t="s">
        <v>293</v>
      </c>
      <c r="J172" s="100" t="s">
        <v>367</v>
      </c>
      <c r="K172" s="47">
        <v>0</v>
      </c>
      <c r="L172" s="102">
        <v>39170</v>
      </c>
      <c r="M172" s="100">
        <v>27.69296009798979</v>
      </c>
      <c r="N172" s="100"/>
      <c r="O172" s="100"/>
      <c r="P172" s="100"/>
      <c r="Q172" s="100" t="s">
        <v>368</v>
      </c>
      <c r="R172" s="103" t="s">
        <v>369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47"/>
      <c r="AC172" s="100"/>
      <c r="AD172" s="100"/>
      <c r="AE172" s="100"/>
      <c r="AF172" s="71"/>
      <c r="AG172" s="71"/>
    </row>
    <row r="173" spans="1:33" ht="14.25" customHeight="1" x14ac:dyDescent="0.3">
      <c r="A173" s="100" t="s">
        <v>23</v>
      </c>
      <c r="B173" s="101" t="s">
        <v>304</v>
      </c>
      <c r="C173" s="47">
        <v>2279</v>
      </c>
      <c r="D173" s="100"/>
      <c r="E173" s="47">
        <v>1</v>
      </c>
      <c r="F173" s="100"/>
      <c r="G173" s="100"/>
      <c r="H173" s="100" t="s">
        <v>121</v>
      </c>
      <c r="I173" s="100" t="s">
        <v>122</v>
      </c>
      <c r="J173" s="100" t="s">
        <v>370</v>
      </c>
      <c r="K173" s="47">
        <v>0</v>
      </c>
      <c r="L173" s="102">
        <v>39170</v>
      </c>
      <c r="M173" s="100">
        <v>17.82535362629228</v>
      </c>
      <c r="N173" s="100"/>
      <c r="O173" s="100"/>
      <c r="P173" s="100"/>
      <c r="Q173" s="100" t="s">
        <v>371</v>
      </c>
      <c r="R173" s="103" t="s">
        <v>372</v>
      </c>
      <c r="S173" s="100"/>
      <c r="T173" s="100"/>
      <c r="U173" s="100"/>
      <c r="V173" s="100"/>
      <c r="W173" s="100"/>
      <c r="X173" s="100"/>
      <c r="Y173" s="100"/>
      <c r="Z173" s="100"/>
      <c r="AA173" s="100"/>
      <c r="AB173" s="47"/>
      <c r="AC173" s="100"/>
      <c r="AD173" s="100"/>
      <c r="AE173" s="100"/>
      <c r="AF173" s="71"/>
      <c r="AG173" s="71"/>
    </row>
    <row r="174" spans="1:33" s="187" customFormat="1" ht="14.25" customHeight="1" x14ac:dyDescent="0.3">
      <c r="A174" s="181" t="s">
        <v>23</v>
      </c>
      <c r="B174" s="182" t="s">
        <v>304</v>
      </c>
      <c r="C174" s="183">
        <v>2280</v>
      </c>
      <c r="D174" s="181"/>
      <c r="E174" s="183">
        <v>1</v>
      </c>
      <c r="F174" s="181"/>
      <c r="G174" s="181"/>
      <c r="H174" s="181"/>
      <c r="I174" s="181"/>
      <c r="J174" s="181"/>
      <c r="K174" s="183">
        <v>0</v>
      </c>
      <c r="L174" s="184">
        <v>39170</v>
      </c>
      <c r="M174" s="181">
        <v>33.422538049298019</v>
      </c>
      <c r="N174" s="181"/>
      <c r="O174" s="181"/>
      <c r="P174" s="181"/>
      <c r="Q174" s="181" t="s">
        <v>373</v>
      </c>
      <c r="R174" s="185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3"/>
      <c r="AC174" s="181"/>
      <c r="AD174" s="181"/>
      <c r="AE174" s="181"/>
      <c r="AF174" s="186"/>
      <c r="AG174" s="186"/>
    </row>
    <row r="175" spans="1:33" ht="14.25" customHeight="1" x14ac:dyDescent="0.3">
      <c r="A175" s="100" t="s">
        <v>23</v>
      </c>
      <c r="B175" s="101" t="s">
        <v>304</v>
      </c>
      <c r="C175" s="47">
        <v>2281</v>
      </c>
      <c r="D175" s="100"/>
      <c r="E175" s="47">
        <v>1</v>
      </c>
      <c r="F175" s="100"/>
      <c r="G175" s="100"/>
      <c r="H175" s="100" t="s">
        <v>51</v>
      </c>
      <c r="I175" s="100" t="s">
        <v>170</v>
      </c>
      <c r="J175" s="100" t="s">
        <v>171</v>
      </c>
      <c r="K175" s="47">
        <v>0</v>
      </c>
      <c r="L175" s="102">
        <v>39170</v>
      </c>
      <c r="M175" s="100">
        <v>20.053522829578814</v>
      </c>
      <c r="N175" s="100"/>
      <c r="O175" s="100"/>
      <c r="P175" s="100"/>
      <c r="Q175" s="100" t="s">
        <v>172</v>
      </c>
      <c r="R175" s="103" t="s">
        <v>374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47"/>
      <c r="AC175" s="100"/>
      <c r="AD175" s="100"/>
      <c r="AE175" s="100"/>
      <c r="AF175" s="71"/>
      <c r="AG175" s="71"/>
    </row>
    <row r="176" spans="1:33" ht="14.25" customHeight="1" x14ac:dyDescent="0.3">
      <c r="A176" s="100" t="s">
        <v>23</v>
      </c>
      <c r="B176" s="101" t="s">
        <v>304</v>
      </c>
      <c r="C176" s="47">
        <v>2282</v>
      </c>
      <c r="D176" s="100"/>
      <c r="E176" s="47">
        <v>1</v>
      </c>
      <c r="F176" s="100"/>
      <c r="G176" s="100"/>
      <c r="H176" s="100" t="s">
        <v>25</v>
      </c>
      <c r="I176" s="100" t="s">
        <v>55</v>
      </c>
      <c r="J176" s="100" t="s">
        <v>56</v>
      </c>
      <c r="K176" s="47">
        <v>0</v>
      </c>
      <c r="L176" s="102">
        <v>39170</v>
      </c>
      <c r="M176" s="100">
        <v>50.929581789406512</v>
      </c>
      <c r="N176" s="100"/>
      <c r="O176" s="100"/>
      <c r="P176" s="100"/>
      <c r="Q176" s="100" t="s">
        <v>355</v>
      </c>
      <c r="R176" s="103"/>
      <c r="S176" s="100"/>
      <c r="T176" s="100"/>
      <c r="U176" s="100"/>
      <c r="V176" s="100"/>
      <c r="W176" s="100"/>
      <c r="X176" s="100"/>
      <c r="Y176" s="100"/>
      <c r="Z176" s="100"/>
      <c r="AA176" s="100"/>
      <c r="AB176" s="47"/>
      <c r="AC176" s="100"/>
      <c r="AD176" s="100"/>
      <c r="AE176" s="100"/>
      <c r="AF176" s="71"/>
      <c r="AG176" s="71"/>
    </row>
    <row r="177" spans="1:33" ht="79.8" x14ac:dyDescent="0.3">
      <c r="A177" s="100" t="s">
        <v>23</v>
      </c>
      <c r="B177" s="121" t="s">
        <v>375</v>
      </c>
      <c r="C177" s="47"/>
      <c r="D177" s="114">
        <v>8688</v>
      </c>
      <c r="E177" s="47"/>
      <c r="F177" s="100"/>
      <c r="G177" s="100"/>
      <c r="H177" s="100" t="s">
        <v>138</v>
      </c>
      <c r="I177" s="100" t="s">
        <v>139</v>
      </c>
      <c r="J177" s="100" t="s">
        <v>591</v>
      </c>
      <c r="K177" s="47"/>
      <c r="L177" s="102"/>
      <c r="M177" s="100"/>
      <c r="N177" s="100"/>
      <c r="O177" s="100"/>
      <c r="P177" s="100"/>
      <c r="Q177" s="100"/>
      <c r="R177" s="103"/>
      <c r="S177" s="100"/>
      <c r="T177" s="100">
        <v>1</v>
      </c>
      <c r="U177" s="100">
        <v>1</v>
      </c>
      <c r="V177" s="100"/>
      <c r="W177" s="100"/>
      <c r="X177" s="104">
        <v>45689</v>
      </c>
      <c r="Y177" s="100">
        <v>18</v>
      </c>
      <c r="Z177" s="100">
        <v>12</v>
      </c>
      <c r="AA177" s="100"/>
      <c r="AB177" s="47" t="s">
        <v>45</v>
      </c>
      <c r="AC177" s="71" t="s">
        <v>592</v>
      </c>
      <c r="AD177" s="100"/>
      <c r="AE177" s="100">
        <v>2</v>
      </c>
      <c r="AF177" s="71"/>
      <c r="AG177" s="71"/>
    </row>
    <row r="178" spans="1:33" s="59" customFormat="1" ht="14.25" customHeight="1" x14ac:dyDescent="0.3">
      <c r="A178" s="81" t="s">
        <v>23</v>
      </c>
      <c r="B178" s="134" t="s">
        <v>375</v>
      </c>
      <c r="C178" s="50">
        <v>2310</v>
      </c>
      <c r="D178" s="81">
        <v>8689</v>
      </c>
      <c r="E178" s="50">
        <v>1</v>
      </c>
      <c r="F178" s="50">
        <v>0</v>
      </c>
      <c r="G178" s="50">
        <v>0</v>
      </c>
      <c r="H178" s="81" t="s">
        <v>25</v>
      </c>
      <c r="I178" s="70" t="s">
        <v>26</v>
      </c>
      <c r="J178" s="70" t="s">
        <v>395</v>
      </c>
      <c r="K178" s="50">
        <v>1</v>
      </c>
      <c r="L178" s="149">
        <v>39406</v>
      </c>
      <c r="M178" s="150">
        <v>11.84</v>
      </c>
      <c r="N178" s="149">
        <v>40660</v>
      </c>
      <c r="O178" s="151">
        <v>12.05</v>
      </c>
      <c r="P178" s="50">
        <v>19.399999999999999</v>
      </c>
      <c r="Q178" s="50"/>
      <c r="R178" s="50">
        <v>3213</v>
      </c>
      <c r="S178" s="81">
        <v>1</v>
      </c>
      <c r="T178" s="81">
        <v>1</v>
      </c>
      <c r="U178" s="81">
        <v>1</v>
      </c>
      <c r="V178" s="81"/>
      <c r="W178" s="81"/>
      <c r="X178" s="115">
        <v>45689</v>
      </c>
      <c r="Y178" s="81">
        <v>20.25</v>
      </c>
      <c r="Z178" s="81">
        <v>15</v>
      </c>
      <c r="AA178" s="81"/>
      <c r="AB178" s="50" t="s">
        <v>45</v>
      </c>
      <c r="AC178" s="81"/>
      <c r="AD178" s="81"/>
      <c r="AE178" s="81"/>
      <c r="AF178" s="159"/>
      <c r="AG178" s="159"/>
    </row>
    <row r="179" spans="1:33" ht="14.25" customHeight="1" x14ac:dyDescent="0.3">
      <c r="A179" s="100" t="s">
        <v>23</v>
      </c>
      <c r="B179" s="121" t="s">
        <v>375</v>
      </c>
      <c r="C179" s="47">
        <v>2317</v>
      </c>
      <c r="D179" s="100">
        <v>8696</v>
      </c>
      <c r="E179" s="47">
        <v>1</v>
      </c>
      <c r="F179" s="47">
        <v>0</v>
      </c>
      <c r="G179" s="47">
        <v>0</v>
      </c>
      <c r="H179" s="100" t="s">
        <v>46</v>
      </c>
      <c r="I179" s="67" t="s">
        <v>162</v>
      </c>
      <c r="J179" s="67"/>
      <c r="K179" s="47">
        <v>1</v>
      </c>
      <c r="L179" s="122">
        <v>39406</v>
      </c>
      <c r="M179" s="123">
        <v>20.9</v>
      </c>
      <c r="N179" s="122">
        <v>40660</v>
      </c>
      <c r="O179" s="124">
        <v>21.01</v>
      </c>
      <c r="P179" s="47">
        <v>14.9</v>
      </c>
      <c r="Q179" s="47" t="s">
        <v>240</v>
      </c>
      <c r="R179" s="47">
        <v>3202</v>
      </c>
      <c r="S179" s="100">
        <v>1</v>
      </c>
      <c r="T179" s="100"/>
      <c r="U179" s="100">
        <v>1</v>
      </c>
      <c r="V179" s="100"/>
      <c r="W179" s="100"/>
      <c r="X179" s="104">
        <v>45689</v>
      </c>
      <c r="Y179" s="100">
        <v>22.6</v>
      </c>
      <c r="Z179" s="100">
        <v>14</v>
      </c>
      <c r="AA179" s="100"/>
      <c r="AB179" s="47" t="s">
        <v>34</v>
      </c>
      <c r="AC179" s="100"/>
      <c r="AD179" s="100"/>
      <c r="AE179" s="100"/>
      <c r="AF179" s="71" t="s">
        <v>594</v>
      </c>
      <c r="AG179" s="71"/>
    </row>
    <row r="180" spans="1:33" ht="14.25" customHeight="1" x14ac:dyDescent="0.3">
      <c r="A180" s="100" t="s">
        <v>23</v>
      </c>
      <c r="B180" s="121" t="s">
        <v>375</v>
      </c>
      <c r="C180" s="47">
        <v>2315</v>
      </c>
      <c r="D180" s="100">
        <v>8697</v>
      </c>
      <c r="E180" s="47">
        <v>1</v>
      </c>
      <c r="F180" s="47">
        <v>0</v>
      </c>
      <c r="G180" s="47">
        <v>0</v>
      </c>
      <c r="H180" s="100" t="s">
        <v>25</v>
      </c>
      <c r="I180" s="67" t="s">
        <v>55</v>
      </c>
      <c r="J180" s="67" t="s">
        <v>56</v>
      </c>
      <c r="K180" s="47">
        <v>1</v>
      </c>
      <c r="L180" s="122">
        <v>39406</v>
      </c>
      <c r="M180" s="123">
        <v>11.46</v>
      </c>
      <c r="N180" s="122">
        <v>40660</v>
      </c>
      <c r="O180" s="124">
        <v>13.12</v>
      </c>
      <c r="P180" s="47">
        <v>13.1</v>
      </c>
      <c r="Q180" s="47"/>
      <c r="R180" s="47">
        <v>3200</v>
      </c>
      <c r="S180" s="100">
        <v>1</v>
      </c>
      <c r="T180" s="100">
        <v>1</v>
      </c>
      <c r="U180" s="100">
        <v>1</v>
      </c>
      <c r="V180" s="100"/>
      <c r="W180" s="100"/>
      <c r="X180" s="104">
        <v>45689</v>
      </c>
      <c r="Y180" s="100">
        <v>19.809999999999999</v>
      </c>
      <c r="Z180" s="100">
        <v>15</v>
      </c>
      <c r="AA180" s="100"/>
      <c r="AB180" s="47" t="s">
        <v>34</v>
      </c>
      <c r="AC180" s="100"/>
      <c r="AD180" s="100"/>
      <c r="AE180" s="100"/>
      <c r="AF180" s="71"/>
      <c r="AG180" s="71"/>
    </row>
    <row r="181" spans="1:33" ht="14.25" customHeight="1" x14ac:dyDescent="0.3">
      <c r="A181" s="125" t="s">
        <v>23</v>
      </c>
      <c r="B181" s="125" t="s">
        <v>375</v>
      </c>
      <c r="C181" s="125"/>
      <c r="D181" s="170">
        <v>8698</v>
      </c>
      <c r="E181" s="125"/>
      <c r="F181" s="125"/>
      <c r="G181" s="125"/>
      <c r="H181" s="81" t="s">
        <v>701</v>
      </c>
      <c r="I181" s="81" t="s">
        <v>702</v>
      </c>
      <c r="J181" s="64"/>
      <c r="K181" s="125"/>
      <c r="L181" s="125"/>
      <c r="M181" s="125"/>
      <c r="N181" s="125"/>
      <c r="O181" s="125"/>
      <c r="P181" s="125"/>
      <c r="Q181" s="125"/>
      <c r="R181" s="125"/>
      <c r="S181" s="125"/>
      <c r="T181" s="81"/>
      <c r="U181" s="81">
        <v>1</v>
      </c>
      <c r="V181" s="125"/>
      <c r="W181" s="125"/>
      <c r="X181" s="131">
        <v>45689</v>
      </c>
      <c r="Y181" s="81">
        <v>12.8</v>
      </c>
      <c r="Z181" s="81">
        <v>13</v>
      </c>
      <c r="AA181" s="81">
        <v>1</v>
      </c>
      <c r="AB181" s="50" t="s">
        <v>34</v>
      </c>
      <c r="AC181" s="81"/>
      <c r="AD181" s="81"/>
      <c r="AE181" s="81" t="s">
        <v>704</v>
      </c>
      <c r="AF181" s="159"/>
      <c r="AG181" s="159"/>
    </row>
    <row r="182" spans="1:33" ht="14.25" customHeight="1" x14ac:dyDescent="0.3">
      <c r="A182" s="100" t="s">
        <v>23</v>
      </c>
      <c r="B182" s="121" t="s">
        <v>375</v>
      </c>
      <c r="C182" s="47">
        <v>2319</v>
      </c>
      <c r="D182" s="100">
        <v>8699</v>
      </c>
      <c r="E182" s="47">
        <v>1</v>
      </c>
      <c r="F182" s="47">
        <v>0</v>
      </c>
      <c r="G182" s="47">
        <v>0</v>
      </c>
      <c r="H182" s="100" t="s">
        <v>244</v>
      </c>
      <c r="I182" s="67" t="s">
        <v>245</v>
      </c>
      <c r="J182" s="67" t="s">
        <v>246</v>
      </c>
      <c r="K182" s="47">
        <v>1</v>
      </c>
      <c r="L182" s="122">
        <v>39406</v>
      </c>
      <c r="M182" s="123">
        <v>16.18</v>
      </c>
      <c r="N182" s="122">
        <v>40660</v>
      </c>
      <c r="O182" s="124">
        <v>16.55</v>
      </c>
      <c r="P182" s="47">
        <v>17.5</v>
      </c>
      <c r="Q182" s="47"/>
      <c r="R182" s="47">
        <v>3197</v>
      </c>
      <c r="S182" s="100">
        <v>1</v>
      </c>
      <c r="T182" s="100">
        <v>1</v>
      </c>
      <c r="U182" s="100">
        <v>1</v>
      </c>
      <c r="V182" s="100"/>
      <c r="W182" s="100"/>
      <c r="X182" s="104">
        <v>45689</v>
      </c>
      <c r="Y182" s="100">
        <v>17.71</v>
      </c>
      <c r="Z182" s="100">
        <v>14</v>
      </c>
      <c r="AA182" s="100"/>
      <c r="AB182" s="47" t="s">
        <v>34</v>
      </c>
      <c r="AC182" s="100"/>
      <c r="AD182" s="100"/>
      <c r="AE182" s="100"/>
      <c r="AF182" s="71" t="s">
        <v>596</v>
      </c>
      <c r="AG182" s="164" t="s">
        <v>384</v>
      </c>
    </row>
    <row r="183" spans="1:33" ht="14.25" customHeight="1" x14ac:dyDescent="0.3">
      <c r="A183" s="100" t="s">
        <v>23</v>
      </c>
      <c r="B183" s="121" t="s">
        <v>375</v>
      </c>
      <c r="C183" s="47">
        <v>2320</v>
      </c>
      <c r="D183" s="100">
        <v>8700</v>
      </c>
      <c r="E183" s="47">
        <v>1</v>
      </c>
      <c r="F183" s="47">
        <v>0</v>
      </c>
      <c r="G183" s="47">
        <v>0</v>
      </c>
      <c r="H183" s="100" t="s">
        <v>51</v>
      </c>
      <c r="I183" s="67" t="s">
        <v>170</v>
      </c>
      <c r="J183" s="67" t="s">
        <v>400</v>
      </c>
      <c r="K183" s="47">
        <v>1</v>
      </c>
      <c r="L183" s="122">
        <v>39406</v>
      </c>
      <c r="M183" s="123">
        <v>25.81</v>
      </c>
      <c r="N183" s="122">
        <v>40660</v>
      </c>
      <c r="O183" s="124">
        <v>28.67</v>
      </c>
      <c r="P183" s="47">
        <v>23.3</v>
      </c>
      <c r="Q183" s="47" t="s">
        <v>247</v>
      </c>
      <c r="R183" s="105" t="s">
        <v>401</v>
      </c>
      <c r="S183" s="100"/>
      <c r="T183" s="100"/>
      <c r="U183" s="100">
        <v>1</v>
      </c>
      <c r="V183" s="100"/>
      <c r="W183" s="100"/>
      <c r="X183" s="104">
        <v>45689</v>
      </c>
      <c r="Y183" s="100">
        <v>47.1</v>
      </c>
      <c r="Z183" s="100">
        <v>18</v>
      </c>
      <c r="AA183" s="100"/>
      <c r="AB183" s="47" t="s">
        <v>34</v>
      </c>
      <c r="AC183" s="100"/>
      <c r="AD183" s="100"/>
      <c r="AE183" s="100"/>
      <c r="AF183" s="71" t="s">
        <v>597</v>
      </c>
      <c r="AG183" s="71"/>
    </row>
    <row r="184" spans="1:33" ht="14.25" customHeight="1" x14ac:dyDescent="0.3">
      <c r="A184" s="100" t="s">
        <v>23</v>
      </c>
      <c r="B184" s="121" t="s">
        <v>375</v>
      </c>
      <c r="C184" s="47">
        <v>2321</v>
      </c>
      <c r="D184" s="100">
        <v>8801</v>
      </c>
      <c r="E184" s="47">
        <v>1</v>
      </c>
      <c r="F184" s="47">
        <v>0</v>
      </c>
      <c r="G184" s="47">
        <v>0</v>
      </c>
      <c r="H184" s="100" t="s">
        <v>121</v>
      </c>
      <c r="I184" s="100" t="s">
        <v>122</v>
      </c>
      <c r="J184" s="100" t="s">
        <v>650</v>
      </c>
      <c r="K184" s="47">
        <v>1</v>
      </c>
      <c r="L184" s="122">
        <v>39406</v>
      </c>
      <c r="M184" s="123">
        <v>29.1</v>
      </c>
      <c r="N184" s="122">
        <v>40660</v>
      </c>
      <c r="O184" s="124">
        <v>30.02</v>
      </c>
      <c r="P184" s="47">
        <v>26.7</v>
      </c>
      <c r="Q184" s="47"/>
      <c r="R184" s="105" t="s">
        <v>402</v>
      </c>
      <c r="S184" s="100"/>
      <c r="T184" s="100"/>
      <c r="U184" s="100">
        <v>1</v>
      </c>
      <c r="V184" s="100"/>
      <c r="W184" s="100"/>
      <c r="X184" s="104">
        <v>45689</v>
      </c>
      <c r="Y184" s="100">
        <v>35.4</v>
      </c>
      <c r="Z184" s="100">
        <v>18</v>
      </c>
      <c r="AA184" s="100"/>
      <c r="AB184" s="47" t="s">
        <v>34</v>
      </c>
      <c r="AC184" s="100"/>
      <c r="AD184" s="100"/>
      <c r="AE184" s="100"/>
      <c r="AF184" s="71" t="s">
        <v>598</v>
      </c>
      <c r="AG184" s="71"/>
    </row>
    <row r="185" spans="1:33" ht="14.25" customHeight="1" x14ac:dyDescent="0.3">
      <c r="A185" s="100" t="s">
        <v>23</v>
      </c>
      <c r="B185" s="121" t="s">
        <v>375</v>
      </c>
      <c r="C185" s="47">
        <v>2305</v>
      </c>
      <c r="D185" s="100">
        <v>8823</v>
      </c>
      <c r="E185" s="47">
        <v>1</v>
      </c>
      <c r="F185" s="47">
        <v>0</v>
      </c>
      <c r="G185" s="47">
        <v>0</v>
      </c>
      <c r="H185" s="100" t="s">
        <v>121</v>
      </c>
      <c r="I185" s="67" t="s">
        <v>122</v>
      </c>
      <c r="J185" s="67"/>
      <c r="K185" s="47">
        <v>1</v>
      </c>
      <c r="L185" s="122">
        <v>39406</v>
      </c>
      <c r="M185" s="123">
        <v>36.29</v>
      </c>
      <c r="N185" s="122">
        <v>40660</v>
      </c>
      <c r="O185" s="124">
        <v>37.380000000000003</v>
      </c>
      <c r="P185" s="47">
        <v>30.8</v>
      </c>
      <c r="Q185" s="47"/>
      <c r="R185" s="47"/>
      <c r="S185" s="100"/>
      <c r="T185" s="100"/>
      <c r="U185" s="100">
        <v>1</v>
      </c>
      <c r="V185" s="100"/>
      <c r="W185" s="100"/>
      <c r="X185" s="104">
        <v>45689</v>
      </c>
      <c r="Y185" s="100">
        <v>37.4</v>
      </c>
      <c r="Z185" s="100">
        <v>30</v>
      </c>
      <c r="AA185" s="100"/>
      <c r="AB185" s="47" t="s">
        <v>83</v>
      </c>
      <c r="AC185" s="100"/>
      <c r="AD185" s="100"/>
      <c r="AE185" s="100"/>
      <c r="AF185" s="71"/>
      <c r="AG185" s="71"/>
    </row>
    <row r="186" spans="1:33" ht="14.25" customHeight="1" x14ac:dyDescent="0.3">
      <c r="A186" s="100" t="s">
        <v>23</v>
      </c>
      <c r="B186" s="121" t="s">
        <v>375</v>
      </c>
      <c r="C186" s="47">
        <v>2309</v>
      </c>
      <c r="D186" s="100">
        <v>8690</v>
      </c>
      <c r="E186" s="47">
        <v>1</v>
      </c>
      <c r="F186" s="47">
        <v>0</v>
      </c>
      <c r="G186" s="47">
        <v>0</v>
      </c>
      <c r="H186" s="100" t="s">
        <v>196</v>
      </c>
      <c r="I186" s="67" t="s">
        <v>394</v>
      </c>
      <c r="J186" s="67"/>
      <c r="K186" s="47">
        <v>1</v>
      </c>
      <c r="L186" s="122">
        <v>39406</v>
      </c>
      <c r="M186" s="123">
        <v>15.16</v>
      </c>
      <c r="N186" s="122">
        <v>40660</v>
      </c>
      <c r="O186" s="124">
        <v>15.42</v>
      </c>
      <c r="P186" s="47">
        <v>24.5</v>
      </c>
      <c r="Q186" s="47"/>
      <c r="R186" s="47">
        <v>3209</v>
      </c>
      <c r="S186" s="100">
        <v>1</v>
      </c>
      <c r="T186" s="100">
        <v>1</v>
      </c>
      <c r="U186" s="100">
        <v>1</v>
      </c>
      <c r="V186" s="100"/>
      <c r="W186" s="100"/>
      <c r="X186" s="104">
        <v>45689</v>
      </c>
      <c r="Y186" s="100">
        <v>16.350000000000001</v>
      </c>
      <c r="Z186" s="100">
        <v>15</v>
      </c>
      <c r="AA186" s="100"/>
      <c r="AB186" s="47" t="s">
        <v>45</v>
      </c>
      <c r="AC186" s="100"/>
      <c r="AD186" s="100"/>
      <c r="AE186" s="100"/>
      <c r="AF186" s="71" t="s">
        <v>376</v>
      </c>
      <c r="AG186" s="71"/>
    </row>
    <row r="187" spans="1:33" ht="14.25" customHeight="1" x14ac:dyDescent="0.3">
      <c r="A187" s="100" t="s">
        <v>23</v>
      </c>
      <c r="B187" s="121" t="s">
        <v>375</v>
      </c>
      <c r="C187" s="47">
        <v>2314</v>
      </c>
      <c r="D187" s="100">
        <v>8693</v>
      </c>
      <c r="E187" s="47">
        <v>1</v>
      </c>
      <c r="F187" s="47">
        <v>0</v>
      </c>
      <c r="G187" s="47">
        <v>0</v>
      </c>
      <c r="H187" s="100" t="s">
        <v>46</v>
      </c>
      <c r="I187" s="67" t="s">
        <v>174</v>
      </c>
      <c r="J187" s="67" t="s">
        <v>399</v>
      </c>
      <c r="K187" s="47">
        <v>1</v>
      </c>
      <c r="L187" s="122">
        <v>39406</v>
      </c>
      <c r="M187" s="123">
        <v>11.12</v>
      </c>
      <c r="N187" s="122">
        <v>40660</v>
      </c>
      <c r="O187" s="124">
        <v>12.99</v>
      </c>
      <c r="P187" s="47">
        <v>14.8</v>
      </c>
      <c r="Q187" s="47" t="s">
        <v>240</v>
      </c>
      <c r="R187" s="47">
        <v>3198</v>
      </c>
      <c r="S187" s="100">
        <v>1</v>
      </c>
      <c r="T187" s="100">
        <v>1</v>
      </c>
      <c r="U187" s="100">
        <v>1</v>
      </c>
      <c r="V187" s="100"/>
      <c r="W187" s="100"/>
      <c r="X187" s="104">
        <v>45689</v>
      </c>
      <c r="Y187" s="100">
        <v>18.010000000000002</v>
      </c>
      <c r="Z187" s="100">
        <v>16</v>
      </c>
      <c r="AA187" s="100"/>
      <c r="AB187" s="47" t="s">
        <v>45</v>
      </c>
      <c r="AC187" s="100"/>
      <c r="AD187" s="100"/>
      <c r="AE187" s="100">
        <v>3</v>
      </c>
      <c r="AF187" s="71"/>
      <c r="AG187" s="71"/>
    </row>
    <row r="188" spans="1:33" ht="14.25" customHeight="1" x14ac:dyDescent="0.3">
      <c r="A188" s="100" t="s">
        <v>23</v>
      </c>
      <c r="B188" s="121" t="s">
        <v>375</v>
      </c>
      <c r="C188" s="47">
        <v>2302</v>
      </c>
      <c r="D188" s="100">
        <v>8694</v>
      </c>
      <c r="E188" s="47">
        <v>1</v>
      </c>
      <c r="F188" s="47">
        <v>0</v>
      </c>
      <c r="G188" s="47">
        <v>0</v>
      </c>
      <c r="H188" s="100" t="s">
        <v>25</v>
      </c>
      <c r="I188" s="67" t="s">
        <v>55</v>
      </c>
      <c r="J188" s="67" t="s">
        <v>56</v>
      </c>
      <c r="K188" s="47">
        <v>1</v>
      </c>
      <c r="L188" s="122">
        <v>39406</v>
      </c>
      <c r="M188" s="123">
        <v>12.41</v>
      </c>
      <c r="N188" s="122">
        <v>40660</v>
      </c>
      <c r="O188" s="124">
        <f>42/3.141592654</f>
        <v>13.369015217973578</v>
      </c>
      <c r="P188" s="47">
        <v>16.3</v>
      </c>
      <c r="Q188" s="47"/>
      <c r="R188" s="47"/>
      <c r="S188" s="100"/>
      <c r="T188" s="100"/>
      <c r="U188" s="100">
        <v>1</v>
      </c>
      <c r="V188" s="100"/>
      <c r="W188" s="100"/>
      <c r="X188" s="104">
        <v>45689</v>
      </c>
      <c r="Y188" s="100">
        <v>19.7</v>
      </c>
      <c r="Z188" s="100">
        <v>18</v>
      </c>
      <c r="AA188" s="100"/>
      <c r="AB188" s="47" t="s">
        <v>45</v>
      </c>
      <c r="AC188" s="100"/>
      <c r="AD188" s="100"/>
      <c r="AE188" s="100"/>
      <c r="AF188" s="71"/>
      <c r="AG188" s="71"/>
    </row>
    <row r="189" spans="1:33" ht="14.25" customHeight="1" x14ac:dyDescent="0.3">
      <c r="A189" s="100" t="s">
        <v>23</v>
      </c>
      <c r="B189" s="121" t="s">
        <v>375</v>
      </c>
      <c r="C189" s="47">
        <v>2303</v>
      </c>
      <c r="D189" s="100">
        <v>8695</v>
      </c>
      <c r="E189" s="47">
        <v>1</v>
      </c>
      <c r="F189" s="47">
        <v>0</v>
      </c>
      <c r="G189" s="47">
        <v>0</v>
      </c>
      <c r="H189" s="100" t="s">
        <v>39</v>
      </c>
      <c r="I189" s="67" t="s">
        <v>180</v>
      </c>
      <c r="J189" s="67" t="s">
        <v>181</v>
      </c>
      <c r="K189" s="47">
        <v>1</v>
      </c>
      <c r="L189" s="122">
        <v>39406</v>
      </c>
      <c r="M189" s="123">
        <v>12.55</v>
      </c>
      <c r="N189" s="122">
        <v>40660</v>
      </c>
      <c r="O189" s="124">
        <v>13.27</v>
      </c>
      <c r="P189" s="47">
        <v>15.5</v>
      </c>
      <c r="Q189" s="47"/>
      <c r="R189" s="47">
        <v>3214</v>
      </c>
      <c r="S189" s="100">
        <v>1</v>
      </c>
      <c r="T189" s="100"/>
      <c r="U189" s="100">
        <v>1</v>
      </c>
      <c r="V189" s="100"/>
      <c r="W189" s="100"/>
      <c r="X189" s="104">
        <v>45689</v>
      </c>
      <c r="Y189" s="100">
        <v>16.760000000000002</v>
      </c>
      <c r="Z189" s="100">
        <v>16</v>
      </c>
      <c r="AA189" s="100"/>
      <c r="AB189" s="47" t="s">
        <v>45</v>
      </c>
      <c r="AC189" s="100"/>
      <c r="AD189" s="100"/>
      <c r="AE189" s="100"/>
      <c r="AF189" s="71"/>
      <c r="AG189" s="71"/>
    </row>
    <row r="190" spans="1:33" s="59" customFormat="1" ht="14.25" customHeight="1" x14ac:dyDescent="0.3">
      <c r="A190" s="81" t="s">
        <v>23</v>
      </c>
      <c r="B190" s="134" t="s">
        <v>375</v>
      </c>
      <c r="C190" s="81"/>
      <c r="D190" s="53">
        <v>8802</v>
      </c>
      <c r="E190" s="81"/>
      <c r="F190" s="81"/>
      <c r="G190" s="81"/>
      <c r="H190" s="65" t="s">
        <v>51</v>
      </c>
      <c r="I190" s="66" t="s">
        <v>52</v>
      </c>
      <c r="J190" s="66" t="s">
        <v>302</v>
      </c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>
        <v>1</v>
      </c>
      <c r="V190" s="81"/>
      <c r="W190" s="81"/>
      <c r="X190" s="115">
        <v>45689</v>
      </c>
      <c r="Y190" s="81">
        <v>11.6</v>
      </c>
      <c r="Z190" s="81">
        <v>14.1</v>
      </c>
      <c r="AA190" s="81">
        <v>1</v>
      </c>
      <c r="AB190" s="50" t="s">
        <v>111</v>
      </c>
      <c r="AC190" s="81"/>
      <c r="AD190" s="81"/>
      <c r="AE190" s="81"/>
      <c r="AF190" s="159" t="s">
        <v>694</v>
      </c>
      <c r="AG190" s="159"/>
    </row>
    <row r="191" spans="1:33" ht="14.25" customHeight="1" x14ac:dyDescent="0.3">
      <c r="A191" s="100" t="s">
        <v>23</v>
      </c>
      <c r="B191" s="121" t="s">
        <v>375</v>
      </c>
      <c r="C191" s="47">
        <v>2288</v>
      </c>
      <c r="D191" s="100">
        <v>8803</v>
      </c>
      <c r="E191" s="47">
        <v>1</v>
      </c>
      <c r="F191" s="47">
        <v>0</v>
      </c>
      <c r="G191" s="47">
        <v>0</v>
      </c>
      <c r="H191" s="100" t="s">
        <v>234</v>
      </c>
      <c r="I191" s="67" t="s">
        <v>308</v>
      </c>
      <c r="J191" s="67"/>
      <c r="K191" s="47">
        <v>1</v>
      </c>
      <c r="L191" s="122">
        <v>39406</v>
      </c>
      <c r="M191" s="123">
        <v>17.71</v>
      </c>
      <c r="N191" s="122">
        <v>40660</v>
      </c>
      <c r="O191" s="124">
        <v>18</v>
      </c>
      <c r="P191" s="47">
        <v>22.5</v>
      </c>
      <c r="Q191" s="47" t="s">
        <v>240</v>
      </c>
      <c r="R191" s="47">
        <v>3196</v>
      </c>
      <c r="S191" s="100">
        <v>1</v>
      </c>
      <c r="T191" s="100">
        <v>1</v>
      </c>
      <c r="U191" s="100">
        <v>1</v>
      </c>
      <c r="V191" s="100"/>
      <c r="W191" s="100"/>
      <c r="X191" s="104">
        <v>45689</v>
      </c>
      <c r="Y191" s="100">
        <v>20.56</v>
      </c>
      <c r="Z191" s="100">
        <v>30</v>
      </c>
      <c r="AA191" s="100"/>
      <c r="AB191" s="47" t="s">
        <v>111</v>
      </c>
      <c r="AC191" s="100"/>
      <c r="AD191" s="100"/>
      <c r="AE191" s="100"/>
      <c r="AF191" s="71" t="s">
        <v>599</v>
      </c>
      <c r="AG191" s="71"/>
    </row>
    <row r="192" spans="1:33" ht="14.25" customHeight="1" x14ac:dyDescent="0.3">
      <c r="A192" s="100" t="s">
        <v>23</v>
      </c>
      <c r="B192" s="121" t="s">
        <v>375</v>
      </c>
      <c r="C192" s="47">
        <v>2289</v>
      </c>
      <c r="D192" s="100">
        <v>8804</v>
      </c>
      <c r="E192" s="47">
        <v>1</v>
      </c>
      <c r="F192" s="47">
        <v>0</v>
      </c>
      <c r="G192" s="47">
        <v>0</v>
      </c>
      <c r="H192" s="100" t="s">
        <v>29</v>
      </c>
      <c r="I192" s="67" t="s">
        <v>30</v>
      </c>
      <c r="J192" s="67" t="s">
        <v>64</v>
      </c>
      <c r="K192" s="47">
        <v>1</v>
      </c>
      <c r="L192" s="122">
        <v>39406</v>
      </c>
      <c r="M192" s="123">
        <v>15.64</v>
      </c>
      <c r="N192" s="122">
        <v>40660</v>
      </c>
      <c r="O192" s="124">
        <v>16.420000000000002</v>
      </c>
      <c r="P192" s="47">
        <v>20.8</v>
      </c>
      <c r="Q192" s="47"/>
      <c r="R192" s="47">
        <v>3206</v>
      </c>
      <c r="S192" s="100">
        <v>1</v>
      </c>
      <c r="T192" s="100">
        <v>1</v>
      </c>
      <c r="U192" s="100">
        <v>1</v>
      </c>
      <c r="V192" s="100"/>
      <c r="W192" s="100"/>
      <c r="X192" s="104">
        <v>45689</v>
      </c>
      <c r="Y192" s="100">
        <v>17.75</v>
      </c>
      <c r="Z192" s="100">
        <v>16.5</v>
      </c>
      <c r="AA192" s="100"/>
      <c r="AB192" s="47" t="s">
        <v>111</v>
      </c>
      <c r="AC192" s="100"/>
      <c r="AD192" s="100"/>
      <c r="AE192" s="100"/>
      <c r="AF192" s="71" t="s">
        <v>600</v>
      </c>
      <c r="AG192" s="71" t="s">
        <v>645</v>
      </c>
    </row>
    <row r="193" spans="1:33" ht="14.25" customHeight="1" x14ac:dyDescent="0.3">
      <c r="A193" s="100" t="s">
        <v>23</v>
      </c>
      <c r="B193" s="121" t="s">
        <v>375</v>
      </c>
      <c r="C193" s="47">
        <v>2284</v>
      </c>
      <c r="D193" s="100">
        <v>8805</v>
      </c>
      <c r="E193" s="47">
        <v>0</v>
      </c>
      <c r="F193" s="47">
        <v>1</v>
      </c>
      <c r="G193" s="47">
        <v>0</v>
      </c>
      <c r="H193" s="100" t="s">
        <v>29</v>
      </c>
      <c r="I193" s="67" t="s">
        <v>258</v>
      </c>
      <c r="J193" s="67" t="s">
        <v>364</v>
      </c>
      <c r="K193" s="47">
        <v>1</v>
      </c>
      <c r="L193" s="122">
        <v>39406</v>
      </c>
      <c r="M193" s="123"/>
      <c r="N193" s="122">
        <v>40660</v>
      </c>
      <c r="O193" s="124">
        <v>10.27</v>
      </c>
      <c r="P193" s="47">
        <v>17.100000000000001</v>
      </c>
      <c r="Q193" s="47"/>
      <c r="R193" s="47"/>
      <c r="S193" s="100"/>
      <c r="T193" s="100"/>
      <c r="U193" s="100">
        <v>1</v>
      </c>
      <c r="V193" s="100"/>
      <c r="W193" s="100"/>
      <c r="X193" s="104">
        <v>45689</v>
      </c>
      <c r="Y193" s="100">
        <v>11.36</v>
      </c>
      <c r="Z193" s="100">
        <v>14</v>
      </c>
      <c r="AA193" s="100"/>
      <c r="AB193" s="47" t="s">
        <v>111</v>
      </c>
      <c r="AC193" s="100"/>
      <c r="AD193" s="100"/>
      <c r="AE193" s="100"/>
      <c r="AF193" s="71" t="s">
        <v>601</v>
      </c>
      <c r="AG193" s="71"/>
    </row>
    <row r="194" spans="1:33" s="59" customFormat="1" ht="27" x14ac:dyDescent="0.3">
      <c r="A194" s="81" t="s">
        <v>23</v>
      </c>
      <c r="B194" s="134" t="s">
        <v>375</v>
      </c>
      <c r="C194" s="50">
        <v>2307</v>
      </c>
      <c r="D194" s="81">
        <v>8806</v>
      </c>
      <c r="E194" s="50">
        <v>1</v>
      </c>
      <c r="F194" s="50">
        <v>0</v>
      </c>
      <c r="G194" s="50">
        <v>0</v>
      </c>
      <c r="H194" s="81" t="s">
        <v>149</v>
      </c>
      <c r="I194" s="81" t="s">
        <v>228</v>
      </c>
      <c r="J194" s="70" t="s">
        <v>229</v>
      </c>
      <c r="K194" s="50">
        <v>1</v>
      </c>
      <c r="L194" s="149">
        <v>39406</v>
      </c>
      <c r="M194" s="150">
        <v>26.21</v>
      </c>
      <c r="N194" s="149">
        <v>40660</v>
      </c>
      <c r="O194" s="151">
        <v>26.88</v>
      </c>
      <c r="P194" s="50">
        <v>27.3</v>
      </c>
      <c r="Q194" s="50"/>
      <c r="R194" s="152" t="s">
        <v>393</v>
      </c>
      <c r="S194" s="81"/>
      <c r="T194" s="81"/>
      <c r="U194" s="81">
        <v>1</v>
      </c>
      <c r="V194" s="81"/>
      <c r="W194" s="81"/>
      <c r="X194" s="115">
        <v>45689</v>
      </c>
      <c r="Y194" s="81">
        <v>29.8</v>
      </c>
      <c r="Z194" s="81">
        <v>27</v>
      </c>
      <c r="AA194" s="81"/>
      <c r="AB194" s="50" t="s">
        <v>111</v>
      </c>
      <c r="AC194" s="81"/>
      <c r="AD194" s="81"/>
      <c r="AE194" s="81"/>
      <c r="AF194" s="159" t="s">
        <v>697</v>
      </c>
      <c r="AG194" s="159"/>
    </row>
    <row r="195" spans="1:33" ht="14.25" customHeight="1" x14ac:dyDescent="0.3">
      <c r="A195" s="100" t="s">
        <v>23</v>
      </c>
      <c r="B195" s="121" t="s">
        <v>375</v>
      </c>
      <c r="C195" s="47">
        <v>2287</v>
      </c>
      <c r="D195" s="100">
        <v>8807</v>
      </c>
      <c r="E195" s="47">
        <v>1</v>
      </c>
      <c r="F195" s="47">
        <v>0</v>
      </c>
      <c r="G195" s="47">
        <v>0</v>
      </c>
      <c r="H195" s="100" t="s">
        <v>46</v>
      </c>
      <c r="I195" s="67" t="s">
        <v>162</v>
      </c>
      <c r="J195" s="100" t="s">
        <v>163</v>
      </c>
      <c r="K195" s="47">
        <v>1</v>
      </c>
      <c r="L195" s="122">
        <v>39406</v>
      </c>
      <c r="M195" s="123">
        <v>15.25</v>
      </c>
      <c r="N195" s="122">
        <v>40660</v>
      </c>
      <c r="O195" s="124">
        <v>16.010000000000002</v>
      </c>
      <c r="P195" s="47">
        <v>16.8</v>
      </c>
      <c r="Q195" s="47"/>
      <c r="R195" s="47">
        <v>3199</v>
      </c>
      <c r="S195" s="100">
        <v>1</v>
      </c>
      <c r="T195" s="100"/>
      <c r="U195" s="100">
        <v>1</v>
      </c>
      <c r="V195" s="100"/>
      <c r="W195" s="100"/>
      <c r="X195" s="104">
        <v>45689</v>
      </c>
      <c r="Y195" s="100">
        <v>20.2</v>
      </c>
      <c r="Z195" s="100">
        <v>14.3</v>
      </c>
      <c r="AA195" s="100"/>
      <c r="AB195" s="47" t="s">
        <v>111</v>
      </c>
      <c r="AC195" s="100"/>
      <c r="AD195" s="100"/>
      <c r="AE195" s="100"/>
      <c r="AF195" s="71" t="s">
        <v>595</v>
      </c>
      <c r="AG195" s="71"/>
    </row>
    <row r="196" spans="1:33" ht="14.25" customHeight="1" x14ac:dyDescent="0.3">
      <c r="A196" s="100" t="s">
        <v>23</v>
      </c>
      <c r="B196" s="100" t="s">
        <v>375</v>
      </c>
      <c r="C196" s="100"/>
      <c r="D196" s="54">
        <v>8808</v>
      </c>
      <c r="E196" s="100"/>
      <c r="F196" s="100"/>
      <c r="G196" s="100"/>
      <c r="H196" s="67" t="s">
        <v>403</v>
      </c>
      <c r="I196" s="67"/>
      <c r="J196" s="67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>
        <v>1</v>
      </c>
      <c r="V196" s="100"/>
      <c r="W196" s="100"/>
      <c r="X196" s="104">
        <v>45689</v>
      </c>
      <c r="Y196" s="100">
        <v>12.8</v>
      </c>
      <c r="Z196" s="100">
        <v>10</v>
      </c>
      <c r="AA196" s="100">
        <v>1</v>
      </c>
      <c r="AB196" s="47" t="s">
        <v>111</v>
      </c>
      <c r="AC196" s="100"/>
      <c r="AD196" s="100"/>
      <c r="AE196" s="100"/>
      <c r="AF196" s="71"/>
      <c r="AG196" s="71"/>
    </row>
    <row r="197" spans="1:33" ht="14.25" customHeight="1" x14ac:dyDescent="0.3">
      <c r="A197" s="100" t="s">
        <v>23</v>
      </c>
      <c r="B197" s="121" t="s">
        <v>375</v>
      </c>
      <c r="C197" s="47">
        <v>2286</v>
      </c>
      <c r="D197" s="100">
        <v>8809</v>
      </c>
      <c r="E197" s="47">
        <v>1</v>
      </c>
      <c r="F197" s="47">
        <v>0</v>
      </c>
      <c r="G197" s="47">
        <v>0</v>
      </c>
      <c r="H197" s="100" t="s">
        <v>121</v>
      </c>
      <c r="I197" s="67" t="s">
        <v>378</v>
      </c>
      <c r="J197" s="67" t="s">
        <v>379</v>
      </c>
      <c r="K197" s="47">
        <v>1</v>
      </c>
      <c r="L197" s="122">
        <v>39406</v>
      </c>
      <c r="M197" s="123">
        <v>19.399999999999999</v>
      </c>
      <c r="N197" s="122">
        <v>40660</v>
      </c>
      <c r="O197" s="124">
        <v>19.55</v>
      </c>
      <c r="P197" s="47">
        <v>20.8</v>
      </c>
      <c r="Q197" s="105" t="s">
        <v>380</v>
      </c>
      <c r="R197" s="47"/>
      <c r="S197" s="100"/>
      <c r="T197" s="100"/>
      <c r="U197" s="100">
        <v>1</v>
      </c>
      <c r="V197" s="100"/>
      <c r="W197" s="100"/>
      <c r="X197" s="104">
        <v>45689</v>
      </c>
      <c r="Y197" s="100">
        <v>19.600000000000001</v>
      </c>
      <c r="Z197" s="100">
        <v>16</v>
      </c>
      <c r="AA197" s="100"/>
      <c r="AB197" s="47" t="s">
        <v>111</v>
      </c>
      <c r="AC197" s="100"/>
      <c r="AD197" s="100"/>
      <c r="AE197" s="100"/>
      <c r="AF197" s="71"/>
      <c r="AG197" s="71"/>
    </row>
    <row r="198" spans="1:33" ht="14.25" customHeight="1" x14ac:dyDescent="0.3">
      <c r="A198" s="100" t="s">
        <v>23</v>
      </c>
      <c r="B198" s="121" t="s">
        <v>375</v>
      </c>
      <c r="C198" s="100"/>
      <c r="D198" s="54">
        <v>8810</v>
      </c>
      <c r="E198" s="100"/>
      <c r="F198" s="100"/>
      <c r="G198" s="100"/>
      <c r="H198" s="67" t="s">
        <v>35</v>
      </c>
      <c r="I198" s="100" t="s">
        <v>36</v>
      </c>
      <c r="J198" s="100" t="s">
        <v>37</v>
      </c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>
        <v>1</v>
      </c>
      <c r="V198" s="100"/>
      <c r="W198" s="100"/>
      <c r="X198" s="104">
        <v>45689</v>
      </c>
      <c r="Y198" s="100">
        <v>11.1</v>
      </c>
      <c r="Z198" s="100">
        <v>14</v>
      </c>
      <c r="AA198" s="100"/>
      <c r="AB198" s="47" t="s">
        <v>111</v>
      </c>
      <c r="AC198" s="100"/>
      <c r="AD198" s="100"/>
      <c r="AE198" s="100"/>
      <c r="AF198" s="71"/>
      <c r="AG198" s="71"/>
    </row>
    <row r="199" spans="1:33" ht="14.25" customHeight="1" x14ac:dyDescent="0.3">
      <c r="A199" s="100" t="s">
        <v>23</v>
      </c>
      <c r="B199" s="121" t="s">
        <v>375</v>
      </c>
      <c r="C199" s="47">
        <v>2292</v>
      </c>
      <c r="D199" s="100">
        <v>8811</v>
      </c>
      <c r="E199" s="47">
        <v>1</v>
      </c>
      <c r="F199" s="47">
        <v>0</v>
      </c>
      <c r="G199" s="47">
        <v>0</v>
      </c>
      <c r="H199" s="100" t="s">
        <v>149</v>
      </c>
      <c r="I199" s="67" t="s">
        <v>381</v>
      </c>
      <c r="J199" s="67" t="s">
        <v>382</v>
      </c>
      <c r="K199" s="47">
        <v>1</v>
      </c>
      <c r="L199" s="122">
        <v>39406</v>
      </c>
      <c r="M199" s="123">
        <v>13.32</v>
      </c>
      <c r="N199" s="122">
        <v>40660</v>
      </c>
      <c r="O199" s="124">
        <v>14.1</v>
      </c>
      <c r="P199" s="47">
        <v>20.8</v>
      </c>
      <c r="Q199" s="47"/>
      <c r="R199" s="47">
        <v>3195</v>
      </c>
      <c r="S199" s="100">
        <v>1</v>
      </c>
      <c r="T199" s="100">
        <v>1</v>
      </c>
      <c r="U199" s="100">
        <v>1</v>
      </c>
      <c r="V199" s="100"/>
      <c r="W199" s="100"/>
      <c r="X199" s="104">
        <v>45689</v>
      </c>
      <c r="Y199" s="100">
        <v>14.82</v>
      </c>
      <c r="Z199" s="100">
        <v>18</v>
      </c>
      <c r="AA199" s="100"/>
      <c r="AB199" s="47" t="s">
        <v>111</v>
      </c>
      <c r="AC199" s="100"/>
      <c r="AD199" s="100"/>
      <c r="AE199" s="100"/>
      <c r="AF199" s="71" t="s">
        <v>602</v>
      </c>
      <c r="AG199" s="71"/>
    </row>
    <row r="200" spans="1:33" ht="14.25" customHeight="1" x14ac:dyDescent="0.3">
      <c r="A200" s="81" t="s">
        <v>23</v>
      </c>
      <c r="B200" s="134" t="s">
        <v>375</v>
      </c>
      <c r="C200" s="50"/>
      <c r="D200" s="114">
        <v>8812</v>
      </c>
      <c r="E200" s="50"/>
      <c r="F200" s="50"/>
      <c r="G200" s="50"/>
      <c r="H200" s="81" t="s">
        <v>29</v>
      </c>
      <c r="I200" s="70" t="s">
        <v>30</v>
      </c>
      <c r="J200" s="70"/>
      <c r="K200" s="50"/>
      <c r="L200" s="149"/>
      <c r="M200" s="150"/>
      <c r="N200" s="149"/>
      <c r="O200" s="151"/>
      <c r="P200" s="50"/>
      <c r="Q200" s="50"/>
      <c r="R200" s="81"/>
      <c r="S200" s="81"/>
      <c r="T200" s="81"/>
      <c r="U200" s="81">
        <v>1</v>
      </c>
      <c r="V200" s="81"/>
      <c r="W200" s="81"/>
      <c r="X200" s="115">
        <v>45689</v>
      </c>
      <c r="Y200" s="81">
        <v>47.1</v>
      </c>
      <c r="Z200" s="81">
        <v>30</v>
      </c>
      <c r="AA200" s="81"/>
      <c r="AB200" s="50" t="s">
        <v>111</v>
      </c>
      <c r="AC200" s="81"/>
      <c r="AD200" s="81"/>
      <c r="AE200" s="81">
        <v>3</v>
      </c>
      <c r="AF200" s="159" t="s">
        <v>698</v>
      </c>
      <c r="AG200" s="159"/>
    </row>
    <row r="201" spans="1:33" ht="14.25" customHeight="1" x14ac:dyDescent="0.3">
      <c r="A201" s="100" t="s">
        <v>23</v>
      </c>
      <c r="B201" s="153" t="s">
        <v>375</v>
      </c>
      <c r="C201" s="100"/>
      <c r="D201" s="100">
        <v>8813</v>
      </c>
      <c r="E201" s="100"/>
      <c r="F201" s="100"/>
      <c r="G201" s="100"/>
      <c r="H201" s="100" t="s">
        <v>35</v>
      </c>
      <c r="I201" s="100" t="s">
        <v>36</v>
      </c>
      <c r="J201" s="100" t="s">
        <v>37</v>
      </c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>
        <v>1</v>
      </c>
      <c r="V201" s="100"/>
      <c r="W201" s="100"/>
      <c r="X201" s="104">
        <v>45689</v>
      </c>
      <c r="Y201" s="100">
        <v>12.9</v>
      </c>
      <c r="Z201" s="100">
        <v>16.399999999999999</v>
      </c>
      <c r="AA201" s="100"/>
      <c r="AB201" s="47" t="s">
        <v>111</v>
      </c>
      <c r="AC201" s="100"/>
      <c r="AD201" s="100"/>
      <c r="AE201" s="100"/>
      <c r="AF201" s="71"/>
      <c r="AG201" s="71"/>
    </row>
    <row r="202" spans="1:33" ht="14.25" customHeight="1" x14ac:dyDescent="0.3">
      <c r="A202" s="100" t="s">
        <v>23</v>
      </c>
      <c r="B202" s="153" t="s">
        <v>375</v>
      </c>
      <c r="C202" s="100"/>
      <c r="D202" s="114">
        <v>8814</v>
      </c>
      <c r="E202" s="100"/>
      <c r="F202" s="100"/>
      <c r="G202" s="100"/>
      <c r="H202" s="100" t="s">
        <v>149</v>
      </c>
      <c r="I202" s="67" t="s">
        <v>222</v>
      </c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>
        <v>1</v>
      </c>
      <c r="V202" s="100"/>
      <c r="W202" s="100"/>
      <c r="X202" s="104">
        <v>45689</v>
      </c>
      <c r="Y202" s="100">
        <v>34.5</v>
      </c>
      <c r="Z202" s="100">
        <v>30</v>
      </c>
      <c r="AA202" s="100"/>
      <c r="AB202" s="47" t="s">
        <v>83</v>
      </c>
      <c r="AC202" s="100"/>
      <c r="AD202" s="100"/>
      <c r="AE202" s="100">
        <v>3</v>
      </c>
      <c r="AF202" s="71" t="s">
        <v>603</v>
      </c>
      <c r="AG202" s="71"/>
    </row>
    <row r="203" spans="1:33" s="59" customFormat="1" ht="49.8" customHeight="1" x14ac:dyDescent="0.3">
      <c r="A203" s="81" t="s">
        <v>23</v>
      </c>
      <c r="B203" s="134" t="s">
        <v>375</v>
      </c>
      <c r="C203" s="50">
        <v>2295</v>
      </c>
      <c r="D203" s="114">
        <v>8815</v>
      </c>
      <c r="E203" s="50">
        <v>1</v>
      </c>
      <c r="F203" s="50">
        <v>0</v>
      </c>
      <c r="G203" s="50">
        <v>0</v>
      </c>
      <c r="H203" s="167" t="s">
        <v>72</v>
      </c>
      <c r="I203" s="168"/>
      <c r="J203" s="168"/>
      <c r="K203" s="50">
        <v>1</v>
      </c>
      <c r="L203" s="149">
        <v>39406</v>
      </c>
      <c r="M203" s="150">
        <v>26.51</v>
      </c>
      <c r="N203" s="149">
        <v>40660</v>
      </c>
      <c r="O203" s="151">
        <v>30</v>
      </c>
      <c r="P203" s="50">
        <v>24.1</v>
      </c>
      <c r="Q203" s="50"/>
      <c r="R203" s="50"/>
      <c r="S203" s="81"/>
      <c r="T203" s="81"/>
      <c r="U203" s="81">
        <v>1</v>
      </c>
      <c r="V203" s="81"/>
      <c r="W203" s="81"/>
      <c r="X203" s="115">
        <v>45689</v>
      </c>
      <c r="Y203" s="81">
        <v>44.3</v>
      </c>
      <c r="Z203" s="81"/>
      <c r="AA203" s="81"/>
      <c r="AB203" s="50" t="s">
        <v>83</v>
      </c>
      <c r="AC203" s="81"/>
      <c r="AD203" s="81"/>
      <c r="AE203" s="81"/>
      <c r="AF203" s="159" t="s">
        <v>711</v>
      </c>
      <c r="AG203" s="159"/>
    </row>
    <row r="204" spans="1:33" ht="14.25" customHeight="1" x14ac:dyDescent="0.3">
      <c r="A204" s="76" t="s">
        <v>23</v>
      </c>
      <c r="B204" s="76" t="s">
        <v>375</v>
      </c>
      <c r="C204" s="76"/>
      <c r="D204" s="72">
        <v>8816</v>
      </c>
      <c r="E204" s="76"/>
      <c r="F204" s="76"/>
      <c r="G204" s="76"/>
      <c r="H204" s="68" t="s">
        <v>135</v>
      </c>
      <c r="I204" s="68"/>
      <c r="J204" s="68"/>
      <c r="K204" s="76"/>
      <c r="L204" s="76"/>
      <c r="M204" s="76"/>
      <c r="N204" s="76"/>
      <c r="O204" s="76"/>
      <c r="P204" s="76"/>
      <c r="Q204" s="76"/>
      <c r="R204" s="76"/>
      <c r="S204" s="76"/>
      <c r="T204" s="81"/>
      <c r="U204" s="81">
        <v>1</v>
      </c>
      <c r="V204" s="76"/>
      <c r="W204" s="76"/>
      <c r="X204" s="82">
        <v>45689</v>
      </c>
      <c r="Y204" s="81">
        <v>14.7</v>
      </c>
      <c r="Z204" s="147"/>
      <c r="AA204" s="76">
        <v>1</v>
      </c>
      <c r="AB204" s="49" t="s">
        <v>83</v>
      </c>
      <c r="AC204" s="76"/>
      <c r="AD204" s="76"/>
      <c r="AE204" s="76">
        <v>3</v>
      </c>
      <c r="AF204" s="75"/>
      <c r="AG204" s="75" t="s">
        <v>604</v>
      </c>
    </row>
    <row r="205" spans="1:33" ht="14.25" customHeight="1" x14ac:dyDescent="0.3">
      <c r="A205" s="100" t="s">
        <v>23</v>
      </c>
      <c r="B205" s="121" t="s">
        <v>375</v>
      </c>
      <c r="C205" s="47">
        <v>2294</v>
      </c>
      <c r="D205" s="100">
        <v>8817</v>
      </c>
      <c r="E205" s="47">
        <v>1</v>
      </c>
      <c r="F205" s="47">
        <v>0</v>
      </c>
      <c r="G205" s="47">
        <v>0</v>
      </c>
      <c r="H205" s="100" t="s">
        <v>25</v>
      </c>
      <c r="I205" s="67" t="s">
        <v>26</v>
      </c>
      <c r="J205" s="67" t="s">
        <v>44</v>
      </c>
      <c r="K205" s="47">
        <v>1</v>
      </c>
      <c r="L205" s="122">
        <v>39406</v>
      </c>
      <c r="M205" s="123">
        <v>10.97</v>
      </c>
      <c r="N205" s="122">
        <v>40660</v>
      </c>
      <c r="O205" s="124">
        <v>11</v>
      </c>
      <c r="P205" s="47">
        <v>16.2</v>
      </c>
      <c r="Q205" s="47"/>
      <c r="R205" s="47"/>
      <c r="S205" s="100"/>
      <c r="T205" s="100"/>
      <c r="U205" s="100">
        <v>1</v>
      </c>
      <c r="V205" s="100"/>
      <c r="W205" s="100"/>
      <c r="X205" s="104">
        <v>45689</v>
      </c>
      <c r="Y205" s="100">
        <v>11.95</v>
      </c>
      <c r="Z205" s="100">
        <v>18.2</v>
      </c>
      <c r="AA205" s="100"/>
      <c r="AB205" s="47" t="s">
        <v>83</v>
      </c>
      <c r="AC205" s="100"/>
      <c r="AD205" s="100"/>
      <c r="AE205" s="100"/>
      <c r="AF205" s="71"/>
      <c r="AG205" s="71"/>
    </row>
    <row r="206" spans="1:33" ht="14.25" customHeight="1" x14ac:dyDescent="0.3">
      <c r="A206" s="100" t="s">
        <v>23</v>
      </c>
      <c r="B206" s="121" t="s">
        <v>375</v>
      </c>
      <c r="C206" s="47">
        <v>2299</v>
      </c>
      <c r="D206" s="100">
        <v>8818</v>
      </c>
      <c r="E206" s="47">
        <v>1</v>
      </c>
      <c r="F206" s="47">
        <v>0</v>
      </c>
      <c r="G206" s="47">
        <v>0</v>
      </c>
      <c r="H206" s="100" t="s">
        <v>35</v>
      </c>
      <c r="I206" s="67" t="s">
        <v>144</v>
      </c>
      <c r="J206" s="67" t="s">
        <v>145</v>
      </c>
      <c r="K206" s="47">
        <v>1</v>
      </c>
      <c r="L206" s="122">
        <v>39406</v>
      </c>
      <c r="M206" s="123">
        <v>14.07</v>
      </c>
      <c r="N206" s="122">
        <v>40660</v>
      </c>
      <c r="O206" s="124">
        <v>14.92</v>
      </c>
      <c r="P206" s="47">
        <v>19</v>
      </c>
      <c r="Q206" s="47"/>
      <c r="R206" s="47"/>
      <c r="S206" s="100"/>
      <c r="T206" s="100"/>
      <c r="U206" s="100">
        <v>1</v>
      </c>
      <c r="V206" s="100"/>
      <c r="W206" s="100"/>
      <c r="X206" s="104">
        <v>45689</v>
      </c>
      <c r="Y206" s="100">
        <v>19.12</v>
      </c>
      <c r="Z206" s="100">
        <v>18</v>
      </c>
      <c r="AA206" s="100"/>
      <c r="AB206" s="47" t="s">
        <v>83</v>
      </c>
      <c r="AC206" s="100"/>
      <c r="AD206" s="100"/>
      <c r="AE206" s="100"/>
      <c r="AF206" s="71"/>
      <c r="AG206" s="71"/>
    </row>
    <row r="207" spans="1:33" ht="14.25" customHeight="1" x14ac:dyDescent="0.3">
      <c r="A207" s="100" t="s">
        <v>23</v>
      </c>
      <c r="B207" s="100" t="s">
        <v>375</v>
      </c>
      <c r="C207" s="100"/>
      <c r="D207" s="69">
        <v>8819</v>
      </c>
      <c r="E207" s="100"/>
      <c r="F207" s="100"/>
      <c r="G207" s="100"/>
      <c r="H207" s="67" t="s">
        <v>138</v>
      </c>
      <c r="I207" s="67" t="s">
        <v>139</v>
      </c>
      <c r="J207" s="67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>
        <v>1</v>
      </c>
      <c r="V207" s="100"/>
      <c r="W207" s="100"/>
      <c r="X207" s="104">
        <v>45689</v>
      </c>
      <c r="Y207" s="100">
        <v>14.93</v>
      </c>
      <c r="Z207" s="100">
        <v>13</v>
      </c>
      <c r="AA207" s="100"/>
      <c r="AB207" s="47" t="s">
        <v>83</v>
      </c>
      <c r="AC207" s="100"/>
      <c r="AD207" s="100"/>
      <c r="AE207" s="100">
        <v>3</v>
      </c>
      <c r="AF207" s="71"/>
      <c r="AG207" s="71"/>
    </row>
    <row r="208" spans="1:33" s="59" customFormat="1" ht="14.25" customHeight="1" x14ac:dyDescent="0.3">
      <c r="A208" s="81" t="s">
        <v>23</v>
      </c>
      <c r="B208" s="81" t="s">
        <v>375</v>
      </c>
      <c r="C208" s="81"/>
      <c r="D208" s="69">
        <v>8820</v>
      </c>
      <c r="E208" s="81"/>
      <c r="F208" s="81"/>
      <c r="G208" s="81"/>
      <c r="H208" s="70" t="s">
        <v>72</v>
      </c>
      <c r="I208" s="70"/>
      <c r="J208" s="70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>
        <v>1</v>
      </c>
      <c r="V208" s="81"/>
      <c r="W208" s="81"/>
      <c r="X208" s="115">
        <v>45689</v>
      </c>
      <c r="Y208" s="81">
        <v>10.5</v>
      </c>
      <c r="Z208" s="81">
        <v>10</v>
      </c>
      <c r="AA208" s="81">
        <v>1</v>
      </c>
      <c r="AB208" s="50" t="s">
        <v>83</v>
      </c>
      <c r="AC208" s="81"/>
      <c r="AD208" s="81"/>
      <c r="AE208" s="81">
        <v>3</v>
      </c>
      <c r="AF208" s="159" t="s">
        <v>710</v>
      </c>
      <c r="AG208" s="159"/>
    </row>
    <row r="209" spans="1:33" s="59" customFormat="1" ht="14.4" customHeight="1" x14ac:dyDescent="0.3">
      <c r="A209" s="76" t="s">
        <v>23</v>
      </c>
      <c r="B209" s="76" t="s">
        <v>375</v>
      </c>
      <c r="C209" s="76"/>
      <c r="D209" s="74">
        <v>8821</v>
      </c>
      <c r="E209" s="76"/>
      <c r="F209" s="76"/>
      <c r="G209" s="76"/>
      <c r="H209" s="76" t="s">
        <v>25</v>
      </c>
      <c r="I209" s="76" t="s">
        <v>387</v>
      </c>
      <c r="J209" s="70"/>
      <c r="K209" s="76"/>
      <c r="L209" s="76"/>
      <c r="M209" s="76"/>
      <c r="N209" s="76"/>
      <c r="O209" s="76"/>
      <c r="P209" s="76"/>
      <c r="Q209" s="76"/>
      <c r="R209" s="76"/>
      <c r="S209" s="76"/>
      <c r="T209" s="81"/>
      <c r="U209" s="81">
        <v>1</v>
      </c>
      <c r="V209" s="76"/>
      <c r="W209" s="76"/>
      <c r="X209" s="82">
        <v>45689</v>
      </c>
      <c r="Y209" s="81">
        <v>12.3</v>
      </c>
      <c r="Z209" s="81">
        <v>12</v>
      </c>
      <c r="AA209" s="81"/>
      <c r="AB209" s="50" t="s">
        <v>83</v>
      </c>
      <c r="AC209" s="81"/>
      <c r="AD209" s="81"/>
      <c r="AE209" s="81">
        <v>3</v>
      </c>
      <c r="AF209" s="159"/>
      <c r="AG209" s="159"/>
    </row>
    <row r="210" spans="1:33" ht="14.25" customHeight="1" x14ac:dyDescent="0.3">
      <c r="A210" s="100" t="s">
        <v>23</v>
      </c>
      <c r="B210" s="121" t="s">
        <v>375</v>
      </c>
      <c r="C210" s="100"/>
      <c r="D210" s="69">
        <v>8822</v>
      </c>
      <c r="E210" s="100"/>
      <c r="F210" s="100"/>
      <c r="G210" s="100"/>
      <c r="H210" s="100" t="s">
        <v>51</v>
      </c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>
        <v>1</v>
      </c>
      <c r="V210" s="100"/>
      <c r="W210" s="100"/>
      <c r="X210" s="104">
        <v>45689</v>
      </c>
      <c r="Y210" s="100">
        <v>16.2</v>
      </c>
      <c r="Z210" s="100">
        <v>14</v>
      </c>
      <c r="AA210" s="100"/>
      <c r="AB210" s="47" t="s">
        <v>83</v>
      </c>
      <c r="AC210" s="100"/>
      <c r="AD210" s="100"/>
      <c r="AE210" s="100"/>
      <c r="AF210" s="71" t="s">
        <v>694</v>
      </c>
      <c r="AG210" s="71"/>
    </row>
    <row r="211" spans="1:33" ht="14.25" customHeight="1" x14ac:dyDescent="0.3">
      <c r="A211" s="100" t="s">
        <v>23</v>
      </c>
      <c r="B211" s="121" t="s">
        <v>375</v>
      </c>
      <c r="C211" s="47">
        <v>2296</v>
      </c>
      <c r="D211" s="100">
        <v>8691</v>
      </c>
      <c r="E211" s="47">
        <v>1</v>
      </c>
      <c r="F211" s="47">
        <v>0</v>
      </c>
      <c r="G211" s="47">
        <v>1</v>
      </c>
      <c r="H211" s="100" t="s">
        <v>128</v>
      </c>
      <c r="I211" s="67" t="s">
        <v>385</v>
      </c>
      <c r="J211" s="67" t="s">
        <v>386</v>
      </c>
      <c r="K211" s="47">
        <v>1</v>
      </c>
      <c r="L211" s="122">
        <v>39406</v>
      </c>
      <c r="M211" s="123">
        <v>13.08</v>
      </c>
      <c r="N211" s="122">
        <v>40660</v>
      </c>
      <c r="O211" s="124"/>
      <c r="P211" s="47"/>
      <c r="Q211" s="47" t="s">
        <v>117</v>
      </c>
      <c r="R211" s="47"/>
      <c r="S211" s="100"/>
      <c r="T211" s="100"/>
      <c r="U211" s="100">
        <v>1</v>
      </c>
      <c r="V211" s="100"/>
      <c r="W211" s="100"/>
      <c r="X211" s="104">
        <v>45689</v>
      </c>
      <c r="Y211" s="100">
        <v>13.1</v>
      </c>
      <c r="Z211" s="100">
        <v>15</v>
      </c>
      <c r="AA211" s="100"/>
      <c r="AB211" s="47" t="s">
        <v>45</v>
      </c>
      <c r="AC211" s="100"/>
      <c r="AD211" s="100"/>
      <c r="AE211" s="100"/>
      <c r="AF211" s="71"/>
      <c r="AG211" s="71"/>
    </row>
    <row r="212" spans="1:33" ht="14.25" customHeight="1" x14ac:dyDescent="0.3">
      <c r="A212" s="100" t="s">
        <v>23</v>
      </c>
      <c r="B212" s="121" t="s">
        <v>375</v>
      </c>
      <c r="C212" s="47">
        <v>2293</v>
      </c>
      <c r="D212" s="100"/>
      <c r="E212" s="47">
        <v>1</v>
      </c>
      <c r="F212" s="47">
        <v>0</v>
      </c>
      <c r="G212" s="47">
        <v>0</v>
      </c>
      <c r="H212" s="100" t="s">
        <v>149</v>
      </c>
      <c r="I212" s="67" t="s">
        <v>222</v>
      </c>
      <c r="J212" s="67" t="s">
        <v>383</v>
      </c>
      <c r="K212" s="47">
        <v>1</v>
      </c>
      <c r="L212" s="122">
        <v>39406</v>
      </c>
      <c r="M212" s="123">
        <v>33.85</v>
      </c>
      <c r="N212" s="122">
        <v>40660</v>
      </c>
      <c r="O212" s="124">
        <v>33.96</v>
      </c>
      <c r="P212" s="47">
        <v>32.9</v>
      </c>
      <c r="Q212" s="47"/>
      <c r="R212" s="100"/>
      <c r="S212" s="100"/>
      <c r="T212" s="100"/>
      <c r="U212" s="100"/>
      <c r="V212" s="100"/>
      <c r="W212" s="100"/>
      <c r="X212" s="104"/>
      <c r="Y212" s="100"/>
      <c r="Z212" s="100"/>
      <c r="AA212" s="100"/>
      <c r="AB212" s="47"/>
      <c r="AC212" s="100"/>
      <c r="AD212" s="100"/>
      <c r="AE212" s="100"/>
      <c r="AF212" s="71"/>
      <c r="AG212" s="71"/>
    </row>
    <row r="213" spans="1:33" ht="14.25" customHeight="1" x14ac:dyDescent="0.3">
      <c r="A213" s="100" t="s">
        <v>23</v>
      </c>
      <c r="B213" s="121" t="s">
        <v>375</v>
      </c>
      <c r="C213" s="47">
        <v>2283</v>
      </c>
      <c r="D213" s="100"/>
      <c r="E213" s="47">
        <v>1</v>
      </c>
      <c r="F213" s="47">
        <v>0</v>
      </c>
      <c r="G213" s="47">
        <v>0</v>
      </c>
      <c r="H213" s="100" t="s">
        <v>135</v>
      </c>
      <c r="I213" s="67"/>
      <c r="J213" s="67"/>
      <c r="K213" s="47">
        <v>1</v>
      </c>
      <c r="L213" s="122">
        <v>39406</v>
      </c>
      <c r="M213" s="123">
        <v>30.01</v>
      </c>
      <c r="N213" s="122">
        <v>40660</v>
      </c>
      <c r="O213" s="124">
        <f>95/3.141592654</f>
        <v>30.239439183511664</v>
      </c>
      <c r="P213" s="47">
        <v>23.3</v>
      </c>
      <c r="Q213" s="47" t="s">
        <v>247</v>
      </c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47"/>
      <c r="AC213" s="100"/>
      <c r="AD213" s="100"/>
      <c r="AE213" s="100"/>
      <c r="AF213" s="71"/>
      <c r="AG213" s="71"/>
    </row>
    <row r="214" spans="1:33" ht="14.25" customHeight="1" x14ac:dyDescent="0.3">
      <c r="A214" s="100" t="s">
        <v>23</v>
      </c>
      <c r="B214" s="121" t="s">
        <v>375</v>
      </c>
      <c r="C214" s="47">
        <v>2285</v>
      </c>
      <c r="D214" s="100"/>
      <c r="E214" s="47">
        <v>1</v>
      </c>
      <c r="F214" s="47">
        <v>0</v>
      </c>
      <c r="G214" s="47">
        <v>1</v>
      </c>
      <c r="H214" s="100" t="s">
        <v>46</v>
      </c>
      <c r="I214" s="67" t="s">
        <v>174</v>
      </c>
      <c r="J214" s="67"/>
      <c r="K214" s="47">
        <v>1</v>
      </c>
      <c r="L214" s="122">
        <v>39406</v>
      </c>
      <c r="M214" s="123">
        <v>40.57</v>
      </c>
      <c r="N214" s="122">
        <v>40660</v>
      </c>
      <c r="O214" s="124"/>
      <c r="P214" s="47"/>
      <c r="Q214" s="47" t="s">
        <v>117</v>
      </c>
      <c r="R214" s="154" t="s">
        <v>377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47"/>
      <c r="AC214" s="100"/>
      <c r="AD214" s="100"/>
      <c r="AE214" s="100"/>
      <c r="AF214" s="71"/>
      <c r="AG214" s="71"/>
    </row>
    <row r="215" spans="1:33" ht="14.25" customHeight="1" x14ac:dyDescent="0.3">
      <c r="A215" s="100" t="s">
        <v>23</v>
      </c>
      <c r="B215" s="121" t="s">
        <v>375</v>
      </c>
      <c r="C215" s="47">
        <v>2290</v>
      </c>
      <c r="D215" s="100"/>
      <c r="E215" s="47">
        <v>1</v>
      </c>
      <c r="F215" s="47">
        <v>0</v>
      </c>
      <c r="G215" s="47">
        <v>0</v>
      </c>
      <c r="H215" s="100" t="s">
        <v>121</v>
      </c>
      <c r="I215" s="67" t="s">
        <v>126</v>
      </c>
      <c r="J215" s="67" t="s">
        <v>127</v>
      </c>
      <c r="K215" s="47">
        <v>1</v>
      </c>
      <c r="L215" s="122">
        <v>39406</v>
      </c>
      <c r="M215" s="123">
        <v>39.61</v>
      </c>
      <c r="N215" s="122">
        <v>40660</v>
      </c>
      <c r="O215" s="124">
        <v>39.64</v>
      </c>
      <c r="P215" s="47">
        <v>25.5</v>
      </c>
      <c r="Q215" s="47"/>
      <c r="R215" s="47">
        <v>3203</v>
      </c>
      <c r="S215" s="100"/>
      <c r="T215" s="100"/>
      <c r="U215" s="100"/>
      <c r="V215" s="100"/>
      <c r="W215" s="100"/>
      <c r="X215" s="104"/>
      <c r="Y215" s="100"/>
      <c r="Z215" s="100"/>
      <c r="AA215" s="100"/>
      <c r="AB215" s="47"/>
      <c r="AC215" s="100"/>
      <c r="AD215" s="100"/>
      <c r="AE215" s="100"/>
      <c r="AF215" s="71"/>
      <c r="AG215" s="71"/>
    </row>
    <row r="216" spans="1:33" ht="14.25" customHeight="1" x14ac:dyDescent="0.3">
      <c r="A216" s="100" t="s">
        <v>23</v>
      </c>
      <c r="B216" s="121" t="s">
        <v>375</v>
      </c>
      <c r="C216" s="47">
        <v>2291</v>
      </c>
      <c r="D216" s="100"/>
      <c r="E216" s="47">
        <v>1</v>
      </c>
      <c r="F216" s="47">
        <v>0</v>
      </c>
      <c r="G216" s="47">
        <v>0</v>
      </c>
      <c r="H216" s="100" t="s">
        <v>29</v>
      </c>
      <c r="I216" s="67"/>
      <c r="J216" s="67"/>
      <c r="K216" s="47">
        <v>1</v>
      </c>
      <c r="L216" s="122">
        <v>39406</v>
      </c>
      <c r="M216" s="123">
        <v>35.6</v>
      </c>
      <c r="N216" s="122">
        <v>40660</v>
      </c>
      <c r="O216" s="124">
        <v>37.04</v>
      </c>
      <c r="P216" s="47">
        <v>26.6</v>
      </c>
      <c r="Q216" s="47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47"/>
      <c r="AC216" s="100"/>
      <c r="AD216" s="100"/>
      <c r="AE216" s="100"/>
      <c r="AF216" s="71"/>
      <c r="AG216" s="71"/>
    </row>
    <row r="217" spans="1:33" ht="14.25" customHeight="1" x14ac:dyDescent="0.3">
      <c r="A217" s="100" t="s">
        <v>23</v>
      </c>
      <c r="B217" s="121" t="s">
        <v>375</v>
      </c>
      <c r="C217" s="47">
        <v>2297</v>
      </c>
      <c r="D217" s="100"/>
      <c r="E217" s="47">
        <v>1</v>
      </c>
      <c r="F217" s="47">
        <v>0</v>
      </c>
      <c r="G217" s="47">
        <v>0</v>
      </c>
      <c r="H217" s="100" t="s">
        <v>25</v>
      </c>
      <c r="I217" s="67" t="s">
        <v>387</v>
      </c>
      <c r="J217" s="67" t="s">
        <v>388</v>
      </c>
      <c r="K217" s="47">
        <v>1</v>
      </c>
      <c r="L217" s="122">
        <v>39406</v>
      </c>
      <c r="M217" s="123">
        <v>11.3</v>
      </c>
      <c r="N217" s="122">
        <v>40660</v>
      </c>
      <c r="O217" s="124">
        <v>11.52</v>
      </c>
      <c r="P217" s="47">
        <v>12</v>
      </c>
      <c r="Q217" s="47" t="s">
        <v>240</v>
      </c>
      <c r="R217" s="47">
        <v>3212</v>
      </c>
      <c r="S217" s="100"/>
      <c r="T217" s="100"/>
      <c r="U217" s="100"/>
      <c r="V217" s="100"/>
      <c r="W217" s="100"/>
      <c r="X217" s="100"/>
      <c r="Y217" s="100"/>
      <c r="Z217" s="100"/>
      <c r="AA217" s="100"/>
      <c r="AB217" s="47"/>
      <c r="AC217" s="100"/>
      <c r="AD217" s="100"/>
      <c r="AE217" s="100"/>
      <c r="AF217" s="71"/>
      <c r="AG217" s="71"/>
    </row>
    <row r="218" spans="1:33" ht="14.25" customHeight="1" x14ac:dyDescent="0.3">
      <c r="A218" s="100" t="s">
        <v>23</v>
      </c>
      <c r="B218" s="121" t="s">
        <v>375</v>
      </c>
      <c r="C218" s="47">
        <v>2298</v>
      </c>
      <c r="D218" s="100"/>
      <c r="E218" s="47">
        <v>1</v>
      </c>
      <c r="F218" s="47">
        <v>0</v>
      </c>
      <c r="G218" s="47">
        <v>0</v>
      </c>
      <c r="H218" s="100" t="s">
        <v>25</v>
      </c>
      <c r="I218" s="67" t="s">
        <v>26</v>
      </c>
      <c r="J218" s="67" t="s">
        <v>44</v>
      </c>
      <c r="K218" s="47">
        <v>1</v>
      </c>
      <c r="L218" s="122">
        <v>39406</v>
      </c>
      <c r="M218" s="123">
        <v>14.17</v>
      </c>
      <c r="N218" s="122">
        <v>40660</v>
      </c>
      <c r="O218" s="124">
        <v>14.8</v>
      </c>
      <c r="P218" s="47">
        <v>14.5</v>
      </c>
      <c r="Q218" s="47"/>
      <c r="R218" s="100"/>
      <c r="S218" s="100"/>
      <c r="T218" s="100"/>
      <c r="U218" s="100"/>
      <c r="V218" s="100"/>
      <c r="W218" s="100"/>
      <c r="X218" s="104"/>
      <c r="Y218" s="100"/>
      <c r="Z218" s="100"/>
      <c r="AA218" s="100"/>
      <c r="AB218" s="47"/>
      <c r="AC218" s="100"/>
      <c r="AD218" s="100"/>
      <c r="AE218" s="100"/>
      <c r="AF218" s="71"/>
      <c r="AG218" s="71"/>
    </row>
    <row r="219" spans="1:33" ht="14.25" customHeight="1" x14ac:dyDescent="0.3">
      <c r="A219" s="100" t="s">
        <v>23</v>
      </c>
      <c r="B219" s="121" t="s">
        <v>375</v>
      </c>
      <c r="C219" s="47">
        <v>2300</v>
      </c>
      <c r="D219" s="100"/>
      <c r="E219" s="47">
        <v>1</v>
      </c>
      <c r="F219" s="47">
        <v>0</v>
      </c>
      <c r="G219" s="47"/>
      <c r="H219" s="100" t="s">
        <v>311</v>
      </c>
      <c r="I219" s="67" t="s">
        <v>389</v>
      </c>
      <c r="J219" s="67"/>
      <c r="K219" s="47">
        <v>1</v>
      </c>
      <c r="L219" s="122">
        <v>39406</v>
      </c>
      <c r="M219" s="123">
        <v>33.25</v>
      </c>
      <c r="N219" s="122">
        <v>40660</v>
      </c>
      <c r="O219" s="155"/>
      <c r="P219" s="47"/>
      <c r="Q219" s="47"/>
      <c r="R219" s="105" t="s">
        <v>390</v>
      </c>
      <c r="S219" s="100"/>
      <c r="T219" s="100"/>
      <c r="U219" s="100"/>
      <c r="V219" s="100"/>
      <c r="W219" s="100"/>
      <c r="X219" s="100"/>
      <c r="Y219" s="100"/>
      <c r="Z219" s="100"/>
      <c r="AA219" s="100"/>
      <c r="AB219" s="47"/>
      <c r="AC219" s="100"/>
      <c r="AD219" s="100"/>
      <c r="AE219" s="100"/>
      <c r="AF219" s="71"/>
      <c r="AG219" s="71"/>
    </row>
    <row r="220" spans="1:33" ht="14.25" customHeight="1" x14ac:dyDescent="0.3">
      <c r="A220" s="100" t="s">
        <v>23</v>
      </c>
      <c r="B220" s="121" t="s">
        <v>375</v>
      </c>
      <c r="C220" s="47">
        <v>2301</v>
      </c>
      <c r="D220" s="100"/>
      <c r="E220" s="47">
        <v>1</v>
      </c>
      <c r="F220" s="47">
        <v>0</v>
      </c>
      <c r="G220" s="47">
        <v>0</v>
      </c>
      <c r="H220" s="100" t="s">
        <v>51</v>
      </c>
      <c r="I220" s="67" t="s">
        <v>170</v>
      </c>
      <c r="J220" s="67" t="s">
        <v>171</v>
      </c>
      <c r="K220" s="47">
        <v>1</v>
      </c>
      <c r="L220" s="122">
        <v>39406</v>
      </c>
      <c r="M220" s="123">
        <v>12.34</v>
      </c>
      <c r="N220" s="122">
        <v>40660</v>
      </c>
      <c r="O220" s="124">
        <v>12.86</v>
      </c>
      <c r="P220" s="47">
        <v>13.8</v>
      </c>
      <c r="Q220" s="47"/>
      <c r="R220" s="105" t="s">
        <v>391</v>
      </c>
      <c r="S220" s="100"/>
      <c r="T220" s="100"/>
      <c r="U220" s="100"/>
      <c r="V220" s="100"/>
      <c r="W220" s="100"/>
      <c r="X220" s="104"/>
      <c r="Y220" s="100"/>
      <c r="Z220" s="100"/>
      <c r="AA220" s="100"/>
      <c r="AB220" s="47"/>
      <c r="AC220" s="100"/>
      <c r="AD220" s="100"/>
      <c r="AE220" s="100"/>
      <c r="AF220" s="71"/>
      <c r="AG220" s="71"/>
    </row>
    <row r="221" spans="1:33" ht="14.25" customHeight="1" x14ac:dyDescent="0.3">
      <c r="A221" s="100" t="s">
        <v>23</v>
      </c>
      <c r="B221" s="121" t="s">
        <v>375</v>
      </c>
      <c r="C221" s="47">
        <v>2304</v>
      </c>
      <c r="D221" s="100"/>
      <c r="E221" s="47">
        <v>1</v>
      </c>
      <c r="F221" s="47">
        <v>0</v>
      </c>
      <c r="G221" s="47">
        <v>0</v>
      </c>
      <c r="H221" s="100" t="s">
        <v>35</v>
      </c>
      <c r="I221" s="67" t="s">
        <v>392</v>
      </c>
      <c r="J221" s="67" t="s">
        <v>208</v>
      </c>
      <c r="K221" s="47">
        <v>1</v>
      </c>
      <c r="L221" s="122">
        <v>39406</v>
      </c>
      <c r="M221" s="123">
        <v>11.46</v>
      </c>
      <c r="N221" s="122">
        <v>40660</v>
      </c>
      <c r="O221" s="124">
        <v>11.55</v>
      </c>
      <c r="P221" s="47">
        <v>13.8</v>
      </c>
      <c r="Q221" s="47" t="s">
        <v>240</v>
      </c>
      <c r="R221" s="47">
        <v>3215</v>
      </c>
      <c r="S221" s="100"/>
      <c r="T221" s="100"/>
      <c r="U221" s="100"/>
      <c r="V221" s="100"/>
      <c r="W221" s="100"/>
      <c r="X221" s="100"/>
      <c r="Y221" s="100"/>
      <c r="Z221" s="100"/>
      <c r="AA221" s="100"/>
      <c r="AB221" s="47"/>
      <c r="AC221" s="100"/>
      <c r="AD221" s="100"/>
      <c r="AE221" s="100"/>
      <c r="AF221" s="71"/>
      <c r="AG221" s="71"/>
    </row>
    <row r="222" spans="1:33" ht="14.25" customHeight="1" x14ac:dyDescent="0.3">
      <c r="A222" s="100" t="s">
        <v>23</v>
      </c>
      <c r="B222" s="121" t="s">
        <v>375</v>
      </c>
      <c r="C222" s="47">
        <v>2306</v>
      </c>
      <c r="D222" s="100"/>
      <c r="E222" s="47">
        <v>1</v>
      </c>
      <c r="F222" s="47">
        <v>0</v>
      </c>
      <c r="G222" s="47">
        <v>0</v>
      </c>
      <c r="H222" s="100" t="s">
        <v>46</v>
      </c>
      <c r="I222" s="67" t="s">
        <v>174</v>
      </c>
      <c r="J222" s="67"/>
      <c r="K222" s="47">
        <v>1</v>
      </c>
      <c r="L222" s="122">
        <v>39406</v>
      </c>
      <c r="M222" s="123">
        <v>37.799999999999997</v>
      </c>
      <c r="N222" s="122">
        <v>40660</v>
      </c>
      <c r="O222" s="124">
        <v>38.47</v>
      </c>
      <c r="P222" s="47">
        <v>28.7</v>
      </c>
      <c r="Q222" s="47"/>
      <c r="R222" s="47">
        <v>3210</v>
      </c>
      <c r="S222" s="100"/>
      <c r="T222" s="100"/>
      <c r="U222" s="100"/>
      <c r="V222" s="100"/>
      <c r="W222" s="100"/>
      <c r="X222" s="100"/>
      <c r="Y222" s="100"/>
      <c r="Z222" s="100"/>
      <c r="AA222" s="100"/>
      <c r="AB222" s="47"/>
      <c r="AC222" s="100"/>
      <c r="AD222" s="100"/>
      <c r="AE222" s="100"/>
      <c r="AF222" s="71"/>
      <c r="AG222" s="71"/>
    </row>
    <row r="223" spans="1:33" ht="14.25" customHeight="1" x14ac:dyDescent="0.3">
      <c r="A223" s="100" t="s">
        <v>23</v>
      </c>
      <c r="B223" s="121" t="s">
        <v>375</v>
      </c>
      <c r="C223" s="47">
        <v>2308</v>
      </c>
      <c r="D223" s="100"/>
      <c r="E223" s="47">
        <v>1</v>
      </c>
      <c r="F223" s="47">
        <v>0</v>
      </c>
      <c r="G223" s="47">
        <v>0</v>
      </c>
      <c r="H223" s="100" t="s">
        <v>72</v>
      </c>
      <c r="I223" s="67" t="s">
        <v>269</v>
      </c>
      <c r="J223" s="67" t="s">
        <v>270</v>
      </c>
      <c r="K223" s="47">
        <v>1</v>
      </c>
      <c r="L223" s="122">
        <v>39406</v>
      </c>
      <c r="M223" s="123">
        <v>11.96</v>
      </c>
      <c r="N223" s="122">
        <v>40660</v>
      </c>
      <c r="O223" s="124">
        <v>11.97</v>
      </c>
      <c r="P223" s="47">
        <v>9.6</v>
      </c>
      <c r="Q223" s="47"/>
      <c r="R223" s="47">
        <v>3201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47"/>
      <c r="AC223" s="100"/>
      <c r="AD223" s="100"/>
      <c r="AE223" s="100"/>
      <c r="AF223" s="71"/>
      <c r="AG223" s="71"/>
    </row>
    <row r="224" spans="1:33" ht="14.25" customHeight="1" x14ac:dyDescent="0.3">
      <c r="A224" s="100" t="s">
        <v>23</v>
      </c>
      <c r="B224" s="121" t="s">
        <v>375</v>
      </c>
      <c r="C224" s="47">
        <v>2311</v>
      </c>
      <c r="D224" s="100"/>
      <c r="E224" s="47">
        <v>1</v>
      </c>
      <c r="F224" s="47">
        <v>0</v>
      </c>
      <c r="G224" s="47">
        <v>0</v>
      </c>
      <c r="H224" s="100" t="s">
        <v>121</v>
      </c>
      <c r="I224" s="67" t="s">
        <v>122</v>
      </c>
      <c r="J224" s="67" t="s">
        <v>396</v>
      </c>
      <c r="K224" s="47">
        <v>1</v>
      </c>
      <c r="L224" s="122">
        <v>39406</v>
      </c>
      <c r="M224" s="123">
        <v>14.84</v>
      </c>
      <c r="N224" s="122">
        <v>40660</v>
      </c>
      <c r="O224" s="124">
        <v>15.25</v>
      </c>
      <c r="P224" s="47">
        <v>15.8</v>
      </c>
      <c r="Q224" s="47"/>
      <c r="R224" s="47">
        <v>3211</v>
      </c>
      <c r="S224" s="100"/>
      <c r="T224" s="100"/>
      <c r="U224" s="100"/>
      <c r="V224" s="100"/>
      <c r="W224" s="100"/>
      <c r="X224" s="104"/>
      <c r="Y224" s="100"/>
      <c r="Z224" s="100"/>
      <c r="AA224" s="100"/>
      <c r="AB224" s="47"/>
      <c r="AC224" s="100"/>
      <c r="AD224" s="100"/>
      <c r="AE224" s="100"/>
      <c r="AF224" s="71"/>
      <c r="AG224" s="71"/>
    </row>
    <row r="225" spans="1:33" ht="14.25" customHeight="1" x14ac:dyDescent="0.3">
      <c r="A225" s="100" t="s">
        <v>23</v>
      </c>
      <c r="B225" s="121" t="s">
        <v>375</v>
      </c>
      <c r="C225" s="47">
        <v>2312</v>
      </c>
      <c r="D225" s="100"/>
      <c r="E225" s="47">
        <v>1</v>
      </c>
      <c r="F225" s="47">
        <v>0</v>
      </c>
      <c r="G225" s="47">
        <v>1</v>
      </c>
      <c r="H225" s="100" t="s">
        <v>196</v>
      </c>
      <c r="I225" s="67" t="s">
        <v>397</v>
      </c>
      <c r="J225" s="67"/>
      <c r="K225" s="47">
        <v>1</v>
      </c>
      <c r="L225" s="122">
        <v>39406</v>
      </c>
      <c r="M225" s="123">
        <v>16.96</v>
      </c>
      <c r="N225" s="122">
        <v>40660</v>
      </c>
      <c r="O225" s="124"/>
      <c r="P225" s="47"/>
      <c r="Q225" s="47" t="s">
        <v>117</v>
      </c>
      <c r="R225" s="47">
        <v>3205</v>
      </c>
      <c r="S225" s="100"/>
      <c r="T225" s="100"/>
      <c r="U225" s="100"/>
      <c r="V225" s="100"/>
      <c r="W225" s="100"/>
      <c r="X225" s="100"/>
      <c r="Y225" s="100"/>
      <c r="Z225" s="100"/>
      <c r="AA225" s="100"/>
      <c r="AB225" s="47"/>
      <c r="AC225" s="100"/>
      <c r="AD225" s="100"/>
      <c r="AE225" s="100"/>
      <c r="AF225" s="71"/>
      <c r="AG225" s="71"/>
    </row>
    <row r="226" spans="1:33" ht="18.75" customHeight="1" x14ac:dyDescent="0.3">
      <c r="A226" s="100" t="s">
        <v>23</v>
      </c>
      <c r="B226" s="121" t="s">
        <v>375</v>
      </c>
      <c r="C226" s="47">
        <v>2313</v>
      </c>
      <c r="D226" s="100"/>
      <c r="E226" s="47">
        <v>1</v>
      </c>
      <c r="F226" s="47">
        <v>0</v>
      </c>
      <c r="G226" s="47">
        <v>0</v>
      </c>
      <c r="H226" s="100" t="s">
        <v>29</v>
      </c>
      <c r="I226" s="67" t="s">
        <v>68</v>
      </c>
      <c r="J226" s="67" t="s">
        <v>398</v>
      </c>
      <c r="K226" s="47">
        <v>1</v>
      </c>
      <c r="L226" s="122">
        <v>39406</v>
      </c>
      <c r="M226" s="123">
        <v>13.35</v>
      </c>
      <c r="N226" s="122">
        <v>40660</v>
      </c>
      <c r="O226" s="124">
        <v>13.38</v>
      </c>
      <c r="P226" s="47">
        <v>8.8000000000000007</v>
      </c>
      <c r="Q226" s="47"/>
      <c r="R226" s="47">
        <v>3204</v>
      </c>
      <c r="S226" s="100"/>
      <c r="T226" s="100"/>
      <c r="U226" s="100"/>
      <c r="V226" s="100"/>
      <c r="W226" s="100"/>
      <c r="X226" s="100"/>
      <c r="Y226" s="100"/>
      <c r="Z226" s="100"/>
      <c r="AA226" s="100"/>
      <c r="AB226" s="47"/>
      <c r="AC226" s="100"/>
      <c r="AD226" s="100"/>
      <c r="AE226" s="100"/>
      <c r="AF226" s="71"/>
      <c r="AG226" s="71"/>
    </row>
    <row r="227" spans="1:33" ht="14.25" customHeight="1" x14ac:dyDescent="0.3">
      <c r="A227" s="100" t="s">
        <v>23</v>
      </c>
      <c r="B227" s="121" t="s">
        <v>375</v>
      </c>
      <c r="C227" s="47">
        <v>2316</v>
      </c>
      <c r="D227" s="100"/>
      <c r="E227" s="47">
        <v>1</v>
      </c>
      <c r="F227" s="47">
        <v>0</v>
      </c>
      <c r="G227" s="47">
        <v>0</v>
      </c>
      <c r="H227" s="100" t="s">
        <v>46</v>
      </c>
      <c r="I227" s="67"/>
      <c r="J227" s="67"/>
      <c r="K227" s="47">
        <v>1</v>
      </c>
      <c r="L227" s="122">
        <v>39406</v>
      </c>
      <c r="M227" s="123">
        <v>23.12</v>
      </c>
      <c r="N227" s="122">
        <v>40660</v>
      </c>
      <c r="O227" s="124">
        <v>23.4</v>
      </c>
      <c r="P227" s="47">
        <v>20.5</v>
      </c>
      <c r="Q227" s="47"/>
      <c r="R227" s="47"/>
      <c r="S227" s="100"/>
      <c r="T227" s="100"/>
      <c r="U227" s="100"/>
      <c r="V227" s="100"/>
      <c r="W227" s="100"/>
      <c r="X227" s="100"/>
      <c r="Y227" s="100"/>
      <c r="Z227" s="100"/>
      <c r="AA227" s="100"/>
      <c r="AB227" s="47"/>
      <c r="AC227" s="100"/>
      <c r="AD227" s="100"/>
      <c r="AE227" s="100"/>
      <c r="AF227" s="71"/>
      <c r="AG227" s="71"/>
    </row>
    <row r="228" spans="1:33" ht="14.25" customHeight="1" x14ac:dyDescent="0.3">
      <c r="A228" s="100" t="s">
        <v>23</v>
      </c>
      <c r="B228" s="121" t="s">
        <v>375</v>
      </c>
      <c r="C228" s="47">
        <v>2318</v>
      </c>
      <c r="D228" s="100"/>
      <c r="E228" s="47">
        <v>1</v>
      </c>
      <c r="F228" s="47">
        <v>0</v>
      </c>
      <c r="G228" s="47">
        <v>0</v>
      </c>
      <c r="H228" s="100" t="s">
        <v>51</v>
      </c>
      <c r="I228" s="67" t="s">
        <v>170</v>
      </c>
      <c r="J228" s="67" t="s">
        <v>171</v>
      </c>
      <c r="K228" s="47">
        <v>1</v>
      </c>
      <c r="L228" s="122">
        <v>39406</v>
      </c>
      <c r="M228" s="156">
        <v>12.53</v>
      </c>
      <c r="N228" s="122">
        <v>40660</v>
      </c>
      <c r="O228" s="157">
        <f>39/3.141592654</f>
        <v>12.414085559546892</v>
      </c>
      <c r="P228" s="47">
        <v>16.399999999999999</v>
      </c>
      <c r="Q228" s="47"/>
      <c r="R228" s="47"/>
      <c r="S228" s="100"/>
      <c r="T228" s="100"/>
      <c r="U228" s="100"/>
      <c r="V228" s="100"/>
      <c r="W228" s="100"/>
      <c r="X228" s="104"/>
      <c r="Y228" s="100"/>
      <c r="Z228" s="100"/>
      <c r="AA228" s="100"/>
      <c r="AB228" s="47"/>
      <c r="AC228" s="100"/>
      <c r="AD228" s="100"/>
      <c r="AE228" s="100"/>
      <c r="AF228" s="71"/>
      <c r="AG228" s="71"/>
    </row>
    <row r="229" spans="1:33" ht="14.25" customHeight="1" x14ac:dyDescent="0.3">
      <c r="A229" s="100" t="s">
        <v>23</v>
      </c>
      <c r="B229" s="121" t="s">
        <v>375</v>
      </c>
      <c r="C229" s="47" t="s">
        <v>296</v>
      </c>
      <c r="D229" s="100">
        <v>8692</v>
      </c>
      <c r="E229" s="47">
        <v>0</v>
      </c>
      <c r="F229" s="47">
        <v>1</v>
      </c>
      <c r="G229" s="47">
        <v>0</v>
      </c>
      <c r="H229" s="100" t="s">
        <v>25</v>
      </c>
      <c r="I229" s="67" t="s">
        <v>55</v>
      </c>
      <c r="J229" s="67" t="s">
        <v>56</v>
      </c>
      <c r="K229" s="47">
        <v>1</v>
      </c>
      <c r="L229" s="122">
        <v>39406</v>
      </c>
      <c r="M229" s="123"/>
      <c r="N229" s="122">
        <v>40660</v>
      </c>
      <c r="O229" s="124">
        <f>36/3.141592654</f>
        <v>11.459155901120209</v>
      </c>
      <c r="P229" s="47">
        <v>16.100000000000001</v>
      </c>
      <c r="Q229" s="47"/>
      <c r="R229" s="100"/>
      <c r="S229" s="100"/>
      <c r="T229" s="100"/>
      <c r="U229" s="100">
        <v>1</v>
      </c>
      <c r="V229" s="100"/>
      <c r="W229" s="100"/>
      <c r="X229" s="104">
        <v>45689</v>
      </c>
      <c r="Y229" s="100">
        <v>18</v>
      </c>
      <c r="Z229" s="100">
        <v>17</v>
      </c>
      <c r="AA229" s="100"/>
      <c r="AB229" s="47" t="s">
        <v>45</v>
      </c>
      <c r="AC229" s="100"/>
      <c r="AD229" s="100"/>
      <c r="AE229" s="100"/>
      <c r="AF229" s="71"/>
      <c r="AG229" s="71"/>
    </row>
    <row r="230" spans="1:33" ht="14.25" customHeight="1" x14ac:dyDescent="0.3">
      <c r="A230" s="100" t="s">
        <v>23</v>
      </c>
      <c r="B230" s="121" t="s">
        <v>375</v>
      </c>
      <c r="C230" s="47" t="s">
        <v>298</v>
      </c>
      <c r="D230" s="100"/>
      <c r="E230" s="47">
        <v>0</v>
      </c>
      <c r="F230" s="47">
        <v>1</v>
      </c>
      <c r="G230" s="47">
        <v>0</v>
      </c>
      <c r="H230" s="67" t="s">
        <v>135</v>
      </c>
      <c r="I230" s="67"/>
      <c r="J230" s="67"/>
      <c r="K230" s="47">
        <v>1</v>
      </c>
      <c r="L230" s="122">
        <v>39406</v>
      </c>
      <c r="M230" s="123"/>
      <c r="N230" s="122">
        <v>40660</v>
      </c>
      <c r="O230" s="124">
        <f>33.5/3.141592654</f>
        <v>10.663381185764639</v>
      </c>
      <c r="P230" s="47">
        <v>19.5</v>
      </c>
      <c r="Q230" s="47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47"/>
      <c r="AC230" s="100"/>
      <c r="AD230" s="100"/>
      <c r="AE230" s="100"/>
      <c r="AF230" s="71"/>
      <c r="AG230" s="71"/>
    </row>
    <row r="231" spans="1:33" ht="14.25" customHeight="1" x14ac:dyDescent="0.3">
      <c r="A231" s="100" t="s">
        <v>23</v>
      </c>
      <c r="B231" s="101" t="s">
        <v>404</v>
      </c>
      <c r="C231" s="47">
        <v>2322</v>
      </c>
      <c r="D231" s="100"/>
      <c r="E231" s="47">
        <v>1</v>
      </c>
      <c r="F231" s="100"/>
      <c r="G231" s="100"/>
      <c r="H231" s="100" t="s">
        <v>311</v>
      </c>
      <c r="I231" s="100" t="s">
        <v>389</v>
      </c>
      <c r="J231" s="100"/>
      <c r="K231" s="47">
        <v>0</v>
      </c>
      <c r="L231" s="102">
        <v>39170</v>
      </c>
      <c r="M231" s="100">
        <v>39.470425886790046</v>
      </c>
      <c r="N231" s="100"/>
      <c r="O231" s="100"/>
      <c r="P231" s="100"/>
      <c r="Q231" s="100" t="s">
        <v>405</v>
      </c>
      <c r="R231" s="103" t="s">
        <v>406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47"/>
      <c r="AC231" s="100"/>
      <c r="AD231" s="100"/>
      <c r="AE231" s="100"/>
      <c r="AF231" s="71"/>
      <c r="AG231" s="71"/>
    </row>
    <row r="232" spans="1:33" ht="14.25" customHeight="1" x14ac:dyDescent="0.3">
      <c r="A232" s="100" t="s">
        <v>23</v>
      </c>
      <c r="B232" s="101" t="s">
        <v>404</v>
      </c>
      <c r="C232" s="47">
        <v>2323</v>
      </c>
      <c r="D232" s="100"/>
      <c r="E232" s="47">
        <v>1</v>
      </c>
      <c r="F232" s="100"/>
      <c r="G232" s="100"/>
      <c r="H232" s="100" t="s">
        <v>25</v>
      </c>
      <c r="I232" s="100" t="s">
        <v>26</v>
      </c>
      <c r="J232" s="100" t="s">
        <v>44</v>
      </c>
      <c r="K232" s="47">
        <v>0</v>
      </c>
      <c r="L232" s="102">
        <v>39170</v>
      </c>
      <c r="M232" s="100">
        <v>22.600001919049138</v>
      </c>
      <c r="N232" s="100"/>
      <c r="O232" s="100"/>
      <c r="P232" s="100"/>
      <c r="Q232" s="100" t="s">
        <v>407</v>
      </c>
      <c r="R232" s="103"/>
      <c r="S232" s="100"/>
      <c r="T232" s="100"/>
      <c r="U232" s="100"/>
      <c r="V232" s="100"/>
      <c r="W232" s="100"/>
      <c r="X232" s="100"/>
      <c r="Y232" s="100"/>
      <c r="Z232" s="100"/>
      <c r="AA232" s="100"/>
      <c r="AB232" s="47"/>
      <c r="AC232" s="100"/>
      <c r="AD232" s="100"/>
      <c r="AE232" s="100"/>
      <c r="AF232" s="71"/>
      <c r="AG232" s="71"/>
    </row>
    <row r="233" spans="1:33" ht="14.25" customHeight="1" x14ac:dyDescent="0.3">
      <c r="A233" s="100" t="s">
        <v>23</v>
      </c>
      <c r="B233" s="101" t="s">
        <v>404</v>
      </c>
      <c r="C233" s="47">
        <v>2324</v>
      </c>
      <c r="D233" s="100"/>
      <c r="E233" s="47">
        <v>1</v>
      </c>
      <c r="F233" s="100"/>
      <c r="G233" s="100"/>
      <c r="H233" s="100" t="s">
        <v>408</v>
      </c>
      <c r="I233" s="100" t="s">
        <v>409</v>
      </c>
      <c r="J233" s="100" t="s">
        <v>410</v>
      </c>
      <c r="K233" s="47">
        <v>0</v>
      </c>
      <c r="L233" s="102">
        <v>39170</v>
      </c>
      <c r="M233" s="100">
        <v>79.259161659763876</v>
      </c>
      <c r="N233" s="100"/>
      <c r="O233" s="100"/>
      <c r="P233" s="100"/>
      <c r="Q233" s="100" t="s">
        <v>411</v>
      </c>
      <c r="R233" s="103" t="s">
        <v>412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47"/>
      <c r="AC233" s="100"/>
      <c r="AD233" s="100"/>
      <c r="AE233" s="100"/>
      <c r="AF233" s="71"/>
      <c r="AG233" s="71"/>
    </row>
    <row r="234" spans="1:33" ht="14.25" customHeight="1" x14ac:dyDescent="0.3">
      <c r="A234" s="100" t="s">
        <v>23</v>
      </c>
      <c r="B234" s="101" t="s">
        <v>404</v>
      </c>
      <c r="C234" s="47">
        <v>2325</v>
      </c>
      <c r="D234" s="100"/>
      <c r="E234" s="47">
        <v>1</v>
      </c>
      <c r="F234" s="100"/>
      <c r="G234" s="100"/>
      <c r="H234" s="100" t="s">
        <v>25</v>
      </c>
      <c r="I234" s="100" t="s">
        <v>261</v>
      </c>
      <c r="J234" s="100" t="s">
        <v>262</v>
      </c>
      <c r="K234" s="47">
        <v>0</v>
      </c>
      <c r="L234" s="102">
        <v>39170</v>
      </c>
      <c r="M234" s="100">
        <v>11.777465788800255</v>
      </c>
      <c r="N234" s="100"/>
      <c r="O234" s="100"/>
      <c r="P234" s="100"/>
      <c r="Q234" s="100" t="s">
        <v>413</v>
      </c>
      <c r="R234" s="103" t="s">
        <v>414</v>
      </c>
      <c r="S234" s="100"/>
      <c r="T234" s="100"/>
      <c r="U234" s="100"/>
      <c r="V234" s="100"/>
      <c r="W234" s="100"/>
      <c r="X234" s="100"/>
      <c r="Y234" s="100"/>
      <c r="Z234" s="100"/>
      <c r="AA234" s="100"/>
      <c r="AB234" s="47"/>
      <c r="AC234" s="100"/>
      <c r="AD234" s="100"/>
      <c r="AE234" s="100"/>
      <c r="AF234" s="71"/>
      <c r="AG234" s="71"/>
    </row>
    <row r="235" spans="1:33" ht="14.25" customHeight="1" x14ac:dyDescent="0.3">
      <c r="A235" s="100" t="s">
        <v>23</v>
      </c>
      <c r="B235" s="101" t="s">
        <v>404</v>
      </c>
      <c r="C235" s="47">
        <v>2326</v>
      </c>
      <c r="D235" s="100"/>
      <c r="E235" s="47">
        <v>1</v>
      </c>
      <c r="F235" s="100"/>
      <c r="G235" s="100"/>
      <c r="H235" s="100" t="s">
        <v>121</v>
      </c>
      <c r="I235" s="100" t="s">
        <v>122</v>
      </c>
      <c r="J235" s="100"/>
      <c r="K235" s="47">
        <v>0</v>
      </c>
      <c r="L235" s="102">
        <v>39170</v>
      </c>
      <c r="M235" s="100">
        <v>13.528170162811104</v>
      </c>
      <c r="N235" s="100"/>
      <c r="O235" s="100"/>
      <c r="P235" s="100"/>
      <c r="Q235" s="100" t="s">
        <v>415</v>
      </c>
      <c r="R235" s="103"/>
      <c r="S235" s="100"/>
      <c r="T235" s="100"/>
      <c r="U235" s="100"/>
      <c r="V235" s="100"/>
      <c r="W235" s="100"/>
      <c r="X235" s="100"/>
      <c r="Y235" s="100"/>
      <c r="Z235" s="100"/>
      <c r="AA235" s="100"/>
      <c r="AB235" s="47"/>
      <c r="AC235" s="100"/>
      <c r="AD235" s="100"/>
      <c r="AE235" s="100"/>
      <c r="AF235" s="71"/>
      <c r="AG235" s="71"/>
    </row>
    <row r="236" spans="1:33" ht="14.25" customHeight="1" x14ac:dyDescent="0.3">
      <c r="A236" s="100" t="s">
        <v>23</v>
      </c>
      <c r="B236" s="101" t="s">
        <v>404</v>
      </c>
      <c r="C236" s="47">
        <v>2327</v>
      </c>
      <c r="D236" s="100"/>
      <c r="E236" s="47">
        <v>1</v>
      </c>
      <c r="F236" s="100"/>
      <c r="G236" s="100"/>
      <c r="H236" s="100" t="s">
        <v>283</v>
      </c>
      <c r="I236" s="100" t="s">
        <v>293</v>
      </c>
      <c r="J236" s="100"/>
      <c r="K236" s="47">
        <v>0</v>
      </c>
      <c r="L236" s="102">
        <v>39170</v>
      </c>
      <c r="M236" s="100">
        <v>35.014087480216972</v>
      </c>
      <c r="N236" s="100"/>
      <c r="O236" s="100"/>
      <c r="P236" s="100"/>
      <c r="Q236" s="100" t="s">
        <v>416</v>
      </c>
      <c r="R236" s="103" t="s">
        <v>417</v>
      </c>
      <c r="S236" s="100"/>
      <c r="T236" s="100"/>
      <c r="U236" s="100"/>
      <c r="V236" s="100"/>
      <c r="W236" s="100"/>
      <c r="X236" s="100"/>
      <c r="Y236" s="100"/>
      <c r="Z236" s="100"/>
      <c r="AA236" s="100"/>
      <c r="AB236" s="47"/>
      <c r="AC236" s="100"/>
      <c r="AD236" s="100"/>
      <c r="AE236" s="100"/>
      <c r="AF236" s="71"/>
      <c r="AG236" s="71"/>
    </row>
    <row r="237" spans="1:33" ht="14.25" customHeight="1" x14ac:dyDescent="0.3">
      <c r="A237" s="100" t="s">
        <v>23</v>
      </c>
      <c r="B237" s="101" t="s">
        <v>404</v>
      </c>
      <c r="C237" s="47">
        <v>2328</v>
      </c>
      <c r="D237" s="100"/>
      <c r="E237" s="47">
        <v>1</v>
      </c>
      <c r="F237" s="100"/>
      <c r="G237" s="100"/>
      <c r="H237" s="100" t="s">
        <v>149</v>
      </c>
      <c r="I237" s="100" t="s">
        <v>228</v>
      </c>
      <c r="J237" s="100"/>
      <c r="K237" s="47">
        <v>0</v>
      </c>
      <c r="L237" s="102">
        <v>39170</v>
      </c>
      <c r="M237" s="100">
        <v>58.569019057817485</v>
      </c>
      <c r="N237" s="100"/>
      <c r="O237" s="100"/>
      <c r="P237" s="100"/>
      <c r="Q237" s="100" t="s">
        <v>418</v>
      </c>
      <c r="R237" s="103"/>
      <c r="S237" s="100"/>
      <c r="T237" s="100"/>
      <c r="U237" s="100"/>
      <c r="V237" s="100"/>
      <c r="W237" s="100"/>
      <c r="X237" s="100"/>
      <c r="Y237" s="100"/>
      <c r="Z237" s="100"/>
      <c r="AA237" s="100"/>
      <c r="AB237" s="47"/>
      <c r="AC237" s="100"/>
      <c r="AD237" s="100"/>
      <c r="AE237" s="100"/>
      <c r="AF237" s="71"/>
      <c r="AG237" s="71"/>
    </row>
    <row r="238" spans="1:33" ht="14.25" customHeight="1" x14ac:dyDescent="0.3">
      <c r="A238" s="100" t="s">
        <v>23</v>
      </c>
      <c r="B238" s="101" t="s">
        <v>404</v>
      </c>
      <c r="C238" s="47">
        <v>2329</v>
      </c>
      <c r="D238" s="100"/>
      <c r="E238" s="47">
        <v>1</v>
      </c>
      <c r="F238" s="100"/>
      <c r="G238" s="100"/>
      <c r="H238" s="100" t="s">
        <v>128</v>
      </c>
      <c r="I238" s="100" t="s">
        <v>129</v>
      </c>
      <c r="J238" s="100" t="s">
        <v>130</v>
      </c>
      <c r="K238" s="47">
        <v>0</v>
      </c>
      <c r="L238" s="102">
        <v>39170</v>
      </c>
      <c r="M238" s="100">
        <v>12.414085561167836</v>
      </c>
      <c r="N238" s="100"/>
      <c r="O238" s="100"/>
      <c r="P238" s="100"/>
      <c r="Q238" s="100" t="s">
        <v>419</v>
      </c>
      <c r="R238" s="103"/>
      <c r="S238" s="100"/>
      <c r="T238" s="100"/>
      <c r="U238" s="100"/>
      <c r="V238" s="100"/>
      <c r="W238" s="100"/>
      <c r="X238" s="100"/>
      <c r="Y238" s="100"/>
      <c r="Z238" s="100"/>
      <c r="AA238" s="100"/>
      <c r="AB238" s="47"/>
      <c r="AC238" s="100"/>
      <c r="AD238" s="100"/>
      <c r="AE238" s="100"/>
      <c r="AF238" s="71"/>
      <c r="AG238" s="71"/>
    </row>
    <row r="239" spans="1:33" ht="14.25" customHeight="1" x14ac:dyDescent="0.3">
      <c r="A239" s="100" t="s">
        <v>23</v>
      </c>
      <c r="B239" s="101" t="s">
        <v>404</v>
      </c>
      <c r="C239" s="47">
        <v>2330</v>
      </c>
      <c r="D239" s="100"/>
      <c r="E239" s="47">
        <v>1</v>
      </c>
      <c r="F239" s="100"/>
      <c r="G239" s="100"/>
      <c r="H239" s="100" t="s">
        <v>39</v>
      </c>
      <c r="I239" s="100" t="s">
        <v>420</v>
      </c>
      <c r="J239" s="100" t="s">
        <v>421</v>
      </c>
      <c r="K239" s="47">
        <v>0</v>
      </c>
      <c r="L239" s="102">
        <v>39170</v>
      </c>
      <c r="M239" s="100">
        <v>13.528170162811104</v>
      </c>
      <c r="N239" s="100"/>
      <c r="O239" s="100"/>
      <c r="P239" s="100"/>
      <c r="Q239" s="100" t="s">
        <v>422</v>
      </c>
      <c r="R239" s="103" t="s">
        <v>423</v>
      </c>
      <c r="S239" s="100"/>
      <c r="T239" s="100"/>
      <c r="U239" s="100"/>
      <c r="V239" s="100"/>
      <c r="W239" s="100"/>
      <c r="X239" s="100"/>
      <c r="Y239" s="100"/>
      <c r="Z239" s="100"/>
      <c r="AA239" s="100"/>
      <c r="AB239" s="47"/>
      <c r="AC239" s="100"/>
      <c r="AD239" s="100"/>
      <c r="AE239" s="100"/>
      <c r="AF239" s="71"/>
      <c r="AG239" s="71"/>
    </row>
    <row r="240" spans="1:33" ht="14.25" customHeight="1" x14ac:dyDescent="0.3">
      <c r="A240" s="100" t="s">
        <v>23</v>
      </c>
      <c r="B240" s="101" t="s">
        <v>404</v>
      </c>
      <c r="C240" s="47">
        <v>2331</v>
      </c>
      <c r="D240" s="100"/>
      <c r="E240" s="47">
        <v>1</v>
      </c>
      <c r="F240" s="100"/>
      <c r="G240" s="100"/>
      <c r="H240" s="100" t="s">
        <v>283</v>
      </c>
      <c r="I240" s="100" t="s">
        <v>293</v>
      </c>
      <c r="J240" s="100"/>
      <c r="K240" s="47">
        <v>0</v>
      </c>
      <c r="L240" s="102">
        <v>39170</v>
      </c>
      <c r="M240" s="100">
        <v>22.281692032865347</v>
      </c>
      <c r="N240" s="100"/>
      <c r="O240" s="100"/>
      <c r="P240" s="100"/>
      <c r="Q240" s="100" t="s">
        <v>424</v>
      </c>
      <c r="R240" s="103" t="s">
        <v>425</v>
      </c>
      <c r="S240" s="100"/>
      <c r="T240" s="100"/>
      <c r="U240" s="100"/>
      <c r="V240" s="100"/>
      <c r="W240" s="100"/>
      <c r="X240" s="100"/>
      <c r="Y240" s="100"/>
      <c r="Z240" s="100"/>
      <c r="AA240" s="100"/>
      <c r="AB240" s="47"/>
      <c r="AC240" s="100"/>
      <c r="AD240" s="100"/>
      <c r="AE240" s="100"/>
      <c r="AF240" s="71"/>
      <c r="AG240" s="71"/>
    </row>
    <row r="241" spans="1:33" ht="14.25" customHeight="1" x14ac:dyDescent="0.3">
      <c r="A241" s="100" t="s">
        <v>23</v>
      </c>
      <c r="B241" s="101" t="s">
        <v>404</v>
      </c>
      <c r="C241" s="47">
        <v>2332</v>
      </c>
      <c r="D241" s="100"/>
      <c r="E241" s="47">
        <v>1</v>
      </c>
      <c r="F241" s="100"/>
      <c r="G241" s="100"/>
      <c r="H241" s="100" t="s">
        <v>39</v>
      </c>
      <c r="I241" s="100" t="s">
        <v>426</v>
      </c>
      <c r="J241" s="100" t="s">
        <v>427</v>
      </c>
      <c r="K241" s="47">
        <v>0</v>
      </c>
      <c r="L241" s="102">
        <v>39170</v>
      </c>
      <c r="M241" s="100">
        <v>11.300000959524569</v>
      </c>
      <c r="N241" s="100"/>
      <c r="O241" s="100"/>
      <c r="P241" s="100"/>
      <c r="Q241" s="100" t="s">
        <v>428</v>
      </c>
      <c r="R241" s="103" t="s">
        <v>429</v>
      </c>
      <c r="S241" s="100"/>
      <c r="T241" s="100"/>
      <c r="U241" s="100"/>
      <c r="V241" s="100"/>
      <c r="W241" s="100"/>
      <c r="X241" s="100"/>
      <c r="Y241" s="100"/>
      <c r="Z241" s="100"/>
      <c r="AA241" s="100"/>
      <c r="AB241" s="47"/>
      <c r="AC241" s="100"/>
      <c r="AD241" s="100"/>
      <c r="AE241" s="100"/>
      <c r="AF241" s="71"/>
      <c r="AG241" s="71"/>
    </row>
    <row r="242" spans="1:33" ht="14.25" customHeight="1" x14ac:dyDescent="0.3">
      <c r="A242" s="100" t="s">
        <v>23</v>
      </c>
      <c r="B242" s="101" t="s">
        <v>404</v>
      </c>
      <c r="C242" s="47">
        <v>2333</v>
      </c>
      <c r="D242" s="100"/>
      <c r="E242" s="47">
        <v>1</v>
      </c>
      <c r="F242" s="100"/>
      <c r="G242" s="100"/>
      <c r="H242" s="100" t="s">
        <v>149</v>
      </c>
      <c r="I242" s="100" t="s">
        <v>430</v>
      </c>
      <c r="J242" s="100" t="s">
        <v>64</v>
      </c>
      <c r="K242" s="47">
        <v>0</v>
      </c>
      <c r="L242" s="102">
        <v>39170</v>
      </c>
      <c r="M242" s="100">
        <v>11.140846016432674</v>
      </c>
      <c r="N242" s="100"/>
      <c r="O242" s="100"/>
      <c r="P242" s="100"/>
      <c r="Q242" s="100" t="s">
        <v>431</v>
      </c>
      <c r="R242" s="103"/>
      <c r="S242" s="100"/>
      <c r="T242" s="100"/>
      <c r="U242" s="100"/>
      <c r="V242" s="100"/>
      <c r="W242" s="100"/>
      <c r="X242" s="100"/>
      <c r="Y242" s="100"/>
      <c r="Z242" s="100"/>
      <c r="AA242" s="100"/>
      <c r="AB242" s="47"/>
      <c r="AC242" s="100"/>
      <c r="AD242" s="100"/>
      <c r="AE242" s="100"/>
      <c r="AF242" s="71"/>
      <c r="AG242" s="71"/>
    </row>
    <row r="243" spans="1:33" ht="14.25" customHeight="1" x14ac:dyDescent="0.3">
      <c r="A243" s="100" t="s">
        <v>23</v>
      </c>
      <c r="B243" s="101" t="s">
        <v>404</v>
      </c>
      <c r="C243" s="47">
        <v>2334</v>
      </c>
      <c r="D243" s="100"/>
      <c r="E243" s="47">
        <v>1</v>
      </c>
      <c r="F243" s="100"/>
      <c r="G243" s="100"/>
      <c r="H243" s="100" t="s">
        <v>234</v>
      </c>
      <c r="I243" s="100" t="s">
        <v>432</v>
      </c>
      <c r="J243" s="100" t="s">
        <v>433</v>
      </c>
      <c r="K243" s="47">
        <v>0</v>
      </c>
      <c r="L243" s="102">
        <v>39170</v>
      </c>
      <c r="M243" s="100">
        <v>18.621128341751756</v>
      </c>
      <c r="N243" s="100"/>
      <c r="O243" s="100"/>
      <c r="P243" s="100"/>
      <c r="Q243" s="100" t="s">
        <v>434</v>
      </c>
      <c r="R243" s="103"/>
      <c r="S243" s="100"/>
      <c r="T243" s="100"/>
      <c r="U243" s="100"/>
      <c r="V243" s="100"/>
      <c r="W243" s="100"/>
      <c r="X243" s="100"/>
      <c r="Y243" s="100"/>
      <c r="Z243" s="100"/>
      <c r="AA243" s="100"/>
      <c r="AB243" s="47"/>
      <c r="AC243" s="100"/>
      <c r="AD243" s="100"/>
      <c r="AE243" s="100"/>
      <c r="AF243" s="71"/>
      <c r="AG243" s="71"/>
    </row>
    <row r="244" spans="1:33" ht="14.25" customHeight="1" x14ac:dyDescent="0.3">
      <c r="A244" s="100" t="s">
        <v>23</v>
      </c>
      <c r="B244" s="101" t="s">
        <v>404</v>
      </c>
      <c r="C244" s="47">
        <v>2335</v>
      </c>
      <c r="D244" s="100"/>
      <c r="E244" s="47">
        <v>1</v>
      </c>
      <c r="F244" s="100"/>
      <c r="G244" s="100"/>
      <c r="H244" s="100" t="s">
        <v>149</v>
      </c>
      <c r="I244" s="100" t="s">
        <v>430</v>
      </c>
      <c r="J244" s="100" t="s">
        <v>435</v>
      </c>
      <c r="K244" s="47">
        <v>0</v>
      </c>
      <c r="L244" s="102">
        <v>39170</v>
      </c>
      <c r="M244" s="100">
        <v>10.026761414789407</v>
      </c>
      <c r="N244" s="100"/>
      <c r="O244" s="100"/>
      <c r="P244" s="100"/>
      <c r="Q244" s="100" t="s">
        <v>157</v>
      </c>
      <c r="R244" s="103" t="s">
        <v>436</v>
      </c>
      <c r="S244" s="100"/>
      <c r="T244" s="100"/>
      <c r="U244" s="100"/>
      <c r="V244" s="100"/>
      <c r="W244" s="100"/>
      <c r="X244" s="100"/>
      <c r="Y244" s="100"/>
      <c r="Z244" s="100"/>
      <c r="AA244" s="100"/>
      <c r="AB244" s="47"/>
      <c r="AC244" s="100"/>
      <c r="AD244" s="100"/>
      <c r="AE244" s="100"/>
      <c r="AF244" s="71"/>
      <c r="AG244" s="71"/>
    </row>
    <row r="245" spans="1:33" s="187" customFormat="1" ht="14.25" customHeight="1" x14ac:dyDescent="0.3">
      <c r="A245" s="181" t="s">
        <v>23</v>
      </c>
      <c r="B245" s="182" t="s">
        <v>404</v>
      </c>
      <c r="C245" s="183">
        <v>2336</v>
      </c>
      <c r="D245" s="181"/>
      <c r="E245" s="183">
        <v>1</v>
      </c>
      <c r="F245" s="181"/>
      <c r="G245" s="181"/>
      <c r="H245" s="181"/>
      <c r="I245" s="181"/>
      <c r="J245" s="181"/>
      <c r="K245" s="183">
        <v>0</v>
      </c>
      <c r="L245" s="184">
        <v>39170</v>
      </c>
      <c r="M245" s="181">
        <v>17.347888797016591</v>
      </c>
      <c r="N245" s="181"/>
      <c r="O245" s="181"/>
      <c r="P245" s="181"/>
      <c r="Q245" s="181" t="s">
        <v>117</v>
      </c>
      <c r="R245" s="185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3"/>
      <c r="AC245" s="181"/>
      <c r="AD245" s="181"/>
      <c r="AE245" s="181"/>
      <c r="AF245" s="186"/>
      <c r="AG245" s="186"/>
    </row>
    <row r="246" spans="1:33" ht="14.25" customHeight="1" x14ac:dyDescent="0.3">
      <c r="A246" s="100" t="s">
        <v>23</v>
      </c>
      <c r="B246" s="101" t="s">
        <v>404</v>
      </c>
      <c r="C246" s="47">
        <v>2337</v>
      </c>
      <c r="D246" s="100"/>
      <c r="E246" s="47">
        <v>1</v>
      </c>
      <c r="F246" s="100"/>
      <c r="G246" s="100"/>
      <c r="H246" s="100" t="s">
        <v>437</v>
      </c>
      <c r="I246" s="100" t="s">
        <v>438</v>
      </c>
      <c r="J246" s="100" t="s">
        <v>439</v>
      </c>
      <c r="K246" s="47">
        <v>0</v>
      </c>
      <c r="L246" s="102">
        <v>39170</v>
      </c>
      <c r="M246" s="100">
        <v>16.71126902464901</v>
      </c>
      <c r="N246" s="100"/>
      <c r="O246" s="100"/>
      <c r="P246" s="100"/>
      <c r="Q246" s="100" t="s">
        <v>440</v>
      </c>
      <c r="R246" s="103" t="s">
        <v>441</v>
      </c>
      <c r="S246" s="100"/>
      <c r="T246" s="100"/>
      <c r="U246" s="100"/>
      <c r="V246" s="100"/>
      <c r="W246" s="100"/>
      <c r="X246" s="100"/>
      <c r="Y246" s="100"/>
      <c r="Z246" s="100"/>
      <c r="AA246" s="100"/>
      <c r="AB246" s="47"/>
      <c r="AC246" s="100"/>
      <c r="AD246" s="100"/>
      <c r="AE246" s="100"/>
      <c r="AF246" s="71"/>
      <c r="AG246" s="71"/>
    </row>
    <row r="247" spans="1:33" ht="14.25" customHeight="1" x14ac:dyDescent="0.3">
      <c r="A247" s="100" t="s">
        <v>23</v>
      </c>
      <c r="B247" s="101" t="s">
        <v>404</v>
      </c>
      <c r="C247" s="47">
        <v>2338</v>
      </c>
      <c r="D247" s="100"/>
      <c r="E247" s="47">
        <v>1</v>
      </c>
      <c r="F247" s="100"/>
      <c r="G247" s="100"/>
      <c r="H247" s="100" t="s">
        <v>442</v>
      </c>
      <c r="I247" s="100" t="s">
        <v>443</v>
      </c>
      <c r="J247" s="100" t="s">
        <v>444</v>
      </c>
      <c r="K247" s="47">
        <v>0</v>
      </c>
      <c r="L247" s="102">
        <v>39170</v>
      </c>
      <c r="M247" s="100">
        <v>10.822536130248883</v>
      </c>
      <c r="N247" s="100"/>
      <c r="O247" s="100"/>
      <c r="P247" s="100"/>
      <c r="Q247" s="100" t="s">
        <v>445</v>
      </c>
      <c r="R247" s="103" t="s">
        <v>446</v>
      </c>
      <c r="S247" s="100"/>
      <c r="T247" s="100"/>
      <c r="U247" s="100"/>
      <c r="V247" s="100"/>
      <c r="W247" s="100"/>
      <c r="X247" s="100"/>
      <c r="Y247" s="100"/>
      <c r="Z247" s="100"/>
      <c r="AA247" s="100"/>
      <c r="AB247" s="47"/>
      <c r="AC247" s="100"/>
      <c r="AD247" s="100"/>
      <c r="AE247" s="100"/>
      <c r="AF247" s="71"/>
      <c r="AG247" s="71"/>
    </row>
    <row r="248" spans="1:33" ht="14.25" customHeight="1" x14ac:dyDescent="0.3">
      <c r="A248" s="100" t="s">
        <v>23</v>
      </c>
      <c r="B248" s="101" t="s">
        <v>404</v>
      </c>
      <c r="C248" s="47">
        <v>2339</v>
      </c>
      <c r="D248" s="100"/>
      <c r="E248" s="47">
        <v>1</v>
      </c>
      <c r="F248" s="100"/>
      <c r="G248" s="100"/>
      <c r="H248" s="100" t="s">
        <v>25</v>
      </c>
      <c r="I248" s="100" t="s">
        <v>55</v>
      </c>
      <c r="J248" s="100" t="s">
        <v>56</v>
      </c>
      <c r="K248" s="47">
        <v>0</v>
      </c>
      <c r="L248" s="102">
        <v>39170</v>
      </c>
      <c r="M248" s="100">
        <v>16.870423967740905</v>
      </c>
      <c r="N248" s="100"/>
      <c r="O248" s="100"/>
      <c r="P248" s="100"/>
      <c r="Q248" s="100" t="s">
        <v>447</v>
      </c>
      <c r="R248" s="103"/>
      <c r="S248" s="100"/>
      <c r="T248" s="100"/>
      <c r="U248" s="100"/>
      <c r="V248" s="100"/>
      <c r="W248" s="100"/>
      <c r="X248" s="100"/>
      <c r="Y248" s="100"/>
      <c r="Z248" s="100"/>
      <c r="AA248" s="100"/>
      <c r="AB248" s="47"/>
      <c r="AC248" s="100"/>
      <c r="AD248" s="100"/>
      <c r="AE248" s="100"/>
      <c r="AF248" s="71"/>
      <c r="AG248" s="71"/>
    </row>
    <row r="249" spans="1:33" ht="14.25" customHeight="1" x14ac:dyDescent="0.3">
      <c r="A249" s="100" t="s">
        <v>23</v>
      </c>
      <c r="B249" s="101" t="s">
        <v>404</v>
      </c>
      <c r="C249" s="47">
        <v>2340</v>
      </c>
      <c r="D249" s="100"/>
      <c r="E249" s="47">
        <v>1</v>
      </c>
      <c r="F249" s="100"/>
      <c r="G249" s="100"/>
      <c r="H249" s="100" t="s">
        <v>196</v>
      </c>
      <c r="I249" s="100"/>
      <c r="J249" s="100"/>
      <c r="K249" s="47">
        <v>0</v>
      </c>
      <c r="L249" s="102">
        <v>39170</v>
      </c>
      <c r="M249" s="100">
        <v>37.878876455871094</v>
      </c>
      <c r="N249" s="100"/>
      <c r="O249" s="100"/>
      <c r="P249" s="100"/>
      <c r="Q249" s="100" t="s">
        <v>448</v>
      </c>
      <c r="R249" s="103"/>
      <c r="S249" s="100"/>
      <c r="T249" s="100"/>
      <c r="U249" s="100"/>
      <c r="V249" s="100"/>
      <c r="W249" s="100"/>
      <c r="X249" s="100"/>
      <c r="Y249" s="100"/>
      <c r="Z249" s="100"/>
      <c r="AA249" s="100"/>
      <c r="AB249" s="47"/>
      <c r="AC249" s="100"/>
      <c r="AD249" s="100"/>
      <c r="AE249" s="100"/>
      <c r="AF249" s="71"/>
      <c r="AG249" s="71"/>
    </row>
    <row r="250" spans="1:33" ht="14.25" customHeight="1" x14ac:dyDescent="0.3">
      <c r="A250" s="100" t="s">
        <v>23</v>
      </c>
      <c r="B250" s="101" t="s">
        <v>404</v>
      </c>
      <c r="C250" s="47">
        <v>2341</v>
      </c>
      <c r="D250" s="100"/>
      <c r="E250" s="47">
        <v>1</v>
      </c>
      <c r="F250" s="100"/>
      <c r="G250" s="100"/>
      <c r="H250" s="100" t="s">
        <v>149</v>
      </c>
      <c r="I250" s="100" t="s">
        <v>222</v>
      </c>
      <c r="J250" s="100" t="s">
        <v>223</v>
      </c>
      <c r="K250" s="47">
        <v>0</v>
      </c>
      <c r="L250" s="102">
        <v>39170</v>
      </c>
      <c r="M250" s="100">
        <v>14.00563499208679</v>
      </c>
      <c r="N250" s="100"/>
      <c r="O250" s="100"/>
      <c r="P250" s="100"/>
      <c r="Q250" s="100" t="s">
        <v>157</v>
      </c>
      <c r="R250" s="103" t="s">
        <v>449</v>
      </c>
      <c r="S250" s="100"/>
      <c r="T250" s="100"/>
      <c r="U250" s="100"/>
      <c r="V250" s="100"/>
      <c r="W250" s="100"/>
      <c r="X250" s="100"/>
      <c r="Y250" s="100"/>
      <c r="Z250" s="100"/>
      <c r="AA250" s="100"/>
      <c r="AB250" s="47"/>
      <c r="AC250" s="100"/>
      <c r="AD250" s="100"/>
      <c r="AE250" s="100"/>
      <c r="AF250" s="71"/>
      <c r="AG250" s="71"/>
    </row>
    <row r="251" spans="1:33" ht="14.25" customHeight="1" x14ac:dyDescent="0.3">
      <c r="A251" s="100" t="s">
        <v>23</v>
      </c>
      <c r="B251" s="101" t="s">
        <v>404</v>
      </c>
      <c r="C251" s="47">
        <v>2342</v>
      </c>
      <c r="D251" s="100"/>
      <c r="E251" s="47">
        <v>1</v>
      </c>
      <c r="F251" s="100"/>
      <c r="G251" s="100"/>
      <c r="H251" s="100" t="s">
        <v>35</v>
      </c>
      <c r="I251" s="100" t="s">
        <v>144</v>
      </c>
      <c r="J251" s="100" t="s">
        <v>145</v>
      </c>
      <c r="K251" s="47">
        <v>0</v>
      </c>
      <c r="L251" s="102">
        <v>39170</v>
      </c>
      <c r="M251" s="100">
        <v>10.822536130248883</v>
      </c>
      <c r="N251" s="100"/>
      <c r="O251" s="100"/>
      <c r="P251" s="100"/>
      <c r="Q251" s="100" t="s">
        <v>347</v>
      </c>
      <c r="R251" s="103"/>
      <c r="S251" s="100"/>
      <c r="T251" s="100"/>
      <c r="U251" s="100"/>
      <c r="V251" s="100"/>
      <c r="W251" s="100"/>
      <c r="X251" s="100"/>
      <c r="Y251" s="100"/>
      <c r="Z251" s="100"/>
      <c r="AA251" s="100"/>
      <c r="AB251" s="47"/>
      <c r="AC251" s="100"/>
      <c r="AD251" s="100"/>
      <c r="AE251" s="100"/>
      <c r="AF251" s="71"/>
      <c r="AG251" s="71"/>
    </row>
    <row r="252" spans="1:33" ht="14.25" customHeight="1" x14ac:dyDescent="0.3">
      <c r="A252" s="100" t="s">
        <v>23</v>
      </c>
      <c r="B252" s="101" t="s">
        <v>404</v>
      </c>
      <c r="C252" s="47">
        <v>2343</v>
      </c>
      <c r="D252" s="100"/>
      <c r="E252" s="47">
        <v>1</v>
      </c>
      <c r="F252" s="100"/>
      <c r="G252" s="100"/>
      <c r="H252" s="100" t="s">
        <v>51</v>
      </c>
      <c r="I252" s="100" t="s">
        <v>264</v>
      </c>
      <c r="J252" s="100" t="s">
        <v>450</v>
      </c>
      <c r="K252" s="47">
        <v>0</v>
      </c>
      <c r="L252" s="102">
        <v>39170</v>
      </c>
      <c r="M252" s="100">
        <v>17.507043740108486</v>
      </c>
      <c r="N252" s="100"/>
      <c r="O252" s="100"/>
      <c r="P252" s="100"/>
      <c r="Q252" s="100" t="s">
        <v>451</v>
      </c>
      <c r="R252" s="103" t="s">
        <v>452</v>
      </c>
      <c r="S252" s="100"/>
      <c r="T252" s="100"/>
      <c r="U252" s="100"/>
      <c r="V252" s="100"/>
      <c r="W252" s="100"/>
      <c r="X252" s="100"/>
      <c r="Y252" s="100"/>
      <c r="Z252" s="100"/>
      <c r="AA252" s="100"/>
      <c r="AB252" s="47"/>
      <c r="AC252" s="100"/>
      <c r="AD252" s="100"/>
      <c r="AE252" s="100"/>
      <c r="AF252" s="71"/>
      <c r="AG252" s="71"/>
    </row>
    <row r="253" spans="1:33" ht="14.25" customHeight="1" x14ac:dyDescent="0.3">
      <c r="A253" s="100" t="s">
        <v>23</v>
      </c>
      <c r="B253" s="101" t="s">
        <v>404</v>
      </c>
      <c r="C253" s="47">
        <v>2344</v>
      </c>
      <c r="D253" s="100"/>
      <c r="E253" s="47">
        <v>1</v>
      </c>
      <c r="F253" s="100"/>
      <c r="G253" s="100"/>
      <c r="H253" s="100" t="s">
        <v>39</v>
      </c>
      <c r="I253" s="100" t="s">
        <v>453</v>
      </c>
      <c r="J253" s="100" t="s">
        <v>454</v>
      </c>
      <c r="K253" s="47">
        <v>0</v>
      </c>
      <c r="L253" s="102">
        <v>39170</v>
      </c>
      <c r="M253" s="100">
        <v>16.552114081557114</v>
      </c>
      <c r="N253" s="100"/>
      <c r="O253" s="100"/>
      <c r="P253" s="100"/>
      <c r="Q253" s="100" t="s">
        <v>455</v>
      </c>
      <c r="R253" s="103" t="s">
        <v>456</v>
      </c>
      <c r="S253" s="100"/>
      <c r="T253" s="100"/>
      <c r="U253" s="100"/>
      <c r="V253" s="100"/>
      <c r="W253" s="100"/>
      <c r="X253" s="100"/>
      <c r="Y253" s="100"/>
      <c r="Z253" s="100"/>
      <c r="AA253" s="100"/>
      <c r="AB253" s="47"/>
      <c r="AC253" s="100"/>
      <c r="AD253" s="100"/>
      <c r="AE253" s="100"/>
      <c r="AF253" s="71"/>
      <c r="AG253" s="71"/>
    </row>
    <row r="254" spans="1:33" ht="14.25" customHeight="1" x14ac:dyDescent="0.3">
      <c r="A254" s="100" t="s">
        <v>23</v>
      </c>
      <c r="B254" s="101" t="s">
        <v>404</v>
      </c>
      <c r="C254" s="47">
        <v>2345</v>
      </c>
      <c r="D254" s="100"/>
      <c r="E254" s="47">
        <v>1</v>
      </c>
      <c r="F254" s="100"/>
      <c r="G254" s="100"/>
      <c r="H254" s="100" t="s">
        <v>457</v>
      </c>
      <c r="I254" s="100" t="s">
        <v>458</v>
      </c>
      <c r="J254" s="100" t="s">
        <v>459</v>
      </c>
      <c r="K254" s="47">
        <v>0</v>
      </c>
      <c r="L254" s="102">
        <v>39170</v>
      </c>
      <c r="M254" s="100">
        <v>14.323944878270581</v>
      </c>
      <c r="N254" s="100"/>
      <c r="O254" s="100"/>
      <c r="P254" s="100"/>
      <c r="Q254" s="100" t="s">
        <v>460</v>
      </c>
      <c r="R254" s="103"/>
      <c r="S254" s="100"/>
      <c r="T254" s="100"/>
      <c r="U254" s="100"/>
      <c r="V254" s="100"/>
      <c r="W254" s="100"/>
      <c r="X254" s="100"/>
      <c r="Y254" s="100"/>
      <c r="Z254" s="100"/>
      <c r="AA254" s="100"/>
      <c r="AB254" s="47"/>
      <c r="AC254" s="100"/>
      <c r="AD254" s="100"/>
      <c r="AE254" s="100"/>
      <c r="AF254" s="71"/>
      <c r="AG254" s="71"/>
    </row>
    <row r="255" spans="1:33" ht="14.25" customHeight="1" x14ac:dyDescent="0.3">
      <c r="A255" s="100" t="s">
        <v>23</v>
      </c>
      <c r="B255" s="101" t="s">
        <v>404</v>
      </c>
      <c r="C255" s="47">
        <v>2346</v>
      </c>
      <c r="D255" s="100"/>
      <c r="E255" s="47">
        <v>1</v>
      </c>
      <c r="F255" s="100"/>
      <c r="G255" s="100"/>
      <c r="H255" s="100" t="s">
        <v>25</v>
      </c>
      <c r="I255" s="100" t="s">
        <v>26</v>
      </c>
      <c r="J255" s="100" t="s">
        <v>27</v>
      </c>
      <c r="K255" s="47">
        <v>0</v>
      </c>
      <c r="L255" s="102">
        <v>39170</v>
      </c>
      <c r="M255" s="100">
        <v>11.618310845708359</v>
      </c>
      <c r="N255" s="100"/>
      <c r="O255" s="100"/>
      <c r="P255" s="100"/>
      <c r="Q255" s="100" t="s">
        <v>461</v>
      </c>
      <c r="R255" s="103"/>
      <c r="S255" s="100"/>
      <c r="T255" s="100"/>
      <c r="U255" s="100"/>
      <c r="V255" s="100"/>
      <c r="W255" s="100"/>
      <c r="X255" s="100"/>
      <c r="Y255" s="100"/>
      <c r="Z255" s="100"/>
      <c r="AA255" s="100"/>
      <c r="AB255" s="47"/>
      <c r="AC255" s="100"/>
      <c r="AD255" s="100"/>
      <c r="AE255" s="100"/>
      <c r="AF255" s="71"/>
      <c r="AG255" s="71"/>
    </row>
    <row r="256" spans="1:33" ht="18.75" customHeight="1" x14ac:dyDescent="0.3">
      <c r="A256" s="100" t="s">
        <v>23</v>
      </c>
      <c r="B256" s="101" t="s">
        <v>404</v>
      </c>
      <c r="C256" s="47">
        <v>2347</v>
      </c>
      <c r="D256" s="100"/>
      <c r="E256" s="47">
        <v>1</v>
      </c>
      <c r="F256" s="100"/>
      <c r="G256" s="100"/>
      <c r="H256" s="100" t="s">
        <v>128</v>
      </c>
      <c r="I256" s="100" t="s">
        <v>385</v>
      </c>
      <c r="J256" s="100" t="s">
        <v>386</v>
      </c>
      <c r="K256" s="47">
        <v>0</v>
      </c>
      <c r="L256" s="102">
        <v>39170</v>
      </c>
      <c r="M256" s="100">
        <v>12.732395447351628</v>
      </c>
      <c r="N256" s="100"/>
      <c r="O256" s="100"/>
      <c r="P256" s="100"/>
      <c r="Q256" s="100" t="s">
        <v>28</v>
      </c>
      <c r="R256" s="103"/>
      <c r="S256" s="100"/>
      <c r="T256" s="100"/>
      <c r="U256" s="100"/>
      <c r="V256" s="100"/>
      <c r="W256" s="100"/>
      <c r="X256" s="100"/>
      <c r="Y256" s="100"/>
      <c r="Z256" s="100"/>
      <c r="AA256" s="100"/>
      <c r="AB256" s="47"/>
      <c r="AC256" s="100"/>
      <c r="AD256" s="100"/>
      <c r="AE256" s="100"/>
      <c r="AF256" s="71"/>
      <c r="AG256" s="71"/>
    </row>
    <row r="257" spans="1:33" ht="14.25" customHeight="1" x14ac:dyDescent="0.3">
      <c r="A257" s="100" t="s">
        <v>23</v>
      </c>
      <c r="B257" s="101" t="s">
        <v>404</v>
      </c>
      <c r="C257" s="47">
        <v>2348</v>
      </c>
      <c r="D257" s="100"/>
      <c r="E257" s="47">
        <v>1</v>
      </c>
      <c r="F257" s="100"/>
      <c r="G257" s="100"/>
      <c r="H257" s="100" t="s">
        <v>77</v>
      </c>
      <c r="I257" s="100" t="s">
        <v>78</v>
      </c>
      <c r="J257" s="100" t="s">
        <v>79</v>
      </c>
      <c r="K257" s="47">
        <v>0</v>
      </c>
      <c r="L257" s="102">
        <v>39170</v>
      </c>
      <c r="M257" s="100">
        <v>14.960564650638162</v>
      </c>
      <c r="N257" s="100"/>
      <c r="O257" s="100"/>
      <c r="P257" s="100"/>
      <c r="Q257" s="100" t="s">
        <v>462</v>
      </c>
      <c r="R257" s="103" t="s">
        <v>463</v>
      </c>
      <c r="S257" s="100"/>
      <c r="T257" s="100"/>
      <c r="U257" s="100"/>
      <c r="V257" s="100"/>
      <c r="W257" s="100"/>
      <c r="X257" s="100"/>
      <c r="Y257" s="100"/>
      <c r="Z257" s="100"/>
      <c r="AA257" s="100"/>
      <c r="AB257" s="47"/>
      <c r="AC257" s="100"/>
      <c r="AD257" s="100"/>
      <c r="AE257" s="100"/>
      <c r="AF257" s="71"/>
      <c r="AG257" s="71"/>
    </row>
    <row r="258" spans="1:33" ht="14.25" customHeight="1" x14ac:dyDescent="0.3">
      <c r="A258" s="100" t="s">
        <v>23</v>
      </c>
      <c r="B258" s="101" t="s">
        <v>404</v>
      </c>
      <c r="C258" s="47">
        <v>2349</v>
      </c>
      <c r="D258" s="100"/>
      <c r="E258" s="47">
        <v>1</v>
      </c>
      <c r="F258" s="100"/>
      <c r="G258" s="100"/>
      <c r="H258" s="100" t="s">
        <v>283</v>
      </c>
      <c r="I258" s="100" t="s">
        <v>293</v>
      </c>
      <c r="J258" s="100" t="s">
        <v>464</v>
      </c>
      <c r="K258" s="47">
        <v>0</v>
      </c>
      <c r="L258" s="102">
        <v>39170</v>
      </c>
      <c r="M258" s="100">
        <v>44.563384065730695</v>
      </c>
      <c r="N258" s="100"/>
      <c r="O258" s="100"/>
      <c r="P258" s="100"/>
      <c r="Q258" s="100" t="s">
        <v>465</v>
      </c>
      <c r="R258" s="103" t="s">
        <v>466</v>
      </c>
      <c r="S258" s="100"/>
      <c r="T258" s="100"/>
      <c r="U258" s="100"/>
      <c r="V258" s="100"/>
      <c r="W258" s="100"/>
      <c r="X258" s="100"/>
      <c r="Y258" s="100"/>
      <c r="Z258" s="100"/>
      <c r="AA258" s="100"/>
      <c r="AB258" s="47"/>
      <c r="AC258" s="100"/>
      <c r="AD258" s="100"/>
      <c r="AE258" s="100"/>
      <c r="AF258" s="71"/>
      <c r="AG258" s="71"/>
    </row>
    <row r="259" spans="1:33" ht="14.25" customHeight="1" x14ac:dyDescent="0.3">
      <c r="A259" s="100" t="s">
        <v>23</v>
      </c>
      <c r="B259" s="101" t="s">
        <v>404</v>
      </c>
      <c r="C259" s="47">
        <v>2350</v>
      </c>
      <c r="D259" s="100"/>
      <c r="E259" s="47">
        <v>1</v>
      </c>
      <c r="F259" s="100"/>
      <c r="G259" s="100"/>
      <c r="H259" s="100" t="s">
        <v>467</v>
      </c>
      <c r="I259" s="100" t="s">
        <v>241</v>
      </c>
      <c r="J259" s="100" t="s">
        <v>242</v>
      </c>
      <c r="K259" s="47">
        <v>0</v>
      </c>
      <c r="L259" s="102">
        <v>39170</v>
      </c>
      <c r="M259" s="100">
        <v>13.369015219719209</v>
      </c>
      <c r="N259" s="100"/>
      <c r="O259" s="100"/>
      <c r="P259" s="100"/>
      <c r="Q259" s="100" t="s">
        <v>468</v>
      </c>
      <c r="R259" s="103" t="s">
        <v>469</v>
      </c>
      <c r="S259" s="100"/>
      <c r="T259" s="100"/>
      <c r="U259" s="100"/>
      <c r="V259" s="100"/>
      <c r="W259" s="100"/>
      <c r="X259" s="100"/>
      <c r="Y259" s="100"/>
      <c r="Z259" s="100"/>
      <c r="AA259" s="100"/>
      <c r="AB259" s="47"/>
      <c r="AC259" s="100"/>
      <c r="AD259" s="100"/>
      <c r="AE259" s="100"/>
      <c r="AF259" s="71"/>
      <c r="AG259" s="71"/>
    </row>
    <row r="260" spans="1:33" ht="14.25" customHeight="1" x14ac:dyDescent="0.3">
      <c r="A260" s="100" t="s">
        <v>23</v>
      </c>
      <c r="B260" s="101" t="s">
        <v>404</v>
      </c>
      <c r="C260" s="47">
        <v>2351</v>
      </c>
      <c r="D260" s="100"/>
      <c r="E260" s="47">
        <v>1</v>
      </c>
      <c r="F260" s="100"/>
      <c r="G260" s="100"/>
      <c r="H260" s="100" t="s">
        <v>128</v>
      </c>
      <c r="I260" s="100" t="s">
        <v>129</v>
      </c>
      <c r="J260" s="100" t="s">
        <v>130</v>
      </c>
      <c r="K260" s="47">
        <v>0</v>
      </c>
      <c r="L260" s="102">
        <v>39170</v>
      </c>
      <c r="M260" s="100">
        <v>17.82535362629228</v>
      </c>
      <c r="N260" s="100"/>
      <c r="O260" s="100"/>
      <c r="P260" s="100"/>
      <c r="Q260" s="100" t="s">
        <v>28</v>
      </c>
      <c r="R260" s="103"/>
      <c r="S260" s="100"/>
      <c r="T260" s="100"/>
      <c r="U260" s="100"/>
      <c r="V260" s="100"/>
      <c r="W260" s="100"/>
      <c r="X260" s="100"/>
      <c r="Y260" s="100"/>
      <c r="Z260" s="100"/>
      <c r="AA260" s="100"/>
      <c r="AB260" s="47"/>
      <c r="AC260" s="100"/>
      <c r="AD260" s="100"/>
      <c r="AE260" s="100"/>
      <c r="AF260" s="71"/>
      <c r="AG260" s="71"/>
    </row>
    <row r="261" spans="1:33" ht="14.25" customHeight="1" x14ac:dyDescent="0.3">
      <c r="A261" s="100" t="s">
        <v>23</v>
      </c>
      <c r="B261" s="101" t="s">
        <v>404</v>
      </c>
      <c r="C261" s="47">
        <v>2352</v>
      </c>
      <c r="D261" s="100"/>
      <c r="E261" s="47">
        <v>1</v>
      </c>
      <c r="F261" s="100"/>
      <c r="G261" s="100"/>
      <c r="H261" s="100" t="s">
        <v>470</v>
      </c>
      <c r="I261" s="100" t="s">
        <v>471</v>
      </c>
      <c r="J261" s="100" t="s">
        <v>472</v>
      </c>
      <c r="K261" s="47">
        <v>0</v>
      </c>
      <c r="L261" s="102">
        <v>39170</v>
      </c>
      <c r="M261" s="100">
        <v>11.93662073189215</v>
      </c>
      <c r="N261" s="100"/>
      <c r="O261" s="100"/>
      <c r="P261" s="100"/>
      <c r="Q261" s="100" t="s">
        <v>473</v>
      </c>
      <c r="R261" s="103" t="s">
        <v>474</v>
      </c>
      <c r="S261" s="100"/>
      <c r="T261" s="100"/>
      <c r="U261" s="100"/>
      <c r="V261" s="100"/>
      <c r="W261" s="100"/>
      <c r="X261" s="100"/>
      <c r="Y261" s="100"/>
      <c r="Z261" s="100"/>
      <c r="AA261" s="100"/>
      <c r="AB261" s="47"/>
      <c r="AC261" s="100"/>
      <c r="AD261" s="100"/>
      <c r="AE261" s="100"/>
      <c r="AF261" s="71"/>
      <c r="AG261" s="71"/>
    </row>
    <row r="262" spans="1:33" ht="14.25" customHeight="1" x14ac:dyDescent="0.3">
      <c r="A262" s="100" t="s">
        <v>23</v>
      </c>
      <c r="B262" s="101" t="s">
        <v>404</v>
      </c>
      <c r="C262" s="47">
        <v>2353</v>
      </c>
      <c r="D262" s="100"/>
      <c r="E262" s="47">
        <v>1</v>
      </c>
      <c r="F262" s="100"/>
      <c r="G262" s="100"/>
      <c r="H262" s="100" t="s">
        <v>121</v>
      </c>
      <c r="I262" s="100" t="s">
        <v>122</v>
      </c>
      <c r="J262" s="100"/>
      <c r="K262" s="47">
        <v>0</v>
      </c>
      <c r="L262" s="102">
        <v>39170</v>
      </c>
      <c r="M262" s="100">
        <v>17.188733853924695</v>
      </c>
      <c r="N262" s="100"/>
      <c r="O262" s="100"/>
      <c r="P262" s="100"/>
      <c r="Q262" s="100" t="s">
        <v>475</v>
      </c>
      <c r="R262" s="103"/>
      <c r="S262" s="100"/>
      <c r="T262" s="100"/>
      <c r="U262" s="100"/>
      <c r="V262" s="100"/>
      <c r="W262" s="100"/>
      <c r="X262" s="100"/>
      <c r="Y262" s="100"/>
      <c r="Z262" s="100"/>
      <c r="AA262" s="100"/>
      <c r="AB262" s="47"/>
      <c r="AC262" s="100"/>
      <c r="AD262" s="100"/>
      <c r="AE262" s="100"/>
      <c r="AF262" s="71"/>
      <c r="AG262" s="71"/>
    </row>
    <row r="263" spans="1:33" ht="14.25" customHeight="1" x14ac:dyDescent="0.3">
      <c r="A263" s="100" t="s">
        <v>23</v>
      </c>
      <c r="B263" s="101" t="s">
        <v>404</v>
      </c>
      <c r="C263" s="47">
        <v>2354</v>
      </c>
      <c r="D263" s="100"/>
      <c r="E263" s="47">
        <v>1</v>
      </c>
      <c r="F263" s="100"/>
      <c r="G263" s="100"/>
      <c r="H263" s="100" t="s">
        <v>128</v>
      </c>
      <c r="I263" s="100" t="s">
        <v>129</v>
      </c>
      <c r="J263" s="100" t="s">
        <v>130</v>
      </c>
      <c r="K263" s="47">
        <v>0</v>
      </c>
      <c r="L263" s="102">
        <v>39170</v>
      </c>
      <c r="M263" s="100">
        <v>12.732395447351628</v>
      </c>
      <c r="N263" s="100"/>
      <c r="O263" s="100"/>
      <c r="P263" s="100"/>
      <c r="Q263" s="100" t="s">
        <v>476</v>
      </c>
      <c r="R263" s="103"/>
      <c r="S263" s="100"/>
      <c r="T263" s="100"/>
      <c r="U263" s="100"/>
      <c r="V263" s="100"/>
      <c r="W263" s="100"/>
      <c r="X263" s="100"/>
      <c r="Y263" s="100"/>
      <c r="Z263" s="100"/>
      <c r="AA263" s="100"/>
      <c r="AB263" s="47"/>
      <c r="AC263" s="100"/>
      <c r="AD263" s="100"/>
      <c r="AE263" s="100"/>
      <c r="AF263" s="71"/>
      <c r="AG263" s="71"/>
    </row>
    <row r="264" spans="1:33" ht="14.25" customHeight="1" x14ac:dyDescent="0.3">
      <c r="A264" s="100" t="s">
        <v>23</v>
      </c>
      <c r="B264" s="101" t="s">
        <v>404</v>
      </c>
      <c r="C264" s="47">
        <v>2355</v>
      </c>
      <c r="D264" s="100"/>
      <c r="E264" s="47">
        <v>1</v>
      </c>
      <c r="F264" s="100"/>
      <c r="G264" s="100"/>
      <c r="H264" s="100" t="s">
        <v>457</v>
      </c>
      <c r="I264" s="100" t="s">
        <v>458</v>
      </c>
      <c r="J264" s="100" t="s">
        <v>459</v>
      </c>
      <c r="K264" s="47">
        <v>0</v>
      </c>
      <c r="L264" s="102">
        <v>39170</v>
      </c>
      <c r="M264" s="100">
        <v>21.963382146681557</v>
      </c>
      <c r="N264" s="100"/>
      <c r="O264" s="100"/>
      <c r="P264" s="100"/>
      <c r="Q264" s="100" t="s">
        <v>477</v>
      </c>
      <c r="R264" s="103" t="s">
        <v>478</v>
      </c>
      <c r="S264" s="100"/>
      <c r="T264" s="100"/>
      <c r="U264" s="100"/>
      <c r="V264" s="100"/>
      <c r="W264" s="100"/>
      <c r="X264" s="100"/>
      <c r="Y264" s="100"/>
      <c r="Z264" s="100"/>
      <c r="AA264" s="100"/>
      <c r="AB264" s="47"/>
      <c r="AC264" s="100"/>
      <c r="AD264" s="100"/>
      <c r="AE264" s="100"/>
      <c r="AF264" s="71"/>
      <c r="AG264" s="71"/>
    </row>
    <row r="265" spans="1:33" ht="14.25" customHeight="1" x14ac:dyDescent="0.3">
      <c r="A265" s="100" t="s">
        <v>23</v>
      </c>
      <c r="B265" s="101" t="s">
        <v>404</v>
      </c>
      <c r="C265" s="47">
        <v>2356</v>
      </c>
      <c r="D265" s="100"/>
      <c r="E265" s="47">
        <v>1</v>
      </c>
      <c r="F265" s="100"/>
      <c r="G265" s="100"/>
      <c r="H265" s="100"/>
      <c r="I265" s="100"/>
      <c r="J265" s="100"/>
      <c r="K265" s="47">
        <v>0</v>
      </c>
      <c r="L265" s="102">
        <v>39170</v>
      </c>
      <c r="M265" s="100">
        <v>16.392959138465219</v>
      </c>
      <c r="N265" s="100"/>
      <c r="O265" s="100"/>
      <c r="P265" s="100"/>
      <c r="Q265" s="100" t="s">
        <v>28</v>
      </c>
      <c r="R265" s="103"/>
      <c r="S265" s="100"/>
      <c r="T265" s="100"/>
      <c r="U265" s="100"/>
      <c r="V265" s="100"/>
      <c r="W265" s="100"/>
      <c r="X265" s="100"/>
      <c r="Y265" s="100"/>
      <c r="Z265" s="100"/>
      <c r="AA265" s="100"/>
      <c r="AB265" s="47"/>
      <c r="AC265" s="100"/>
      <c r="AD265" s="100"/>
      <c r="AE265" s="100"/>
      <c r="AF265" s="71"/>
      <c r="AG265" s="71"/>
    </row>
    <row r="266" spans="1:33" ht="14.25" customHeight="1" x14ac:dyDescent="0.3">
      <c r="A266" s="100" t="s">
        <v>23</v>
      </c>
      <c r="B266" s="101" t="s">
        <v>404</v>
      </c>
      <c r="C266" s="47">
        <v>2357</v>
      </c>
      <c r="D266" s="100"/>
      <c r="E266" s="47">
        <v>1</v>
      </c>
      <c r="F266" s="100"/>
      <c r="G266" s="100"/>
      <c r="H266" s="100" t="s">
        <v>332</v>
      </c>
      <c r="I266" s="100" t="s">
        <v>479</v>
      </c>
      <c r="J266" s="100" t="s">
        <v>301</v>
      </c>
      <c r="K266" s="47">
        <v>0</v>
      </c>
      <c r="L266" s="102">
        <v>39170</v>
      </c>
      <c r="M266" s="100">
        <v>23.236621691416719</v>
      </c>
      <c r="N266" s="100"/>
      <c r="O266" s="100"/>
      <c r="P266" s="100"/>
      <c r="Q266" s="100" t="s">
        <v>480</v>
      </c>
      <c r="R266" s="103" t="s">
        <v>481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47"/>
      <c r="AC266" s="100"/>
      <c r="AD266" s="100"/>
      <c r="AE266" s="100"/>
      <c r="AF266" s="71"/>
      <c r="AG266" s="71"/>
    </row>
    <row r="267" spans="1:33" ht="14.25" customHeight="1" x14ac:dyDescent="0.3">
      <c r="A267" s="100" t="s">
        <v>23</v>
      </c>
      <c r="B267" s="101" t="s">
        <v>404</v>
      </c>
      <c r="C267" s="47">
        <v>2358</v>
      </c>
      <c r="D267" s="100"/>
      <c r="E267" s="47">
        <v>1</v>
      </c>
      <c r="F267" s="100"/>
      <c r="G267" s="100"/>
      <c r="H267" s="100"/>
      <c r="I267" s="100"/>
      <c r="J267" s="100"/>
      <c r="K267" s="47">
        <v>0</v>
      </c>
      <c r="L267" s="102">
        <v>39170</v>
      </c>
      <c r="M267" s="100">
        <v>11.777465788800255</v>
      </c>
      <c r="N267" s="100"/>
      <c r="O267" s="100"/>
      <c r="P267" s="100"/>
      <c r="Q267" s="100" t="s">
        <v>482</v>
      </c>
      <c r="R267" s="103" t="s">
        <v>483</v>
      </c>
      <c r="S267" s="100"/>
      <c r="T267" s="100"/>
      <c r="U267" s="100"/>
      <c r="V267" s="100"/>
      <c r="W267" s="100"/>
      <c r="X267" s="100"/>
      <c r="Y267" s="100"/>
      <c r="Z267" s="100"/>
      <c r="AA267" s="100"/>
      <c r="AB267" s="47"/>
      <c r="AC267" s="100"/>
      <c r="AD267" s="100"/>
      <c r="AE267" s="100"/>
      <c r="AF267" s="71"/>
      <c r="AG267" s="71"/>
    </row>
    <row r="268" spans="1:33" ht="14.25" customHeight="1" x14ac:dyDescent="0.3">
      <c r="A268" s="100" t="s">
        <v>23</v>
      </c>
      <c r="B268" s="101" t="s">
        <v>404</v>
      </c>
      <c r="C268" s="148">
        <v>2359</v>
      </c>
      <c r="D268" s="100"/>
      <c r="E268" s="148">
        <v>1</v>
      </c>
      <c r="F268" s="100"/>
      <c r="G268" s="100"/>
      <c r="H268" s="113"/>
      <c r="I268" s="113"/>
      <c r="J268" s="113"/>
      <c r="K268" s="47">
        <v>0</v>
      </c>
      <c r="L268" s="102">
        <v>39170</v>
      </c>
      <c r="M268" s="113">
        <v>10.663381187156988</v>
      </c>
      <c r="N268" s="100"/>
      <c r="O268" s="100"/>
      <c r="P268" s="100"/>
      <c r="Q268" s="100" t="s">
        <v>484</v>
      </c>
      <c r="R268" s="103"/>
      <c r="S268" s="100"/>
      <c r="T268" s="100"/>
      <c r="U268" s="100"/>
      <c r="V268" s="100"/>
      <c r="W268" s="100"/>
      <c r="X268" s="100"/>
      <c r="Y268" s="100"/>
      <c r="Z268" s="100"/>
      <c r="AA268" s="100"/>
      <c r="AB268" s="47"/>
      <c r="AC268" s="100"/>
      <c r="AD268" s="100"/>
      <c r="AE268" s="100"/>
      <c r="AF268" s="71"/>
      <c r="AG268" s="71"/>
    </row>
    <row r="269" spans="1:33" ht="14.25" customHeight="1" x14ac:dyDescent="0.3">
      <c r="A269" s="100" t="s">
        <v>23</v>
      </c>
      <c r="B269" s="101" t="s">
        <v>404</v>
      </c>
      <c r="C269" s="148">
        <v>2360</v>
      </c>
      <c r="D269" s="100"/>
      <c r="E269" s="148">
        <v>1</v>
      </c>
      <c r="F269" s="100"/>
      <c r="G269" s="100"/>
      <c r="H269" s="113"/>
      <c r="I269" s="113"/>
      <c r="J269" s="113"/>
      <c r="K269" s="47">
        <v>0</v>
      </c>
      <c r="L269" s="102">
        <v>39170</v>
      </c>
      <c r="M269" s="113">
        <v>10.185916357881302</v>
      </c>
      <c r="N269" s="100"/>
      <c r="O269" s="100"/>
      <c r="P269" s="100"/>
      <c r="Q269" s="100" t="s">
        <v>485</v>
      </c>
      <c r="R269" s="103"/>
      <c r="S269" s="100"/>
      <c r="T269" s="100"/>
      <c r="U269" s="100"/>
      <c r="V269" s="100"/>
      <c r="W269" s="100"/>
      <c r="X269" s="100"/>
      <c r="Y269" s="100"/>
      <c r="Z269" s="100"/>
      <c r="AA269" s="100"/>
      <c r="AB269" s="47"/>
      <c r="AC269" s="100"/>
      <c r="AD269" s="100"/>
      <c r="AE269" s="100"/>
      <c r="AF269" s="71"/>
      <c r="AG269" s="71"/>
    </row>
    <row r="270" spans="1:33" ht="11.4" customHeight="1" x14ac:dyDescent="0.3">
      <c r="A270" s="100" t="s">
        <v>23</v>
      </c>
      <c r="B270" s="101" t="s">
        <v>404</v>
      </c>
      <c r="C270" s="47">
        <v>2361</v>
      </c>
      <c r="D270" s="100"/>
      <c r="E270" s="47">
        <v>1</v>
      </c>
      <c r="F270" s="100"/>
      <c r="G270" s="100"/>
      <c r="H270" s="100" t="s">
        <v>35</v>
      </c>
      <c r="I270" s="100" t="s">
        <v>144</v>
      </c>
      <c r="J270" s="100" t="s">
        <v>145</v>
      </c>
      <c r="K270" s="47">
        <v>0</v>
      </c>
      <c r="L270" s="102">
        <v>39170</v>
      </c>
      <c r="M270" s="100">
        <v>18.143663512476071</v>
      </c>
      <c r="N270" s="100"/>
      <c r="O270" s="100"/>
      <c r="P270" s="100"/>
      <c r="Q270" s="100" t="s">
        <v>347</v>
      </c>
      <c r="R270" s="103"/>
      <c r="S270" s="100"/>
      <c r="T270" s="100"/>
      <c r="U270" s="100"/>
      <c r="V270" s="100"/>
      <c r="W270" s="100"/>
      <c r="X270" s="100"/>
      <c r="Y270" s="100"/>
      <c r="Z270" s="100"/>
      <c r="AA270" s="100"/>
      <c r="AB270" s="47"/>
      <c r="AC270" s="100"/>
      <c r="AD270" s="100"/>
      <c r="AE270" s="100"/>
      <c r="AF270" s="71"/>
      <c r="AG270" s="71"/>
    </row>
    <row r="271" spans="1:33" ht="14.25" customHeight="1" x14ac:dyDescent="0.3">
      <c r="A271" s="100" t="s">
        <v>23</v>
      </c>
      <c r="B271" s="121" t="s">
        <v>486</v>
      </c>
      <c r="C271" s="47">
        <v>2387</v>
      </c>
      <c r="D271" s="54">
        <v>8824</v>
      </c>
      <c r="E271" s="47">
        <v>1</v>
      </c>
      <c r="F271" s="47">
        <v>0</v>
      </c>
      <c r="G271" s="47">
        <v>0</v>
      </c>
      <c r="H271" s="100" t="s">
        <v>237</v>
      </c>
      <c r="I271" s="67" t="s">
        <v>501</v>
      </c>
      <c r="J271" s="67" t="s">
        <v>502</v>
      </c>
      <c r="K271" s="47">
        <v>1</v>
      </c>
      <c r="L271" s="122">
        <v>39406</v>
      </c>
      <c r="M271" s="123">
        <v>13.88</v>
      </c>
      <c r="N271" s="122">
        <v>40661</v>
      </c>
      <c r="O271" s="124">
        <v>16.32</v>
      </c>
      <c r="P271" s="47">
        <v>19.600000000000001</v>
      </c>
      <c r="Q271" s="47"/>
      <c r="R271" s="47">
        <v>3267</v>
      </c>
      <c r="S271" s="100"/>
      <c r="T271" s="100"/>
      <c r="U271" s="100">
        <v>1</v>
      </c>
      <c r="V271" s="100"/>
      <c r="W271" s="100"/>
      <c r="X271" s="104">
        <v>45690</v>
      </c>
      <c r="Y271" s="100">
        <v>22.6</v>
      </c>
      <c r="Z271" s="100">
        <v>23</v>
      </c>
      <c r="AA271" s="100"/>
      <c r="AB271" s="47" t="s">
        <v>45</v>
      </c>
      <c r="AC271" s="100"/>
      <c r="AD271" s="100"/>
      <c r="AE271" s="100"/>
      <c r="AF271" s="71"/>
      <c r="AG271" s="71"/>
    </row>
    <row r="272" spans="1:33" ht="14.25" customHeight="1" x14ac:dyDescent="0.3">
      <c r="A272" s="100" t="s">
        <v>23</v>
      </c>
      <c r="B272" s="121" t="s">
        <v>486</v>
      </c>
      <c r="C272" s="100"/>
      <c r="D272" s="54">
        <v>8825</v>
      </c>
      <c r="E272" s="100"/>
      <c r="F272" s="100"/>
      <c r="G272" s="100"/>
      <c r="H272" s="67" t="s">
        <v>29</v>
      </c>
      <c r="I272" s="67" t="s">
        <v>30</v>
      </c>
      <c r="J272" s="67" t="s">
        <v>567</v>
      </c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>
        <v>1</v>
      </c>
      <c r="V272" s="100"/>
      <c r="W272" s="100"/>
      <c r="X272" s="104">
        <v>45690</v>
      </c>
      <c r="Y272" s="100">
        <v>24.9</v>
      </c>
      <c r="Z272" s="100">
        <v>15</v>
      </c>
      <c r="AA272" s="100"/>
      <c r="AB272" s="47" t="s">
        <v>45</v>
      </c>
      <c r="AC272" s="100"/>
      <c r="AD272" s="100"/>
      <c r="AE272" s="100"/>
      <c r="AF272" s="71"/>
      <c r="AG272" s="71"/>
    </row>
    <row r="273" spans="1:33" ht="14.25" customHeight="1" x14ac:dyDescent="0.3">
      <c r="A273" s="100" t="s">
        <v>23</v>
      </c>
      <c r="B273" s="121" t="s">
        <v>486</v>
      </c>
      <c r="C273" s="47">
        <v>2394</v>
      </c>
      <c r="D273" s="54">
        <v>8826</v>
      </c>
      <c r="E273" s="47">
        <v>1</v>
      </c>
      <c r="F273" s="47">
        <v>0</v>
      </c>
      <c r="G273" s="47">
        <v>0</v>
      </c>
      <c r="H273" s="100" t="s">
        <v>25</v>
      </c>
      <c r="I273" s="67" t="s">
        <v>55</v>
      </c>
      <c r="J273" s="67" t="s">
        <v>56</v>
      </c>
      <c r="K273" s="47">
        <v>1</v>
      </c>
      <c r="L273" s="122">
        <v>39406</v>
      </c>
      <c r="M273" s="123">
        <v>37.51</v>
      </c>
      <c r="N273" s="122">
        <v>40661</v>
      </c>
      <c r="O273" s="124">
        <v>39.65</v>
      </c>
      <c r="P273" s="47">
        <v>33.6</v>
      </c>
      <c r="Q273" s="47"/>
      <c r="R273" s="105" t="s">
        <v>490</v>
      </c>
      <c r="S273" s="100"/>
      <c r="T273" s="100"/>
      <c r="U273" s="100">
        <v>1</v>
      </c>
      <c r="V273" s="100"/>
      <c r="W273" s="100"/>
      <c r="X273" s="104">
        <v>45690</v>
      </c>
      <c r="Y273" s="100">
        <v>42.46</v>
      </c>
      <c r="Z273" s="100">
        <v>27</v>
      </c>
      <c r="AA273" s="100"/>
      <c r="AB273" s="47" t="s">
        <v>45</v>
      </c>
      <c r="AC273" s="100"/>
      <c r="AD273" s="100"/>
      <c r="AE273" s="100"/>
      <c r="AF273" s="71"/>
      <c r="AG273" s="71"/>
    </row>
    <row r="274" spans="1:33" s="59" customFormat="1" ht="14.25" customHeight="1" x14ac:dyDescent="0.3">
      <c r="A274" s="81" t="s">
        <v>23</v>
      </c>
      <c r="B274" s="134" t="s">
        <v>486</v>
      </c>
      <c r="C274" s="81"/>
      <c r="D274" s="69">
        <v>8827</v>
      </c>
      <c r="E274" s="81"/>
      <c r="F274" s="81"/>
      <c r="G274" s="81"/>
      <c r="H274" s="70" t="s">
        <v>29</v>
      </c>
      <c r="I274" s="70" t="s">
        <v>57</v>
      </c>
      <c r="J274" s="70" t="s">
        <v>564</v>
      </c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>
        <v>1</v>
      </c>
      <c r="V274" s="81"/>
      <c r="W274" s="81"/>
      <c r="X274" s="115">
        <v>45690</v>
      </c>
      <c r="Y274" s="81">
        <v>11.5</v>
      </c>
      <c r="Z274" s="81">
        <v>14</v>
      </c>
      <c r="AA274" s="81">
        <v>1</v>
      </c>
      <c r="AB274" s="50" t="s">
        <v>45</v>
      </c>
      <c r="AC274" s="81"/>
      <c r="AD274" s="81"/>
      <c r="AE274" s="81">
        <v>3</v>
      </c>
      <c r="AF274" s="159" t="s">
        <v>133</v>
      </c>
      <c r="AG274" s="159"/>
    </row>
    <row r="275" spans="1:33" ht="14.25" customHeight="1" x14ac:dyDescent="0.3">
      <c r="A275" s="100" t="s">
        <v>23</v>
      </c>
      <c r="B275" s="121" t="s">
        <v>486</v>
      </c>
      <c r="C275" s="100"/>
      <c r="D275" s="69">
        <v>8828</v>
      </c>
      <c r="E275" s="100"/>
      <c r="F275" s="100"/>
      <c r="G275" s="100"/>
      <c r="H275" s="67" t="s">
        <v>46</v>
      </c>
      <c r="I275" s="100" t="s">
        <v>131</v>
      </c>
      <c r="J275" s="100" t="s">
        <v>132</v>
      </c>
      <c r="K275" s="100"/>
      <c r="L275" s="100"/>
      <c r="M275" s="100"/>
      <c r="N275" s="100"/>
      <c r="O275" s="100"/>
      <c r="P275" s="100"/>
      <c r="Q275" s="100" t="s">
        <v>572</v>
      </c>
      <c r="R275" s="100"/>
      <c r="S275" s="100"/>
      <c r="T275" s="100">
        <v>1</v>
      </c>
      <c r="U275" s="100">
        <v>1</v>
      </c>
      <c r="V275" s="100"/>
      <c r="W275" s="100"/>
      <c r="X275" s="104">
        <v>45690</v>
      </c>
      <c r="Y275" s="100">
        <v>24</v>
      </c>
      <c r="Z275" s="100">
        <v>25.7</v>
      </c>
      <c r="AA275" s="100"/>
      <c r="AB275" s="47" t="s">
        <v>45</v>
      </c>
      <c r="AC275" s="100"/>
      <c r="AD275" s="100"/>
      <c r="AE275" s="100"/>
      <c r="AF275" s="71"/>
      <c r="AG275" s="71"/>
    </row>
    <row r="276" spans="1:33" ht="14.25" customHeight="1" x14ac:dyDescent="0.3">
      <c r="A276" s="100" t="s">
        <v>23</v>
      </c>
      <c r="B276" s="121" t="s">
        <v>486</v>
      </c>
      <c r="C276" s="47">
        <v>2398</v>
      </c>
      <c r="D276" s="54">
        <v>8829</v>
      </c>
      <c r="E276" s="47">
        <v>1</v>
      </c>
      <c r="F276" s="47">
        <v>0</v>
      </c>
      <c r="G276" s="47">
        <v>0</v>
      </c>
      <c r="H276" s="100" t="s">
        <v>29</v>
      </c>
      <c r="I276" s="67" t="s">
        <v>30</v>
      </c>
      <c r="J276" s="67" t="s">
        <v>506</v>
      </c>
      <c r="K276" s="47">
        <v>1</v>
      </c>
      <c r="L276" s="122">
        <v>39406</v>
      </c>
      <c r="M276" s="123">
        <v>13.14</v>
      </c>
      <c r="N276" s="122">
        <v>40661</v>
      </c>
      <c r="O276" s="124">
        <v>13.87</v>
      </c>
      <c r="P276" s="47">
        <v>16.7</v>
      </c>
      <c r="Q276" s="47" t="s">
        <v>240</v>
      </c>
      <c r="R276" s="47"/>
      <c r="S276" s="100">
        <v>1</v>
      </c>
      <c r="T276" s="100">
        <v>1</v>
      </c>
      <c r="U276" s="100">
        <v>1</v>
      </c>
      <c r="V276" s="100"/>
      <c r="W276" s="100"/>
      <c r="X276" s="104">
        <v>45690</v>
      </c>
      <c r="Y276" s="100">
        <v>15.2</v>
      </c>
      <c r="Z276" s="100">
        <v>20</v>
      </c>
      <c r="AA276" s="100"/>
      <c r="AB276" s="47" t="s">
        <v>45</v>
      </c>
      <c r="AC276" s="100" t="s">
        <v>573</v>
      </c>
      <c r="AD276" s="100"/>
      <c r="AE276" s="100">
        <v>3</v>
      </c>
      <c r="AF276" s="71" t="s">
        <v>574</v>
      </c>
      <c r="AG276" s="71"/>
    </row>
    <row r="277" spans="1:33" ht="14.25" customHeight="1" x14ac:dyDescent="0.3">
      <c r="A277" s="100" t="s">
        <v>23</v>
      </c>
      <c r="B277" s="121" t="s">
        <v>486</v>
      </c>
      <c r="C277" s="47">
        <v>2399</v>
      </c>
      <c r="D277" s="54">
        <v>8830</v>
      </c>
      <c r="E277" s="47">
        <v>1</v>
      </c>
      <c r="F277" s="47">
        <v>0</v>
      </c>
      <c r="G277" s="47">
        <v>0</v>
      </c>
      <c r="H277" s="100" t="s">
        <v>149</v>
      </c>
      <c r="I277" s="67" t="s">
        <v>228</v>
      </c>
      <c r="J277" s="67" t="s">
        <v>507</v>
      </c>
      <c r="K277" s="47">
        <v>1</v>
      </c>
      <c r="L277" s="122">
        <v>39406</v>
      </c>
      <c r="M277" s="123">
        <v>28.03</v>
      </c>
      <c r="N277" s="122">
        <v>40661</v>
      </c>
      <c r="O277" s="124">
        <v>28.03</v>
      </c>
      <c r="P277" s="47">
        <v>19.7</v>
      </c>
      <c r="Q277" s="47"/>
      <c r="R277" s="47">
        <v>3265</v>
      </c>
      <c r="S277" s="100">
        <v>1</v>
      </c>
      <c r="T277" s="100">
        <v>1</v>
      </c>
      <c r="U277" s="100">
        <v>1</v>
      </c>
      <c r="V277" s="100"/>
      <c r="W277" s="100"/>
      <c r="X277" s="104">
        <v>45690</v>
      </c>
      <c r="Y277" s="100">
        <v>28.74</v>
      </c>
      <c r="Z277" s="100">
        <v>22</v>
      </c>
      <c r="AA277" s="100"/>
      <c r="AB277" s="47" t="s">
        <v>45</v>
      </c>
      <c r="AC277" s="100"/>
      <c r="AD277" s="100"/>
      <c r="AE277" s="100">
        <v>2</v>
      </c>
      <c r="AF277" s="71"/>
      <c r="AG277" s="71"/>
    </row>
    <row r="278" spans="1:33" ht="14.25" customHeight="1" x14ac:dyDescent="0.3">
      <c r="A278" s="100" t="s">
        <v>23</v>
      </c>
      <c r="B278" s="121" t="s">
        <v>486</v>
      </c>
      <c r="C278" s="47">
        <v>2397</v>
      </c>
      <c r="D278" s="54">
        <v>8831</v>
      </c>
      <c r="E278" s="47">
        <v>1</v>
      </c>
      <c r="F278" s="47">
        <v>0</v>
      </c>
      <c r="G278" s="47">
        <v>0</v>
      </c>
      <c r="H278" s="100" t="s">
        <v>25</v>
      </c>
      <c r="I278" s="67" t="s">
        <v>55</v>
      </c>
      <c r="J278" s="67" t="s">
        <v>56</v>
      </c>
      <c r="K278" s="47">
        <v>1</v>
      </c>
      <c r="L278" s="122">
        <v>39406</v>
      </c>
      <c r="M278" s="123">
        <v>10.88</v>
      </c>
      <c r="N278" s="122">
        <v>40661</v>
      </c>
      <c r="O278" s="124">
        <v>11.4</v>
      </c>
      <c r="P278" s="47">
        <v>12.2</v>
      </c>
      <c r="Q278" s="47"/>
      <c r="R278" s="105" t="s">
        <v>490</v>
      </c>
      <c r="S278" s="100"/>
      <c r="T278" s="100"/>
      <c r="U278" s="100">
        <v>1</v>
      </c>
      <c r="V278" s="100"/>
      <c r="W278" s="100"/>
      <c r="X278" s="104">
        <v>45690</v>
      </c>
      <c r="Y278" s="100">
        <v>12.04</v>
      </c>
      <c r="Z278" s="100">
        <v>13</v>
      </c>
      <c r="AA278" s="100"/>
      <c r="AB278" s="47" t="s">
        <v>45</v>
      </c>
      <c r="AC278" s="100"/>
      <c r="AD278" s="100"/>
      <c r="AE278" s="100"/>
      <c r="AF278" s="71" t="s">
        <v>577</v>
      </c>
      <c r="AG278" s="71"/>
    </row>
    <row r="279" spans="1:33" ht="14.25" customHeight="1" x14ac:dyDescent="0.3">
      <c r="A279" s="100" t="s">
        <v>23</v>
      </c>
      <c r="B279" s="121" t="s">
        <v>486</v>
      </c>
      <c r="C279" s="47">
        <v>2393</v>
      </c>
      <c r="D279" s="54">
        <v>8832</v>
      </c>
      <c r="E279" s="47">
        <v>1</v>
      </c>
      <c r="F279" s="47">
        <v>0</v>
      </c>
      <c r="G279" s="47">
        <v>0</v>
      </c>
      <c r="H279" s="100" t="s">
        <v>77</v>
      </c>
      <c r="I279" s="67" t="s">
        <v>78</v>
      </c>
      <c r="J279" s="67" t="s">
        <v>339</v>
      </c>
      <c r="K279" s="47">
        <v>1</v>
      </c>
      <c r="L279" s="122">
        <v>39406</v>
      </c>
      <c r="M279" s="123">
        <v>13.93</v>
      </c>
      <c r="N279" s="122">
        <v>40661</v>
      </c>
      <c r="O279" s="124">
        <v>13.97</v>
      </c>
      <c r="P279" s="47">
        <v>11.6</v>
      </c>
      <c r="Q279" s="47"/>
      <c r="R279" s="47">
        <v>3270</v>
      </c>
      <c r="S279" s="100">
        <v>1</v>
      </c>
      <c r="T279" s="100">
        <v>1</v>
      </c>
      <c r="U279" s="100">
        <v>1</v>
      </c>
      <c r="V279" s="100"/>
      <c r="W279" s="100"/>
      <c r="X279" s="104">
        <v>45690</v>
      </c>
      <c r="Y279" s="100">
        <v>14.3</v>
      </c>
      <c r="Z279" s="100">
        <v>13.2</v>
      </c>
      <c r="AA279" s="100"/>
      <c r="AB279" s="47" t="s">
        <v>45</v>
      </c>
      <c r="AC279" s="100"/>
      <c r="AD279" s="100"/>
      <c r="AE279" s="100"/>
      <c r="AF279" s="71" t="s">
        <v>578</v>
      </c>
      <c r="AG279" s="71" t="s">
        <v>640</v>
      </c>
    </row>
    <row r="280" spans="1:33" ht="14.25" customHeight="1" x14ac:dyDescent="0.3">
      <c r="A280" s="100" t="s">
        <v>23</v>
      </c>
      <c r="B280" s="121" t="s">
        <v>486</v>
      </c>
      <c r="C280" s="47">
        <v>2385</v>
      </c>
      <c r="D280" s="54">
        <v>8833</v>
      </c>
      <c r="E280" s="47">
        <v>1</v>
      </c>
      <c r="F280" s="67">
        <v>0</v>
      </c>
      <c r="G280" s="47">
        <v>0</v>
      </c>
      <c r="H280" s="100" t="s">
        <v>51</v>
      </c>
      <c r="I280" s="100" t="s">
        <v>643</v>
      </c>
      <c r="J280" s="67" t="s">
        <v>295</v>
      </c>
      <c r="K280" s="47">
        <v>1</v>
      </c>
      <c r="L280" s="122">
        <v>39406</v>
      </c>
      <c r="M280" s="123">
        <v>18.87</v>
      </c>
      <c r="N280" s="122">
        <v>40661</v>
      </c>
      <c r="O280" s="124">
        <v>21.27</v>
      </c>
      <c r="P280" s="47">
        <v>18.100000000000001</v>
      </c>
      <c r="Q280" s="47"/>
      <c r="R280" s="105" t="s">
        <v>500</v>
      </c>
      <c r="S280" s="100"/>
      <c r="T280" s="100"/>
      <c r="U280" s="100">
        <v>1</v>
      </c>
      <c r="V280" s="158"/>
      <c r="W280" s="158"/>
      <c r="X280" s="104">
        <v>45690</v>
      </c>
      <c r="Y280" s="100">
        <v>24.4</v>
      </c>
      <c r="Z280" s="100">
        <v>22</v>
      </c>
      <c r="AA280" s="100"/>
      <c r="AB280" s="47" t="s">
        <v>34</v>
      </c>
      <c r="AC280" s="100"/>
      <c r="AD280" s="100"/>
      <c r="AE280" s="100"/>
      <c r="AF280" s="71"/>
      <c r="AG280" s="71"/>
    </row>
    <row r="281" spans="1:33" ht="14.25" customHeight="1" x14ac:dyDescent="0.3">
      <c r="A281" s="100" t="s">
        <v>23</v>
      </c>
      <c r="B281" s="100" t="s">
        <v>486</v>
      </c>
      <c r="C281" s="100"/>
      <c r="D281" s="100">
        <v>8834</v>
      </c>
      <c r="E281" s="100"/>
      <c r="F281" s="100"/>
      <c r="G281" s="100"/>
      <c r="H281" s="100" t="s">
        <v>135</v>
      </c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>
        <v>1</v>
      </c>
      <c r="V281" s="100"/>
      <c r="W281" s="100"/>
      <c r="X281" s="104">
        <v>45690</v>
      </c>
      <c r="Y281" s="100">
        <v>27.2</v>
      </c>
      <c r="Z281" s="100">
        <v>25</v>
      </c>
      <c r="AA281" s="100"/>
      <c r="AB281" s="47" t="s">
        <v>34</v>
      </c>
      <c r="AC281" s="100"/>
      <c r="AD281" s="100"/>
      <c r="AE281" s="100"/>
      <c r="AF281" s="71" t="s">
        <v>579</v>
      </c>
      <c r="AG281" s="71"/>
    </row>
    <row r="282" spans="1:33" s="59" customFormat="1" ht="14.25" customHeight="1" x14ac:dyDescent="0.3">
      <c r="A282" s="81" t="s">
        <v>23</v>
      </c>
      <c r="B282" s="134" t="s">
        <v>486</v>
      </c>
      <c r="C282" s="50">
        <v>2392</v>
      </c>
      <c r="D282" s="53">
        <v>8835</v>
      </c>
      <c r="E282" s="50">
        <v>1</v>
      </c>
      <c r="F282" s="50">
        <v>0</v>
      </c>
      <c r="G282" s="50">
        <v>0</v>
      </c>
      <c r="H282" s="81" t="s">
        <v>135</v>
      </c>
      <c r="I282" s="70"/>
      <c r="J282" s="70"/>
      <c r="K282" s="50">
        <v>1</v>
      </c>
      <c r="L282" s="149">
        <v>39406</v>
      </c>
      <c r="M282" s="150">
        <v>10.56</v>
      </c>
      <c r="N282" s="149">
        <v>40661</v>
      </c>
      <c r="O282" s="151">
        <v>10.58</v>
      </c>
      <c r="P282" s="50">
        <v>13.5</v>
      </c>
      <c r="Q282" s="50"/>
      <c r="R282" s="81"/>
      <c r="S282" s="81"/>
      <c r="T282" s="81"/>
      <c r="U282" s="81">
        <v>1</v>
      </c>
      <c r="V282" s="81"/>
      <c r="W282" s="81"/>
      <c r="X282" s="194">
        <v>45690</v>
      </c>
      <c r="Y282" s="53">
        <v>10.4</v>
      </c>
      <c r="Z282" s="53">
        <v>12.2</v>
      </c>
      <c r="AA282" s="81"/>
      <c r="AB282" s="50" t="s">
        <v>34</v>
      </c>
      <c r="AC282" s="81"/>
      <c r="AD282" s="81"/>
      <c r="AE282" s="81"/>
      <c r="AF282" s="159"/>
      <c r="AG282" s="159"/>
    </row>
    <row r="283" spans="1:33" ht="14.4" x14ac:dyDescent="0.3">
      <c r="A283" s="100" t="s">
        <v>23</v>
      </c>
      <c r="B283" s="121" t="s">
        <v>486</v>
      </c>
      <c r="C283" s="100"/>
      <c r="D283" s="54">
        <v>8836</v>
      </c>
      <c r="E283" s="47">
        <v>0</v>
      </c>
      <c r="F283" s="47">
        <v>0</v>
      </c>
      <c r="G283" s="47">
        <v>0</v>
      </c>
      <c r="H283" s="67" t="s">
        <v>568</v>
      </c>
      <c r="I283" s="67" t="s">
        <v>471</v>
      </c>
      <c r="J283" s="67" t="s">
        <v>569</v>
      </c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>
        <v>1</v>
      </c>
      <c r="V283" s="54"/>
      <c r="W283" s="54"/>
      <c r="X283" s="104">
        <v>45690</v>
      </c>
      <c r="Y283" s="100">
        <v>11</v>
      </c>
      <c r="Z283" s="100">
        <v>13.7</v>
      </c>
      <c r="AA283" s="100">
        <v>1</v>
      </c>
      <c r="AB283" s="47" t="s">
        <v>34</v>
      </c>
      <c r="AC283" s="100"/>
      <c r="AD283" s="100"/>
      <c r="AE283" s="100"/>
      <c r="AF283" s="71" t="s">
        <v>133</v>
      </c>
      <c r="AG283" s="71"/>
    </row>
    <row r="284" spans="1:33" ht="14.25" customHeight="1" x14ac:dyDescent="0.3">
      <c r="A284" s="100" t="s">
        <v>23</v>
      </c>
      <c r="B284" s="121" t="s">
        <v>486</v>
      </c>
      <c r="C284" s="47">
        <v>2391</v>
      </c>
      <c r="D284" s="54">
        <v>8837</v>
      </c>
      <c r="E284" s="47">
        <v>1</v>
      </c>
      <c r="F284" s="47">
        <v>0</v>
      </c>
      <c r="G284" s="47">
        <v>0</v>
      </c>
      <c r="H284" s="100" t="s">
        <v>25</v>
      </c>
      <c r="I284" s="67" t="s">
        <v>55</v>
      </c>
      <c r="J284" s="67" t="s">
        <v>56</v>
      </c>
      <c r="K284" s="47">
        <v>1</v>
      </c>
      <c r="L284" s="122">
        <v>39406</v>
      </c>
      <c r="M284" s="123">
        <v>13.92</v>
      </c>
      <c r="N284" s="122">
        <v>40661</v>
      </c>
      <c r="O284" s="124">
        <v>14.43</v>
      </c>
      <c r="P284" s="47">
        <v>16.600000000000001</v>
      </c>
      <c r="Q284" s="47"/>
      <c r="R284" s="105" t="s">
        <v>490</v>
      </c>
      <c r="S284" s="100"/>
      <c r="T284" s="100"/>
      <c r="U284" s="100">
        <v>1</v>
      </c>
      <c r="V284" s="100"/>
      <c r="W284" s="100"/>
      <c r="X284" s="104">
        <v>45690</v>
      </c>
      <c r="Y284" s="100">
        <v>15.2</v>
      </c>
      <c r="Z284" s="100">
        <v>14.8</v>
      </c>
      <c r="AA284" s="100"/>
      <c r="AB284" s="47" t="s">
        <v>34</v>
      </c>
      <c r="AC284" s="100"/>
      <c r="AD284" s="100"/>
      <c r="AE284" s="100"/>
      <c r="AF284" s="71"/>
      <c r="AG284" s="71"/>
    </row>
    <row r="285" spans="1:33" ht="14.25" customHeight="1" x14ac:dyDescent="0.3">
      <c r="A285" s="100" t="s">
        <v>23</v>
      </c>
      <c r="B285" s="121" t="s">
        <v>486</v>
      </c>
      <c r="C285" s="47">
        <v>2388</v>
      </c>
      <c r="D285" s="54">
        <v>8838</v>
      </c>
      <c r="E285" s="47">
        <v>1</v>
      </c>
      <c r="F285" s="47">
        <v>0</v>
      </c>
      <c r="G285" s="47">
        <v>0</v>
      </c>
      <c r="H285" s="100" t="s">
        <v>29</v>
      </c>
      <c r="I285" s="67" t="s">
        <v>30</v>
      </c>
      <c r="J285" s="67" t="s">
        <v>472</v>
      </c>
      <c r="K285" s="47">
        <v>1</v>
      </c>
      <c r="L285" s="122">
        <v>39406</v>
      </c>
      <c r="M285" s="123">
        <v>12.67</v>
      </c>
      <c r="N285" s="122">
        <v>40661</v>
      </c>
      <c r="O285" s="124">
        <v>14.35</v>
      </c>
      <c r="P285" s="47">
        <v>16.7</v>
      </c>
      <c r="Q285" s="47"/>
      <c r="R285" s="105" t="s">
        <v>503</v>
      </c>
      <c r="S285" s="100"/>
      <c r="T285" s="100"/>
      <c r="U285" s="100">
        <v>1</v>
      </c>
      <c r="V285" s="100"/>
      <c r="W285" s="100"/>
      <c r="X285" s="104">
        <v>45690</v>
      </c>
      <c r="Y285" s="100">
        <v>19.2</v>
      </c>
      <c r="Z285" s="100">
        <v>18</v>
      </c>
      <c r="AA285" s="100"/>
      <c r="AB285" s="47" t="s">
        <v>34</v>
      </c>
      <c r="AC285" s="100"/>
      <c r="AD285" s="100"/>
      <c r="AE285" s="100"/>
      <c r="AF285" s="71"/>
      <c r="AG285" s="71"/>
    </row>
    <row r="286" spans="1:33" ht="14.25" customHeight="1" x14ac:dyDescent="0.3">
      <c r="A286" s="100" t="s">
        <v>23</v>
      </c>
      <c r="B286" s="121" t="s">
        <v>486</v>
      </c>
      <c r="C286" s="47">
        <v>2390</v>
      </c>
      <c r="D286" s="54">
        <v>8839</v>
      </c>
      <c r="E286" s="47">
        <v>1</v>
      </c>
      <c r="F286" s="47">
        <v>0</v>
      </c>
      <c r="G286" s="47">
        <v>0</v>
      </c>
      <c r="H286" s="100" t="s">
        <v>166</v>
      </c>
      <c r="I286" s="67" t="s">
        <v>167</v>
      </c>
      <c r="J286" s="67" t="s">
        <v>168</v>
      </c>
      <c r="K286" s="47">
        <v>1</v>
      </c>
      <c r="L286" s="122">
        <v>39406</v>
      </c>
      <c r="M286" s="123">
        <v>11.48</v>
      </c>
      <c r="N286" s="122">
        <v>40661</v>
      </c>
      <c r="O286" s="124">
        <v>11.52</v>
      </c>
      <c r="P286" s="47">
        <v>16.899999999999999</v>
      </c>
      <c r="Q286" s="47"/>
      <c r="R286" s="105">
        <v>3280</v>
      </c>
      <c r="S286" s="100">
        <v>1</v>
      </c>
      <c r="T286" s="100">
        <v>1</v>
      </c>
      <c r="U286" s="100">
        <v>1</v>
      </c>
      <c r="V286" s="100"/>
      <c r="W286" s="100"/>
      <c r="X286" s="104">
        <v>45690</v>
      </c>
      <c r="Y286" s="100">
        <v>11.3</v>
      </c>
      <c r="Z286" s="100">
        <v>9.5</v>
      </c>
      <c r="AA286" s="100"/>
      <c r="AB286" s="47" t="s">
        <v>34</v>
      </c>
      <c r="AC286" s="100"/>
      <c r="AD286" s="100"/>
      <c r="AE286" s="100">
        <v>3</v>
      </c>
      <c r="AF286" s="71"/>
      <c r="AG286" s="71"/>
    </row>
    <row r="287" spans="1:33" ht="14.25" customHeight="1" x14ac:dyDescent="0.3">
      <c r="A287" s="100" t="s">
        <v>23</v>
      </c>
      <c r="B287" s="121" t="s">
        <v>486</v>
      </c>
      <c r="C287" s="47">
        <v>2389</v>
      </c>
      <c r="D287" s="54">
        <v>8840</v>
      </c>
      <c r="E287" s="47">
        <v>1</v>
      </c>
      <c r="F287" s="47">
        <v>0</v>
      </c>
      <c r="G287" s="47">
        <v>0</v>
      </c>
      <c r="H287" s="100" t="s">
        <v>29</v>
      </c>
      <c r="I287" s="67" t="s">
        <v>30</v>
      </c>
      <c r="J287" s="67" t="s">
        <v>504</v>
      </c>
      <c r="K287" s="47">
        <v>1</v>
      </c>
      <c r="L287" s="122">
        <v>39406</v>
      </c>
      <c r="M287" s="123">
        <v>12.68</v>
      </c>
      <c r="N287" s="122">
        <v>40661</v>
      </c>
      <c r="O287" s="124">
        <v>12.91</v>
      </c>
      <c r="P287" s="47">
        <v>14.2</v>
      </c>
      <c r="Q287" s="47"/>
      <c r="R287" s="105">
        <v>3269</v>
      </c>
      <c r="S287" s="100">
        <v>1</v>
      </c>
      <c r="T287" s="100">
        <v>1</v>
      </c>
      <c r="U287" s="100">
        <v>1</v>
      </c>
      <c r="V287" s="100"/>
      <c r="W287" s="100"/>
      <c r="X287" s="104">
        <v>45690</v>
      </c>
      <c r="Y287" s="100">
        <v>13.23</v>
      </c>
      <c r="Z287" s="100">
        <v>12.9</v>
      </c>
      <c r="AA287" s="100"/>
      <c r="AB287" s="47" t="s">
        <v>34</v>
      </c>
      <c r="AC287" s="100"/>
      <c r="AD287" s="100"/>
      <c r="AE287" s="100"/>
      <c r="AF287" s="71" t="s">
        <v>575</v>
      </c>
      <c r="AG287" s="71"/>
    </row>
    <row r="288" spans="1:33" s="59" customFormat="1" ht="14.25" customHeight="1" x14ac:dyDescent="0.3">
      <c r="A288" s="76" t="s">
        <v>23</v>
      </c>
      <c r="B288" s="132" t="s">
        <v>486</v>
      </c>
      <c r="C288" s="76"/>
      <c r="D288" s="72">
        <v>8841</v>
      </c>
      <c r="E288" s="76"/>
      <c r="F288" s="76"/>
      <c r="G288" s="76"/>
      <c r="H288" s="68" t="s">
        <v>25</v>
      </c>
      <c r="I288" s="80" t="s">
        <v>570</v>
      </c>
      <c r="J288" s="68"/>
      <c r="K288" s="76"/>
      <c r="L288" s="76"/>
      <c r="M288" s="76"/>
      <c r="N288" s="76"/>
      <c r="O288" s="76"/>
      <c r="P288" s="76"/>
      <c r="Q288" s="76"/>
      <c r="R288" s="76"/>
      <c r="S288" s="81"/>
      <c r="T288" s="81"/>
      <c r="U288" s="50">
        <v>1</v>
      </c>
      <c r="V288" s="81"/>
      <c r="W288" s="81"/>
      <c r="X288" s="82">
        <v>45690</v>
      </c>
      <c r="Y288" s="76">
        <v>11.2</v>
      </c>
      <c r="Z288" s="76">
        <v>12.7</v>
      </c>
      <c r="AA288" s="76">
        <v>1</v>
      </c>
      <c r="AB288" s="49" t="s">
        <v>34</v>
      </c>
      <c r="AC288" s="76"/>
      <c r="AD288" s="76"/>
      <c r="AE288" s="76"/>
      <c r="AF288" s="75" t="s">
        <v>571</v>
      </c>
      <c r="AG288" s="75"/>
    </row>
    <row r="289" spans="1:33" ht="14.25" customHeight="1" x14ac:dyDescent="0.3">
      <c r="A289" s="100" t="s">
        <v>23</v>
      </c>
      <c r="B289" s="121" t="s">
        <v>486</v>
      </c>
      <c r="C289" s="47">
        <v>2369</v>
      </c>
      <c r="D289" s="69">
        <v>8842</v>
      </c>
      <c r="E289" s="47">
        <v>1</v>
      </c>
      <c r="F289" s="47">
        <v>0</v>
      </c>
      <c r="G289" s="47">
        <v>1</v>
      </c>
      <c r="H289" s="100" t="s">
        <v>46</v>
      </c>
      <c r="I289" s="100" t="s">
        <v>131</v>
      </c>
      <c r="J289" s="100" t="s">
        <v>132</v>
      </c>
      <c r="K289" s="47">
        <v>1</v>
      </c>
      <c r="L289" s="122">
        <v>39406</v>
      </c>
      <c r="M289" s="123">
        <v>11.5</v>
      </c>
      <c r="N289" s="122">
        <v>40661</v>
      </c>
      <c r="O289" s="124"/>
      <c r="P289" s="47"/>
      <c r="Q289" s="47" t="s">
        <v>117</v>
      </c>
      <c r="R289" s="47">
        <v>3271</v>
      </c>
      <c r="S289" s="100"/>
      <c r="T289" s="100">
        <v>1</v>
      </c>
      <c r="U289" s="100">
        <v>1</v>
      </c>
      <c r="V289" s="100"/>
      <c r="W289" s="100"/>
      <c r="X289" s="104">
        <v>45690</v>
      </c>
      <c r="Y289" s="100">
        <v>22</v>
      </c>
      <c r="Z289" s="100">
        <v>27.7</v>
      </c>
      <c r="AA289" s="100"/>
      <c r="AB289" s="47" t="s">
        <v>34</v>
      </c>
      <c r="AC289" s="100"/>
      <c r="AD289" s="100"/>
      <c r="AE289" s="100"/>
      <c r="AF289" s="71" t="s">
        <v>580</v>
      </c>
      <c r="AG289" s="71"/>
    </row>
    <row r="290" spans="1:33" ht="14.25" customHeight="1" x14ac:dyDescent="0.3">
      <c r="A290" s="100" t="s">
        <v>23</v>
      </c>
      <c r="B290" s="121" t="s">
        <v>486</v>
      </c>
      <c r="C290" s="100"/>
      <c r="D290" s="54">
        <v>8843</v>
      </c>
      <c r="E290" s="100"/>
      <c r="F290" s="100"/>
      <c r="G290" s="100"/>
      <c r="H290" s="67" t="s">
        <v>283</v>
      </c>
      <c r="I290" s="67" t="s">
        <v>293</v>
      </c>
      <c r="J290" s="67" t="s">
        <v>114</v>
      </c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>
        <v>1</v>
      </c>
      <c r="V290" s="100"/>
      <c r="W290" s="100"/>
      <c r="X290" s="104">
        <v>45690</v>
      </c>
      <c r="Y290" s="100">
        <v>20.6</v>
      </c>
      <c r="Z290" s="100">
        <v>19.7</v>
      </c>
      <c r="AA290" s="100"/>
      <c r="AB290" s="47" t="s">
        <v>111</v>
      </c>
      <c r="AC290" s="100"/>
      <c r="AD290" s="100"/>
      <c r="AE290" s="100"/>
      <c r="AF290" s="71"/>
      <c r="AG290" s="71"/>
    </row>
    <row r="291" spans="1:33" ht="14.25" customHeight="1" x14ac:dyDescent="0.3">
      <c r="A291" s="100" t="s">
        <v>23</v>
      </c>
      <c r="B291" s="121" t="s">
        <v>486</v>
      </c>
      <c r="C291" s="47">
        <v>2370</v>
      </c>
      <c r="D291" s="54">
        <v>8844</v>
      </c>
      <c r="E291" s="47">
        <v>1</v>
      </c>
      <c r="F291" s="47">
        <v>0</v>
      </c>
      <c r="G291" s="47">
        <v>0</v>
      </c>
      <c r="H291" s="100" t="s">
        <v>35</v>
      </c>
      <c r="I291" s="67" t="s">
        <v>392</v>
      </c>
      <c r="J291" s="67" t="s">
        <v>208</v>
      </c>
      <c r="K291" s="47">
        <v>1</v>
      </c>
      <c r="L291" s="122">
        <v>39406</v>
      </c>
      <c r="M291" s="123">
        <v>10.09</v>
      </c>
      <c r="N291" s="122">
        <v>40661</v>
      </c>
      <c r="O291" s="124">
        <v>10.16</v>
      </c>
      <c r="P291" s="47">
        <v>7.9</v>
      </c>
      <c r="Q291" s="47"/>
      <c r="R291" s="105" t="s">
        <v>492</v>
      </c>
      <c r="S291" s="100"/>
      <c r="T291" s="100"/>
      <c r="U291" s="100">
        <v>1</v>
      </c>
      <c r="V291" s="100"/>
      <c r="W291" s="100"/>
      <c r="X291" s="104">
        <v>45690</v>
      </c>
      <c r="Y291" s="100">
        <v>10.3</v>
      </c>
      <c r="Z291" s="100">
        <v>11</v>
      </c>
      <c r="AA291" s="100"/>
      <c r="AB291" s="47" t="s">
        <v>111</v>
      </c>
      <c r="AC291" s="100"/>
      <c r="AD291" s="100"/>
      <c r="AE291" s="100"/>
      <c r="AF291" s="71" t="s">
        <v>576</v>
      </c>
      <c r="AG291" s="71"/>
    </row>
    <row r="292" spans="1:33" ht="14.25" customHeight="1" x14ac:dyDescent="0.3">
      <c r="A292" s="100" t="s">
        <v>23</v>
      </c>
      <c r="B292" s="121" t="s">
        <v>486</v>
      </c>
      <c r="C292" s="47">
        <v>2371</v>
      </c>
      <c r="D292" s="54">
        <v>8845</v>
      </c>
      <c r="E292" s="47">
        <v>1</v>
      </c>
      <c r="F292" s="47">
        <v>0</v>
      </c>
      <c r="G292" s="47">
        <v>0</v>
      </c>
      <c r="H292" s="100" t="s">
        <v>128</v>
      </c>
      <c r="I292" s="67" t="s">
        <v>385</v>
      </c>
      <c r="J292" s="67" t="s">
        <v>386</v>
      </c>
      <c r="K292" s="47">
        <v>1</v>
      </c>
      <c r="L292" s="122">
        <v>39406</v>
      </c>
      <c r="M292" s="123">
        <v>12.3</v>
      </c>
      <c r="N292" s="122">
        <v>40661</v>
      </c>
      <c r="O292" s="124">
        <v>12.3</v>
      </c>
      <c r="P292" s="47">
        <v>14.9</v>
      </c>
      <c r="Q292" s="47"/>
      <c r="R292" s="47"/>
      <c r="S292" s="100"/>
      <c r="T292" s="100"/>
      <c r="U292" s="100">
        <v>1</v>
      </c>
      <c r="V292" s="100"/>
      <c r="W292" s="100"/>
      <c r="X292" s="104">
        <v>45690</v>
      </c>
      <c r="Y292" s="100">
        <v>12.35</v>
      </c>
      <c r="Z292" s="100">
        <v>16.8</v>
      </c>
      <c r="AA292" s="100"/>
      <c r="AB292" s="47" t="s">
        <v>111</v>
      </c>
      <c r="AC292" s="100"/>
      <c r="AD292" s="100"/>
      <c r="AE292" s="100"/>
      <c r="AF292" s="71"/>
      <c r="AG292" s="71"/>
    </row>
    <row r="293" spans="1:33" s="59" customFormat="1" ht="14.25" customHeight="1" x14ac:dyDescent="0.3">
      <c r="A293" s="81" t="s">
        <v>23</v>
      </c>
      <c r="B293" s="134" t="s">
        <v>486</v>
      </c>
      <c r="C293" s="50">
        <v>2362</v>
      </c>
      <c r="D293" s="53">
        <v>8846</v>
      </c>
      <c r="E293" s="50">
        <v>1</v>
      </c>
      <c r="F293" s="50">
        <v>0</v>
      </c>
      <c r="G293" s="50">
        <v>0</v>
      </c>
      <c r="H293" s="81" t="s">
        <v>135</v>
      </c>
      <c r="I293" s="70"/>
      <c r="J293" s="70"/>
      <c r="K293" s="50">
        <v>1</v>
      </c>
      <c r="L293" s="149">
        <v>39406</v>
      </c>
      <c r="M293" s="150">
        <v>19.899999999999999</v>
      </c>
      <c r="N293" s="149">
        <v>40661</v>
      </c>
      <c r="O293" s="151">
        <v>21.6</v>
      </c>
      <c r="P293" s="50">
        <v>26.5</v>
      </c>
      <c r="Q293" s="50"/>
      <c r="R293" s="50">
        <v>3275</v>
      </c>
      <c r="S293" s="81"/>
      <c r="T293" s="81"/>
      <c r="U293" s="81">
        <v>1</v>
      </c>
      <c r="V293" s="81"/>
      <c r="W293" s="81"/>
      <c r="X293" s="115">
        <v>45690</v>
      </c>
      <c r="Y293" s="81">
        <v>30.8</v>
      </c>
      <c r="Z293" s="81">
        <v>23.5</v>
      </c>
      <c r="AA293" s="81"/>
      <c r="AB293" s="50" t="s">
        <v>111</v>
      </c>
      <c r="AC293" s="81"/>
      <c r="AD293" s="81"/>
      <c r="AE293" s="81">
        <v>3</v>
      </c>
      <c r="AF293" s="159"/>
      <c r="AG293" s="159"/>
    </row>
    <row r="294" spans="1:33" ht="14.25" customHeight="1" x14ac:dyDescent="0.3">
      <c r="A294" s="100" t="s">
        <v>23</v>
      </c>
      <c r="B294" s="121" t="s">
        <v>486</v>
      </c>
      <c r="C294" s="47">
        <v>2364</v>
      </c>
      <c r="D294" s="54">
        <v>8847</v>
      </c>
      <c r="E294" s="47">
        <v>1</v>
      </c>
      <c r="F294" s="47">
        <v>0</v>
      </c>
      <c r="G294" s="47">
        <v>0</v>
      </c>
      <c r="H294" s="100" t="s">
        <v>46</v>
      </c>
      <c r="I294" s="67" t="s">
        <v>487</v>
      </c>
      <c r="J294" s="67"/>
      <c r="K294" s="47">
        <v>1</v>
      </c>
      <c r="L294" s="122">
        <v>39406</v>
      </c>
      <c r="M294" s="123">
        <v>54.91</v>
      </c>
      <c r="N294" s="122">
        <v>40661</v>
      </c>
      <c r="O294" s="124">
        <v>56.37</v>
      </c>
      <c r="P294" s="47">
        <v>38.4</v>
      </c>
      <c r="Q294" s="47"/>
      <c r="R294" s="47">
        <v>3279</v>
      </c>
      <c r="S294" s="100"/>
      <c r="T294" s="100"/>
      <c r="U294" s="100">
        <v>1</v>
      </c>
      <c r="V294" s="100"/>
      <c r="W294" s="100"/>
      <c r="X294" s="104">
        <v>45690</v>
      </c>
      <c r="Y294" s="100">
        <v>65.599999999999994</v>
      </c>
      <c r="Z294" s="100">
        <v>35.200000000000003</v>
      </c>
      <c r="AA294" s="100"/>
      <c r="AB294" s="47" t="s">
        <v>111</v>
      </c>
      <c r="AC294" s="100"/>
      <c r="AD294" s="100"/>
      <c r="AE294" s="100"/>
      <c r="AF294" s="71" t="s">
        <v>581</v>
      </c>
      <c r="AG294" s="71"/>
    </row>
    <row r="295" spans="1:33" ht="14.25" customHeight="1" x14ac:dyDescent="0.3">
      <c r="A295" s="100" t="s">
        <v>23</v>
      </c>
      <c r="B295" s="121" t="s">
        <v>486</v>
      </c>
      <c r="C295" s="47">
        <v>2366</v>
      </c>
      <c r="D295" s="54"/>
      <c r="E295" s="47">
        <v>1</v>
      </c>
      <c r="F295" s="47">
        <v>0</v>
      </c>
      <c r="G295" s="47">
        <v>0</v>
      </c>
      <c r="H295" s="100" t="s">
        <v>25</v>
      </c>
      <c r="I295" s="67" t="s">
        <v>55</v>
      </c>
      <c r="J295" s="67" t="s">
        <v>56</v>
      </c>
      <c r="K295" s="47">
        <v>1</v>
      </c>
      <c r="L295" s="122">
        <v>39406</v>
      </c>
      <c r="M295" s="123">
        <v>10.7</v>
      </c>
      <c r="N295" s="122">
        <v>40661</v>
      </c>
      <c r="O295" s="124">
        <v>11.16</v>
      </c>
      <c r="P295" s="47">
        <v>14.5</v>
      </c>
      <c r="Q295" s="47"/>
      <c r="R295" s="105" t="s">
        <v>490</v>
      </c>
      <c r="S295" s="100"/>
      <c r="T295" s="100"/>
      <c r="U295" s="100"/>
      <c r="V295" s="100"/>
      <c r="W295" s="100"/>
      <c r="X295" s="104"/>
      <c r="Y295" s="100"/>
      <c r="Z295" s="100"/>
      <c r="AA295" s="100"/>
      <c r="AB295" s="47"/>
      <c r="AC295" s="100"/>
      <c r="AD295" s="100"/>
      <c r="AE295" s="100"/>
      <c r="AF295" s="71"/>
      <c r="AG295" s="71"/>
    </row>
    <row r="296" spans="1:33" s="59" customFormat="1" ht="14.25" customHeight="1" x14ac:dyDescent="0.3">
      <c r="A296" s="81" t="s">
        <v>23</v>
      </c>
      <c r="B296" s="134" t="s">
        <v>486</v>
      </c>
      <c r="C296" s="50"/>
      <c r="D296" s="69">
        <v>8848</v>
      </c>
      <c r="E296" s="50"/>
      <c r="F296" s="50"/>
      <c r="G296" s="50"/>
      <c r="H296" s="81" t="s">
        <v>25</v>
      </c>
      <c r="I296" s="70" t="s">
        <v>26</v>
      </c>
      <c r="J296" s="70"/>
      <c r="K296" s="50"/>
      <c r="L296" s="149"/>
      <c r="M296" s="150"/>
      <c r="N296" s="149"/>
      <c r="O296" s="151"/>
      <c r="P296" s="50"/>
      <c r="Q296" s="50"/>
      <c r="R296" s="152"/>
      <c r="S296" s="81"/>
      <c r="T296" s="81"/>
      <c r="U296" s="53">
        <v>1</v>
      </c>
      <c r="V296" s="81"/>
      <c r="W296" s="81"/>
      <c r="X296" s="115">
        <v>45690</v>
      </c>
      <c r="Y296" s="81">
        <v>14.8</v>
      </c>
      <c r="Z296" s="81">
        <v>10.199999999999999</v>
      </c>
      <c r="AA296" s="81"/>
      <c r="AB296" s="50" t="s">
        <v>111</v>
      </c>
      <c r="AC296" s="81"/>
      <c r="AD296" s="81"/>
      <c r="AE296" s="81">
        <v>3</v>
      </c>
      <c r="AF296" s="159"/>
      <c r="AG296" s="159"/>
    </row>
    <row r="297" spans="1:33" ht="14.25" customHeight="1" x14ac:dyDescent="0.3">
      <c r="A297" s="100" t="s">
        <v>23</v>
      </c>
      <c r="B297" s="121" t="s">
        <v>486</v>
      </c>
      <c r="C297" s="47">
        <v>2368</v>
      </c>
      <c r="D297" s="54">
        <v>8849</v>
      </c>
      <c r="E297" s="47">
        <v>1</v>
      </c>
      <c r="F297" s="47">
        <v>0</v>
      </c>
      <c r="G297" s="47">
        <v>0</v>
      </c>
      <c r="H297" s="100" t="s">
        <v>311</v>
      </c>
      <c r="I297" s="67" t="s">
        <v>312</v>
      </c>
      <c r="J297" s="67" t="s">
        <v>491</v>
      </c>
      <c r="K297" s="47">
        <v>1</v>
      </c>
      <c r="L297" s="122">
        <v>39406</v>
      </c>
      <c r="M297" s="123">
        <v>11.25</v>
      </c>
      <c r="N297" s="122">
        <v>40661</v>
      </c>
      <c r="O297" s="124">
        <f>36/3.141592654</f>
        <v>11.459155901120209</v>
      </c>
      <c r="P297" s="47">
        <v>8.4</v>
      </c>
      <c r="Q297" s="47"/>
      <c r="R297" s="47">
        <f>3163</f>
        <v>3163</v>
      </c>
      <c r="S297" s="100">
        <v>1</v>
      </c>
      <c r="T297" s="100">
        <v>1</v>
      </c>
      <c r="U297" s="100">
        <v>1</v>
      </c>
      <c r="V297" s="100"/>
      <c r="W297" s="100"/>
      <c r="X297" s="104">
        <v>45690</v>
      </c>
      <c r="Y297" s="100">
        <v>11.4</v>
      </c>
      <c r="Z297" s="100">
        <v>13</v>
      </c>
      <c r="AA297" s="100"/>
      <c r="AB297" s="47" t="s">
        <v>111</v>
      </c>
      <c r="AC297" s="100"/>
      <c r="AD297" s="100"/>
      <c r="AE297" s="100"/>
      <c r="AF297" s="71" t="s">
        <v>582</v>
      </c>
      <c r="AG297" s="71"/>
    </row>
    <row r="298" spans="1:33" s="59" customFormat="1" ht="14.25" customHeight="1" x14ac:dyDescent="0.3">
      <c r="A298" s="76" t="s">
        <v>23</v>
      </c>
      <c r="B298" s="132" t="s">
        <v>486</v>
      </c>
      <c r="C298" s="76"/>
      <c r="D298" s="74">
        <v>8850</v>
      </c>
      <c r="E298" s="76"/>
      <c r="F298" s="76"/>
      <c r="G298" s="76"/>
      <c r="H298" s="68" t="s">
        <v>39</v>
      </c>
      <c r="I298" s="68"/>
      <c r="J298" s="68"/>
      <c r="K298" s="76"/>
      <c r="L298" s="76"/>
      <c r="M298" s="76"/>
      <c r="N298" s="76"/>
      <c r="O298" s="76"/>
      <c r="P298" s="76"/>
      <c r="Q298" s="76"/>
      <c r="R298" s="76"/>
      <c r="S298" s="81"/>
      <c r="T298" s="81"/>
      <c r="U298" s="50">
        <v>1</v>
      </c>
      <c r="V298" s="81"/>
      <c r="W298" s="81"/>
      <c r="X298" s="82">
        <v>45690</v>
      </c>
      <c r="Y298" s="76">
        <v>18.100000000000001</v>
      </c>
      <c r="Z298" s="76">
        <v>13.7</v>
      </c>
      <c r="AA298" s="76"/>
      <c r="AB298" s="49" t="s">
        <v>111</v>
      </c>
      <c r="AC298" s="76"/>
      <c r="AD298" s="76"/>
      <c r="AE298" s="76">
        <v>3</v>
      </c>
      <c r="AF298" s="75"/>
      <c r="AG298" s="75"/>
    </row>
    <row r="299" spans="1:33" ht="14.25" customHeight="1" x14ac:dyDescent="0.3">
      <c r="A299" s="100" t="s">
        <v>23</v>
      </c>
      <c r="B299" s="121" t="s">
        <v>486</v>
      </c>
      <c r="C299" s="47">
        <v>2372</v>
      </c>
      <c r="D299" s="54">
        <v>8851</v>
      </c>
      <c r="E299" s="47">
        <v>1</v>
      </c>
      <c r="F299" s="47">
        <v>0</v>
      </c>
      <c r="G299" s="47">
        <v>0</v>
      </c>
      <c r="H299" s="100" t="s">
        <v>128</v>
      </c>
      <c r="I299" s="67" t="s">
        <v>385</v>
      </c>
      <c r="J299" s="67" t="s">
        <v>386</v>
      </c>
      <c r="K299" s="47">
        <v>1</v>
      </c>
      <c r="L299" s="122">
        <v>39406</v>
      </c>
      <c r="M299" s="123">
        <v>10.9</v>
      </c>
      <c r="N299" s="122">
        <v>40661</v>
      </c>
      <c r="O299" s="124">
        <v>10.9</v>
      </c>
      <c r="P299" s="47">
        <v>17.8</v>
      </c>
      <c r="Q299" s="47"/>
      <c r="R299" s="47"/>
      <c r="S299" s="100"/>
      <c r="T299" s="100"/>
      <c r="U299" s="100">
        <v>1</v>
      </c>
      <c r="V299" s="100"/>
      <c r="W299" s="100"/>
      <c r="X299" s="104">
        <v>45690</v>
      </c>
      <c r="Y299" s="100">
        <v>10.9</v>
      </c>
      <c r="Z299" s="100">
        <v>16.8</v>
      </c>
      <c r="AA299" s="100"/>
      <c r="AB299" s="47" t="s">
        <v>111</v>
      </c>
      <c r="AC299" s="100"/>
      <c r="AD299" s="100"/>
      <c r="AE299" s="100"/>
      <c r="AF299" s="71"/>
      <c r="AG299" s="71"/>
    </row>
    <row r="300" spans="1:33" ht="14.25" customHeight="1" x14ac:dyDescent="0.3">
      <c r="A300" s="100" t="s">
        <v>23</v>
      </c>
      <c r="B300" s="121" t="s">
        <v>486</v>
      </c>
      <c r="C300" s="47">
        <v>2373</v>
      </c>
      <c r="D300" s="54">
        <v>8852</v>
      </c>
      <c r="E300" s="47">
        <v>1</v>
      </c>
      <c r="F300" s="47">
        <v>0</v>
      </c>
      <c r="G300" s="47">
        <v>0</v>
      </c>
      <c r="H300" s="100" t="s">
        <v>25</v>
      </c>
      <c r="I300" s="67" t="s">
        <v>26</v>
      </c>
      <c r="J300" s="67" t="s">
        <v>44</v>
      </c>
      <c r="K300" s="47">
        <v>1</v>
      </c>
      <c r="L300" s="122">
        <v>39406</v>
      </c>
      <c r="M300" s="123">
        <v>26.58</v>
      </c>
      <c r="N300" s="122">
        <v>40661</v>
      </c>
      <c r="O300" s="124">
        <v>27.11</v>
      </c>
      <c r="P300" s="47">
        <v>25.2</v>
      </c>
      <c r="Q300" s="47"/>
      <c r="R300" s="47">
        <v>3281</v>
      </c>
      <c r="S300" s="100"/>
      <c r="T300" s="100"/>
      <c r="U300" s="100">
        <v>1</v>
      </c>
      <c r="V300" s="100"/>
      <c r="W300" s="100"/>
      <c r="X300" s="104">
        <v>45690</v>
      </c>
      <c r="Y300" s="100">
        <v>29.1</v>
      </c>
      <c r="Z300" s="100">
        <v>23.5</v>
      </c>
      <c r="AA300" s="100"/>
      <c r="AB300" s="47" t="s">
        <v>83</v>
      </c>
      <c r="AC300" s="100"/>
      <c r="AD300" s="100"/>
      <c r="AE300" s="100"/>
      <c r="AF300" s="71" t="s">
        <v>585</v>
      </c>
      <c r="AG300" s="71"/>
    </row>
    <row r="301" spans="1:33" ht="14.25" customHeight="1" x14ac:dyDescent="0.3">
      <c r="A301" s="100" t="s">
        <v>23</v>
      </c>
      <c r="B301" s="121" t="s">
        <v>486</v>
      </c>
      <c r="C301" s="47">
        <v>2374</v>
      </c>
      <c r="D301" s="54">
        <v>8853</v>
      </c>
      <c r="E301" s="47">
        <v>1</v>
      </c>
      <c r="F301" s="47">
        <v>0</v>
      </c>
      <c r="G301" s="47">
        <v>0</v>
      </c>
      <c r="H301" s="100" t="s">
        <v>196</v>
      </c>
      <c r="I301" s="67" t="s">
        <v>394</v>
      </c>
      <c r="J301" s="67"/>
      <c r="K301" s="47">
        <v>1</v>
      </c>
      <c r="L301" s="122">
        <v>39406</v>
      </c>
      <c r="M301" s="123">
        <v>12.01</v>
      </c>
      <c r="N301" s="122">
        <v>40661</v>
      </c>
      <c r="O301" s="124">
        <v>12.19</v>
      </c>
      <c r="P301" s="47">
        <v>12.2</v>
      </c>
      <c r="Q301" s="47"/>
      <c r="R301" s="47">
        <v>3266</v>
      </c>
      <c r="S301" s="100">
        <v>1</v>
      </c>
      <c r="T301" s="100">
        <v>1</v>
      </c>
      <c r="U301" s="100">
        <v>1</v>
      </c>
      <c r="V301" s="100"/>
      <c r="W301" s="100"/>
      <c r="X301" s="104">
        <v>45690</v>
      </c>
      <c r="Y301" s="100">
        <v>13.4</v>
      </c>
      <c r="Z301" s="100">
        <v>15</v>
      </c>
      <c r="AA301" s="100"/>
      <c r="AB301" s="47" t="s">
        <v>83</v>
      </c>
      <c r="AC301" s="100"/>
      <c r="AD301" s="100"/>
      <c r="AE301" s="100"/>
      <c r="AF301" s="71" t="s">
        <v>586</v>
      </c>
      <c r="AG301" s="71"/>
    </row>
    <row r="302" spans="1:33" ht="14.25" customHeight="1" x14ac:dyDescent="0.3">
      <c r="A302" s="100" t="s">
        <v>23</v>
      </c>
      <c r="B302" s="121" t="s">
        <v>486</v>
      </c>
      <c r="C302" s="47">
        <v>2375</v>
      </c>
      <c r="D302" s="54">
        <v>8854</v>
      </c>
      <c r="E302" s="47">
        <v>1</v>
      </c>
      <c r="F302" s="47">
        <v>0</v>
      </c>
      <c r="G302" s="47" t="s">
        <v>695</v>
      </c>
      <c r="H302" s="100" t="s">
        <v>149</v>
      </c>
      <c r="I302" s="67" t="s">
        <v>381</v>
      </c>
      <c r="J302" s="67" t="s">
        <v>493</v>
      </c>
      <c r="K302" s="47">
        <v>1</v>
      </c>
      <c r="L302" s="122">
        <v>39406</v>
      </c>
      <c r="M302" s="123">
        <v>19.8</v>
      </c>
      <c r="N302" s="122">
        <v>40661</v>
      </c>
      <c r="O302" s="124">
        <v>20.350000000000001</v>
      </c>
      <c r="P302" s="47">
        <v>19.8</v>
      </c>
      <c r="Q302" s="47"/>
      <c r="R302" s="47">
        <v>3268</v>
      </c>
      <c r="S302" s="100">
        <v>1</v>
      </c>
      <c r="T302" s="100">
        <v>1</v>
      </c>
      <c r="U302" s="100">
        <v>1</v>
      </c>
      <c r="V302" s="100"/>
      <c r="W302" s="100"/>
      <c r="X302" s="104">
        <v>45690</v>
      </c>
      <c r="Y302" s="100">
        <v>12</v>
      </c>
      <c r="Z302" s="100">
        <v>18</v>
      </c>
      <c r="AA302" s="100"/>
      <c r="AB302" s="47" t="s">
        <v>83</v>
      </c>
      <c r="AC302" s="100"/>
      <c r="AD302" s="100"/>
      <c r="AE302" s="100"/>
      <c r="AF302" s="71"/>
      <c r="AG302" s="71"/>
    </row>
    <row r="303" spans="1:33" ht="14.25" customHeight="1" x14ac:dyDescent="0.3">
      <c r="A303" s="100" t="s">
        <v>23</v>
      </c>
      <c r="B303" s="121" t="s">
        <v>486</v>
      </c>
      <c r="C303" s="47">
        <v>2376</v>
      </c>
      <c r="D303" s="54">
        <v>8855</v>
      </c>
      <c r="E303" s="47">
        <v>1</v>
      </c>
      <c r="F303" s="47">
        <v>0</v>
      </c>
      <c r="G303" s="47">
        <v>0</v>
      </c>
      <c r="H303" s="100" t="s">
        <v>283</v>
      </c>
      <c r="I303" s="67" t="s">
        <v>293</v>
      </c>
      <c r="J303" s="67"/>
      <c r="K303" s="47">
        <v>1</v>
      </c>
      <c r="L303" s="122">
        <v>39406</v>
      </c>
      <c r="M303" s="123">
        <v>10.72</v>
      </c>
      <c r="N303" s="122">
        <v>40661</v>
      </c>
      <c r="O303" s="124">
        <v>10.75</v>
      </c>
      <c r="P303" s="47">
        <v>15.8</v>
      </c>
      <c r="Q303" s="47" t="s">
        <v>240</v>
      </c>
      <c r="R303" s="105" t="s">
        <v>494</v>
      </c>
      <c r="S303" s="100">
        <v>1</v>
      </c>
      <c r="T303" s="100">
        <v>1</v>
      </c>
      <c r="U303" s="100">
        <v>1</v>
      </c>
      <c r="V303" s="100"/>
      <c r="W303" s="100"/>
      <c r="X303" s="104">
        <v>45690</v>
      </c>
      <c r="Y303" s="100">
        <v>11.48</v>
      </c>
      <c r="Z303" s="100">
        <v>10</v>
      </c>
      <c r="AA303" s="100"/>
      <c r="AB303" s="47" t="s">
        <v>83</v>
      </c>
      <c r="AC303" s="100"/>
      <c r="AD303" s="100"/>
      <c r="AE303" s="100"/>
      <c r="AF303" s="71"/>
      <c r="AG303" s="71"/>
    </row>
    <row r="304" spans="1:33" ht="14.25" customHeight="1" x14ac:dyDescent="0.3">
      <c r="A304" s="100" t="s">
        <v>23</v>
      </c>
      <c r="B304" s="121" t="s">
        <v>486</v>
      </c>
      <c r="C304" s="47">
        <v>2377</v>
      </c>
      <c r="D304" s="54">
        <v>8856</v>
      </c>
      <c r="E304" s="47">
        <v>1</v>
      </c>
      <c r="F304" s="47">
        <v>0</v>
      </c>
      <c r="G304" s="47">
        <v>0</v>
      </c>
      <c r="H304" s="100" t="s">
        <v>35</v>
      </c>
      <c r="I304" s="100" t="s">
        <v>36</v>
      </c>
      <c r="J304" s="67" t="s">
        <v>37</v>
      </c>
      <c r="K304" s="47">
        <v>1</v>
      </c>
      <c r="L304" s="122">
        <v>39406</v>
      </c>
      <c r="M304" s="123">
        <v>20.46</v>
      </c>
      <c r="N304" s="122">
        <v>40661</v>
      </c>
      <c r="O304" s="124">
        <v>21.45</v>
      </c>
      <c r="P304" s="47">
        <v>20.9</v>
      </c>
      <c r="Q304" s="47"/>
      <c r="R304" s="47">
        <v>3272</v>
      </c>
      <c r="S304" s="100"/>
      <c r="T304" s="100"/>
      <c r="U304" s="100">
        <v>1</v>
      </c>
      <c r="V304" s="100"/>
      <c r="W304" s="100"/>
      <c r="X304" s="104">
        <v>45690</v>
      </c>
      <c r="Y304" s="100">
        <v>25.1</v>
      </c>
      <c r="Z304" s="100">
        <v>18</v>
      </c>
      <c r="AA304" s="100"/>
      <c r="AB304" s="47" t="s">
        <v>83</v>
      </c>
      <c r="AC304" s="100"/>
      <c r="AD304" s="100"/>
      <c r="AE304" s="100"/>
      <c r="AF304" s="71"/>
      <c r="AG304" s="71"/>
    </row>
    <row r="305" spans="1:33" ht="14.25" customHeight="1" x14ac:dyDescent="0.3">
      <c r="A305" s="100" t="s">
        <v>23</v>
      </c>
      <c r="B305" s="121" t="s">
        <v>486</v>
      </c>
      <c r="C305" s="47">
        <v>2378</v>
      </c>
      <c r="D305" s="54">
        <v>8857</v>
      </c>
      <c r="E305" s="47">
        <v>1</v>
      </c>
      <c r="F305" s="47">
        <v>0</v>
      </c>
      <c r="G305" s="47">
        <v>0</v>
      </c>
      <c r="H305" s="100" t="s">
        <v>495</v>
      </c>
      <c r="I305" s="100" t="s">
        <v>107</v>
      </c>
      <c r="J305" s="67"/>
      <c r="K305" s="47">
        <v>1</v>
      </c>
      <c r="L305" s="122">
        <v>39406</v>
      </c>
      <c r="M305" s="123">
        <v>85.7</v>
      </c>
      <c r="N305" s="122">
        <v>40661</v>
      </c>
      <c r="O305" s="124">
        <f>272/3.141592654</f>
        <v>86.580289030686018</v>
      </c>
      <c r="P305" s="47">
        <v>27.3</v>
      </c>
      <c r="Q305" s="47"/>
      <c r="R305" s="47"/>
      <c r="S305" s="100"/>
      <c r="T305" s="100"/>
      <c r="U305" s="100">
        <v>1</v>
      </c>
      <c r="V305" s="100"/>
      <c r="W305" s="100"/>
      <c r="X305" s="104">
        <v>45690</v>
      </c>
      <c r="Y305" s="100">
        <v>88.8</v>
      </c>
      <c r="Z305" s="100">
        <v>3</v>
      </c>
      <c r="AA305" s="100"/>
      <c r="AB305" s="47" t="s">
        <v>83</v>
      </c>
      <c r="AC305" s="100"/>
      <c r="AD305" s="100"/>
      <c r="AE305" s="100"/>
      <c r="AF305" s="71" t="s">
        <v>587</v>
      </c>
      <c r="AG305" s="71" t="s">
        <v>496</v>
      </c>
    </row>
    <row r="306" spans="1:33" ht="14.25" customHeight="1" x14ac:dyDescent="0.3">
      <c r="A306" s="100" t="s">
        <v>23</v>
      </c>
      <c r="B306" s="121" t="s">
        <v>486</v>
      </c>
      <c r="C306" s="47">
        <v>2379</v>
      </c>
      <c r="D306" s="54">
        <v>8858</v>
      </c>
      <c r="E306" s="47">
        <v>1</v>
      </c>
      <c r="F306" s="47">
        <v>0</v>
      </c>
      <c r="G306" s="47">
        <v>0</v>
      </c>
      <c r="H306" s="100" t="s">
        <v>29</v>
      </c>
      <c r="I306" s="67" t="s">
        <v>30</v>
      </c>
      <c r="J306" s="67" t="s">
        <v>351</v>
      </c>
      <c r="K306" s="47">
        <v>1</v>
      </c>
      <c r="L306" s="122">
        <v>39406</v>
      </c>
      <c r="M306" s="123">
        <v>21.58</v>
      </c>
      <c r="N306" s="122">
        <v>40661</v>
      </c>
      <c r="O306" s="124">
        <v>21.77</v>
      </c>
      <c r="P306" s="47">
        <v>23.7</v>
      </c>
      <c r="Q306" s="47"/>
      <c r="R306" s="47">
        <v>3282</v>
      </c>
      <c r="S306" s="100">
        <v>1</v>
      </c>
      <c r="T306" s="100"/>
      <c r="U306" s="100">
        <v>1</v>
      </c>
      <c r="V306" s="100"/>
      <c r="W306" s="100"/>
      <c r="X306" s="104">
        <v>45690</v>
      </c>
      <c r="Y306" s="100">
        <v>23.8</v>
      </c>
      <c r="Z306" s="100">
        <v>25.6</v>
      </c>
      <c r="AA306" s="100"/>
      <c r="AB306" s="47" t="s">
        <v>83</v>
      </c>
      <c r="AC306" s="100"/>
      <c r="AD306" s="100"/>
      <c r="AE306" s="100"/>
      <c r="AF306" s="71"/>
      <c r="AG306" s="71"/>
    </row>
    <row r="307" spans="1:33" ht="14.25" customHeight="1" x14ac:dyDescent="0.3">
      <c r="A307" s="100" t="s">
        <v>23</v>
      </c>
      <c r="B307" s="121" t="s">
        <v>486</v>
      </c>
      <c r="C307" s="47">
        <v>2382</v>
      </c>
      <c r="D307" s="54">
        <v>8859</v>
      </c>
      <c r="E307" s="47">
        <v>1</v>
      </c>
      <c r="F307" s="47">
        <v>0</v>
      </c>
      <c r="G307" s="47">
        <v>0</v>
      </c>
      <c r="H307" s="100" t="s">
        <v>149</v>
      </c>
      <c r="I307" s="67" t="s">
        <v>228</v>
      </c>
      <c r="J307" s="67" t="s">
        <v>299</v>
      </c>
      <c r="K307" s="47">
        <v>1</v>
      </c>
      <c r="L307" s="122">
        <v>39406</v>
      </c>
      <c r="M307" s="123">
        <v>27.28</v>
      </c>
      <c r="N307" s="122">
        <v>40661</v>
      </c>
      <c r="O307" s="124">
        <v>27.41</v>
      </c>
      <c r="P307" s="47">
        <v>20.399999999999999</v>
      </c>
      <c r="Q307" s="47"/>
      <c r="R307" s="47">
        <v>3264</v>
      </c>
      <c r="S307" s="100">
        <v>1</v>
      </c>
      <c r="T307" s="100">
        <v>1</v>
      </c>
      <c r="U307" s="100">
        <v>1</v>
      </c>
      <c r="V307" s="100"/>
      <c r="W307" s="100"/>
      <c r="X307" s="104">
        <v>45690</v>
      </c>
      <c r="Y307" s="100">
        <v>28.04</v>
      </c>
      <c r="Z307" s="100">
        <v>24.02</v>
      </c>
      <c r="AA307" s="100"/>
      <c r="AB307" s="47" t="s">
        <v>83</v>
      </c>
      <c r="AC307" s="100"/>
      <c r="AD307" s="100"/>
      <c r="AE307" s="100"/>
      <c r="AF307" s="71" t="s">
        <v>588</v>
      </c>
      <c r="AG307" s="71"/>
    </row>
    <row r="308" spans="1:33" ht="14.25" customHeight="1" x14ac:dyDescent="0.3">
      <c r="A308" s="100" t="s">
        <v>23</v>
      </c>
      <c r="B308" s="121" t="s">
        <v>486</v>
      </c>
      <c r="C308" s="47">
        <v>2384</v>
      </c>
      <c r="D308" s="54">
        <v>8860</v>
      </c>
      <c r="E308" s="47">
        <v>1</v>
      </c>
      <c r="F308" s="47">
        <v>0</v>
      </c>
      <c r="G308" s="47">
        <v>0</v>
      </c>
      <c r="H308" s="100" t="s">
        <v>39</v>
      </c>
      <c r="I308" s="67" t="s">
        <v>653</v>
      </c>
      <c r="J308" s="67" t="s">
        <v>498</v>
      </c>
      <c r="K308" s="47">
        <v>1</v>
      </c>
      <c r="L308" s="122">
        <v>39406</v>
      </c>
      <c r="M308" s="123">
        <v>11.62</v>
      </c>
      <c r="N308" s="122">
        <v>40661</v>
      </c>
      <c r="O308" s="124">
        <v>12.19</v>
      </c>
      <c r="P308" s="47">
        <v>12.9</v>
      </c>
      <c r="Q308" s="47"/>
      <c r="R308" s="105" t="s">
        <v>499</v>
      </c>
      <c r="S308" s="100"/>
      <c r="T308" s="100"/>
      <c r="U308" s="100">
        <v>1</v>
      </c>
      <c r="V308" s="100"/>
      <c r="W308" s="100"/>
      <c r="X308" s="104">
        <v>45690</v>
      </c>
      <c r="Y308" s="100">
        <v>14.9</v>
      </c>
      <c r="Z308" s="100">
        <v>14</v>
      </c>
      <c r="AA308" s="100"/>
      <c r="AB308" s="47" t="s">
        <v>83</v>
      </c>
      <c r="AC308" s="100"/>
      <c r="AD308" s="100"/>
      <c r="AE308" s="100"/>
      <c r="AF308" s="71" t="s">
        <v>589</v>
      </c>
      <c r="AG308" s="71"/>
    </row>
    <row r="309" spans="1:33" s="62" customFormat="1" ht="14.25" customHeight="1" x14ac:dyDescent="0.25">
      <c r="A309" s="100" t="s">
        <v>23</v>
      </c>
      <c r="B309" s="121" t="s">
        <v>486</v>
      </c>
      <c r="C309" s="100"/>
      <c r="D309" s="69">
        <v>8861</v>
      </c>
      <c r="E309" s="100"/>
      <c r="F309" s="100"/>
      <c r="G309" s="100"/>
      <c r="H309" s="67" t="s">
        <v>311</v>
      </c>
      <c r="I309" s="67" t="s">
        <v>312</v>
      </c>
      <c r="J309" s="67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>
        <v>1</v>
      </c>
      <c r="V309" s="100"/>
      <c r="W309" s="100"/>
      <c r="X309" s="104">
        <v>45690</v>
      </c>
      <c r="Y309" s="100">
        <v>12.8</v>
      </c>
      <c r="Z309" s="100">
        <v>11.4</v>
      </c>
      <c r="AA309" s="100">
        <v>1</v>
      </c>
      <c r="AB309" s="47" t="s">
        <v>83</v>
      </c>
      <c r="AC309" s="100"/>
      <c r="AD309" s="100"/>
      <c r="AE309" s="100"/>
      <c r="AF309" s="71"/>
      <c r="AG309" s="71"/>
    </row>
    <row r="310" spans="1:33" ht="14.25" customHeight="1" x14ac:dyDescent="0.3">
      <c r="A310" s="100" t="s">
        <v>23</v>
      </c>
      <c r="B310" s="121" t="s">
        <v>486</v>
      </c>
      <c r="C310" s="100"/>
      <c r="D310" s="54">
        <v>8862</v>
      </c>
      <c r="E310" s="100"/>
      <c r="F310" s="100"/>
      <c r="G310" s="100"/>
      <c r="H310" s="67" t="s">
        <v>25</v>
      </c>
      <c r="I310" s="67" t="s">
        <v>565</v>
      </c>
      <c r="J310" s="67" t="s">
        <v>566</v>
      </c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>
        <v>1</v>
      </c>
      <c r="V310" s="100"/>
      <c r="W310" s="100"/>
      <c r="X310" s="104">
        <v>45690</v>
      </c>
      <c r="Y310" s="100">
        <v>12.65</v>
      </c>
      <c r="Z310" s="100">
        <v>11</v>
      </c>
      <c r="AA310" s="100"/>
      <c r="AB310" s="47" t="s">
        <v>83</v>
      </c>
      <c r="AC310" s="100"/>
      <c r="AD310" s="100"/>
      <c r="AE310" s="100"/>
      <c r="AF310" s="71"/>
      <c r="AG310" s="71"/>
    </row>
    <row r="311" spans="1:33" ht="14.25" customHeight="1" x14ac:dyDescent="0.3">
      <c r="A311" s="100" t="s">
        <v>23</v>
      </c>
      <c r="B311" s="121" t="s">
        <v>486</v>
      </c>
      <c r="C311" s="47">
        <v>2380</v>
      </c>
      <c r="D311" s="54">
        <v>8863</v>
      </c>
      <c r="E311" s="47">
        <v>1</v>
      </c>
      <c r="F311" s="47">
        <v>0</v>
      </c>
      <c r="G311" s="47">
        <v>0</v>
      </c>
      <c r="H311" s="100" t="s">
        <v>51</v>
      </c>
      <c r="I311" s="67" t="s">
        <v>497</v>
      </c>
      <c r="J311" s="67"/>
      <c r="K311" s="47">
        <v>1</v>
      </c>
      <c r="L311" s="122">
        <v>39406</v>
      </c>
      <c r="M311" s="123">
        <v>10.93</v>
      </c>
      <c r="N311" s="122">
        <v>40661</v>
      </c>
      <c r="O311" s="124">
        <v>11.18</v>
      </c>
      <c r="P311" s="47">
        <v>15.3</v>
      </c>
      <c r="Q311" s="47"/>
      <c r="R311" s="47">
        <v>3273</v>
      </c>
      <c r="S311" s="100">
        <v>1</v>
      </c>
      <c r="T311" s="100"/>
      <c r="U311" s="100">
        <v>1</v>
      </c>
      <c r="V311" s="100"/>
      <c r="W311" s="100"/>
      <c r="X311" s="104">
        <v>45690</v>
      </c>
      <c r="Y311" s="100">
        <v>12.1</v>
      </c>
      <c r="Z311" s="100">
        <v>12</v>
      </c>
      <c r="AA311" s="100"/>
      <c r="AB311" s="47" t="s">
        <v>83</v>
      </c>
      <c r="AC311" s="100"/>
      <c r="AD311" s="100"/>
      <c r="AE311" s="100"/>
      <c r="AF311" s="71" t="s">
        <v>590</v>
      </c>
      <c r="AG311" s="71"/>
    </row>
    <row r="312" spans="1:33" s="59" customFormat="1" ht="14.25" customHeight="1" x14ac:dyDescent="0.3">
      <c r="A312" s="81" t="s">
        <v>23</v>
      </c>
      <c r="B312" s="134" t="s">
        <v>486</v>
      </c>
      <c r="C312" s="81"/>
      <c r="D312" s="69">
        <v>8864</v>
      </c>
      <c r="E312" s="81"/>
      <c r="F312" s="81"/>
      <c r="G312" s="81"/>
      <c r="H312" s="70" t="s">
        <v>149</v>
      </c>
      <c r="I312" s="70" t="s">
        <v>430</v>
      </c>
      <c r="J312" s="70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>
        <v>1</v>
      </c>
      <c r="V312" s="81"/>
      <c r="W312" s="81"/>
      <c r="X312" s="115">
        <v>45690</v>
      </c>
      <c r="Y312" s="81">
        <v>13.3</v>
      </c>
      <c r="Z312" s="81">
        <v>12.7</v>
      </c>
      <c r="AA312" s="81">
        <v>1</v>
      </c>
      <c r="AB312" s="50" t="s">
        <v>83</v>
      </c>
      <c r="AC312" s="81"/>
      <c r="AD312" s="81"/>
      <c r="AE312" s="81">
        <v>3</v>
      </c>
      <c r="AF312" s="159"/>
      <c r="AG312" s="159"/>
    </row>
    <row r="313" spans="1:33" ht="14.25" customHeight="1" x14ac:dyDescent="0.3">
      <c r="A313" s="100" t="s">
        <v>23</v>
      </c>
      <c r="B313" s="121" t="s">
        <v>486</v>
      </c>
      <c r="C313" s="47">
        <v>2363</v>
      </c>
      <c r="D313" s="54"/>
      <c r="E313" s="47">
        <v>1</v>
      </c>
      <c r="F313" s="47">
        <v>0</v>
      </c>
      <c r="G313" s="47">
        <v>1</v>
      </c>
      <c r="H313" s="100" t="s">
        <v>135</v>
      </c>
      <c r="I313" s="67"/>
      <c r="J313" s="67"/>
      <c r="K313" s="47">
        <v>1</v>
      </c>
      <c r="L313" s="122">
        <v>39406</v>
      </c>
      <c r="M313" s="123">
        <v>11.95</v>
      </c>
      <c r="N313" s="122">
        <v>40661</v>
      </c>
      <c r="O313" s="124"/>
      <c r="P313" s="47"/>
      <c r="Q313" s="47" t="s">
        <v>117</v>
      </c>
      <c r="R313" s="47"/>
      <c r="S313" s="100"/>
      <c r="T313" s="100"/>
      <c r="U313" s="100"/>
      <c r="V313" s="100"/>
      <c r="W313" s="100"/>
      <c r="X313" s="100"/>
      <c r="Y313" s="100"/>
      <c r="Z313" s="100"/>
      <c r="AA313" s="100"/>
      <c r="AB313" s="47"/>
      <c r="AC313" s="100"/>
      <c r="AD313" s="100"/>
      <c r="AE313" s="100"/>
      <c r="AF313" s="71"/>
      <c r="AG313" s="71"/>
    </row>
    <row r="314" spans="1:33" ht="14.25" customHeight="1" x14ac:dyDescent="0.3">
      <c r="A314" s="100" t="s">
        <v>23</v>
      </c>
      <c r="B314" s="121" t="s">
        <v>486</v>
      </c>
      <c r="C314" s="47">
        <v>2365</v>
      </c>
      <c r="D314" s="54"/>
      <c r="E314" s="47">
        <v>1</v>
      </c>
      <c r="F314" s="47">
        <v>0</v>
      </c>
      <c r="G314" s="47">
        <v>0</v>
      </c>
      <c r="H314" s="100" t="s">
        <v>39</v>
      </c>
      <c r="I314" s="67" t="s">
        <v>488</v>
      </c>
      <c r="J314" s="67" t="s">
        <v>489</v>
      </c>
      <c r="K314" s="47">
        <v>1</v>
      </c>
      <c r="L314" s="122">
        <v>39406</v>
      </c>
      <c r="M314" s="123">
        <v>18.170000000000002</v>
      </c>
      <c r="N314" s="122">
        <v>40661</v>
      </c>
      <c r="O314" s="124">
        <v>18.3</v>
      </c>
      <c r="P314" s="47">
        <v>10.6</v>
      </c>
      <c r="Q314" s="47"/>
      <c r="R314" s="47">
        <v>3274</v>
      </c>
      <c r="S314" s="100"/>
      <c r="T314" s="100"/>
      <c r="U314" s="100"/>
      <c r="V314" s="100"/>
      <c r="W314" s="100"/>
      <c r="X314" s="100"/>
      <c r="Y314" s="100"/>
      <c r="Z314" s="100"/>
      <c r="AA314" s="100"/>
      <c r="AB314" s="47"/>
      <c r="AC314" s="100"/>
      <c r="AD314" s="100"/>
      <c r="AE314" s="100"/>
      <c r="AF314" s="71"/>
      <c r="AG314" s="71"/>
    </row>
    <row r="315" spans="1:33" ht="14.25" customHeight="1" x14ac:dyDescent="0.3">
      <c r="A315" s="100" t="s">
        <v>23</v>
      </c>
      <c r="B315" s="121" t="s">
        <v>486</v>
      </c>
      <c r="C315" s="47">
        <v>2367</v>
      </c>
      <c r="D315" s="54"/>
      <c r="E315" s="47">
        <v>1</v>
      </c>
      <c r="F315" s="47">
        <v>0</v>
      </c>
      <c r="G315" s="47">
        <v>0</v>
      </c>
      <c r="H315" s="100" t="s">
        <v>332</v>
      </c>
      <c r="I315" s="67" t="s">
        <v>479</v>
      </c>
      <c r="J315" s="67"/>
      <c r="K315" s="47">
        <v>1</v>
      </c>
      <c r="L315" s="122">
        <v>39406</v>
      </c>
      <c r="M315" s="123">
        <v>16.97</v>
      </c>
      <c r="N315" s="122">
        <v>40661</v>
      </c>
      <c r="O315" s="124">
        <v>18.07</v>
      </c>
      <c r="P315" s="47">
        <v>20.6</v>
      </c>
      <c r="Q315" s="47"/>
      <c r="R315" s="47">
        <v>3278</v>
      </c>
      <c r="S315" s="100"/>
      <c r="T315" s="100"/>
      <c r="U315" s="100"/>
      <c r="V315" s="100"/>
      <c r="W315" s="100"/>
      <c r="X315" s="100"/>
      <c r="Y315" s="100"/>
      <c r="Z315" s="100"/>
      <c r="AA315" s="100"/>
      <c r="AB315" s="47"/>
      <c r="AC315" s="100"/>
      <c r="AD315" s="100"/>
      <c r="AE315" s="100"/>
      <c r="AF315" s="71"/>
      <c r="AG315" s="71"/>
    </row>
    <row r="316" spans="1:33" ht="14.25" customHeight="1" x14ac:dyDescent="0.3">
      <c r="A316" s="100" t="s">
        <v>23</v>
      </c>
      <c r="B316" s="121" t="s">
        <v>486</v>
      </c>
      <c r="C316" s="47">
        <v>2383</v>
      </c>
      <c r="D316" s="54"/>
      <c r="E316" s="47">
        <v>1</v>
      </c>
      <c r="F316" s="47">
        <v>0</v>
      </c>
      <c r="G316" s="47">
        <v>0</v>
      </c>
      <c r="H316" s="100" t="s">
        <v>149</v>
      </c>
      <c r="I316" s="67" t="s">
        <v>150</v>
      </c>
      <c r="J316" s="67"/>
      <c r="K316" s="47">
        <v>1</v>
      </c>
      <c r="L316" s="122">
        <v>39406</v>
      </c>
      <c r="M316" s="123">
        <v>26</v>
      </c>
      <c r="N316" s="122">
        <v>40661</v>
      </c>
      <c r="O316" s="124">
        <v>26.7</v>
      </c>
      <c r="P316" s="47">
        <v>27.1</v>
      </c>
      <c r="Q316" s="47" t="s">
        <v>240</v>
      </c>
      <c r="R316" s="47">
        <v>3263</v>
      </c>
      <c r="S316" s="100"/>
      <c r="T316" s="100"/>
      <c r="U316" s="100"/>
      <c r="V316" s="100"/>
      <c r="W316" s="100"/>
      <c r="X316" s="100"/>
      <c r="Y316" s="100"/>
      <c r="Z316" s="100"/>
      <c r="AA316" s="100"/>
      <c r="AB316" s="47"/>
      <c r="AC316" s="100"/>
      <c r="AD316" s="100"/>
      <c r="AE316" s="100"/>
      <c r="AF316" s="71"/>
      <c r="AG316" s="71"/>
    </row>
    <row r="317" spans="1:33" ht="14.25" customHeight="1" x14ac:dyDescent="0.3">
      <c r="A317" s="100" t="s">
        <v>23</v>
      </c>
      <c r="B317" s="121" t="s">
        <v>486</v>
      </c>
      <c r="C317" s="47">
        <v>2386</v>
      </c>
      <c r="D317" s="54"/>
      <c r="E317" s="47">
        <v>1</v>
      </c>
      <c r="F317" s="47">
        <v>0</v>
      </c>
      <c r="G317" s="47">
        <v>0</v>
      </c>
      <c r="H317" s="100" t="s">
        <v>46</v>
      </c>
      <c r="I317" s="67" t="s">
        <v>174</v>
      </c>
      <c r="J317" s="67"/>
      <c r="K317" s="47">
        <v>1</v>
      </c>
      <c r="L317" s="122">
        <v>39406</v>
      </c>
      <c r="M317" s="123">
        <v>16.82</v>
      </c>
      <c r="N317" s="122">
        <v>40661</v>
      </c>
      <c r="O317" s="124">
        <v>17.97</v>
      </c>
      <c r="P317" s="47">
        <v>19.3</v>
      </c>
      <c r="Q317" s="47" t="s">
        <v>240</v>
      </c>
      <c r="R317" s="47">
        <v>3277</v>
      </c>
      <c r="S317" s="100"/>
      <c r="T317" s="100"/>
      <c r="U317" s="100"/>
      <c r="V317" s="100"/>
      <c r="W317" s="100"/>
      <c r="X317" s="100"/>
      <c r="Y317" s="100"/>
      <c r="Z317" s="100"/>
      <c r="AA317" s="100"/>
      <c r="AB317" s="47"/>
      <c r="AC317" s="100"/>
      <c r="AD317" s="100"/>
      <c r="AE317" s="100"/>
      <c r="AF317" s="71"/>
      <c r="AG317" s="71"/>
    </row>
    <row r="318" spans="1:33" ht="14.25" customHeight="1" x14ac:dyDescent="0.3">
      <c r="A318" s="100" t="s">
        <v>23</v>
      </c>
      <c r="B318" s="121" t="s">
        <v>486</v>
      </c>
      <c r="C318" s="47">
        <v>2392</v>
      </c>
      <c r="D318" s="54"/>
      <c r="E318" s="47">
        <v>1</v>
      </c>
      <c r="F318" s="47">
        <v>0</v>
      </c>
      <c r="G318" s="47">
        <v>0</v>
      </c>
      <c r="H318" s="100" t="s">
        <v>135</v>
      </c>
      <c r="I318" s="67"/>
      <c r="J318" s="67"/>
      <c r="K318" s="47">
        <v>1</v>
      </c>
      <c r="L318" s="122">
        <v>39406</v>
      </c>
      <c r="M318" s="123">
        <v>10.56</v>
      </c>
      <c r="N318" s="122">
        <v>40661</v>
      </c>
      <c r="O318" s="124">
        <v>10.58</v>
      </c>
      <c r="P318" s="47">
        <v>13.5</v>
      </c>
      <c r="Q318" s="47"/>
      <c r="R318" s="47"/>
      <c r="S318" s="100"/>
      <c r="T318" s="100"/>
      <c r="U318" s="100"/>
      <c r="V318" s="100"/>
      <c r="W318" s="100"/>
      <c r="X318" s="104"/>
      <c r="Y318" s="100"/>
      <c r="Z318" s="100"/>
      <c r="AA318" s="100"/>
      <c r="AB318" s="47"/>
      <c r="AC318" s="100"/>
      <c r="AD318" s="100"/>
      <c r="AE318" s="100"/>
      <c r="AF318" s="71"/>
      <c r="AG318" s="71"/>
    </row>
    <row r="319" spans="1:33" ht="14.25" customHeight="1" x14ac:dyDescent="0.3">
      <c r="A319" s="100" t="s">
        <v>23</v>
      </c>
      <c r="B319" s="121" t="s">
        <v>486</v>
      </c>
      <c r="C319" s="47">
        <v>2395</v>
      </c>
      <c r="D319" s="54"/>
      <c r="E319" s="47">
        <v>1</v>
      </c>
      <c r="F319" s="47">
        <v>0</v>
      </c>
      <c r="G319" s="47">
        <v>0</v>
      </c>
      <c r="H319" s="100" t="s">
        <v>112</v>
      </c>
      <c r="I319" s="67"/>
      <c r="J319" s="67"/>
      <c r="K319" s="47">
        <v>1</v>
      </c>
      <c r="L319" s="122">
        <v>39406</v>
      </c>
      <c r="M319" s="123">
        <v>11.98</v>
      </c>
      <c r="N319" s="122">
        <v>40661</v>
      </c>
      <c r="O319" s="124">
        <v>11.98</v>
      </c>
      <c r="P319" s="47">
        <v>12.4</v>
      </c>
      <c r="Q319" s="47" t="s">
        <v>240</v>
      </c>
      <c r="R319" s="105" t="s">
        <v>505</v>
      </c>
      <c r="S319" s="100"/>
      <c r="T319" s="100"/>
      <c r="U319" s="100"/>
      <c r="V319" s="100"/>
      <c r="W319" s="100"/>
      <c r="X319" s="100"/>
      <c r="Y319" s="100"/>
      <c r="Z319" s="100"/>
      <c r="AA319" s="100"/>
      <c r="AB319" s="47"/>
      <c r="AC319" s="100"/>
      <c r="AD319" s="100"/>
      <c r="AE319" s="100"/>
      <c r="AF319" s="71"/>
      <c r="AG319" s="71"/>
    </row>
    <row r="320" spans="1:33" ht="14.25" customHeight="1" x14ac:dyDescent="0.3">
      <c r="A320" s="100" t="s">
        <v>23</v>
      </c>
      <c r="B320" s="121" t="s">
        <v>486</v>
      </c>
      <c r="C320" s="47">
        <v>2396</v>
      </c>
      <c r="D320" s="54"/>
      <c r="E320" s="47">
        <v>1</v>
      </c>
      <c r="F320" s="47">
        <v>0</v>
      </c>
      <c r="G320" s="47">
        <v>0</v>
      </c>
      <c r="H320" s="100" t="s">
        <v>46</v>
      </c>
      <c r="I320" s="67" t="s">
        <v>174</v>
      </c>
      <c r="J320" s="67"/>
      <c r="K320" s="47">
        <v>1</v>
      </c>
      <c r="L320" s="122">
        <v>39406</v>
      </c>
      <c r="M320" s="123">
        <v>16.82</v>
      </c>
      <c r="N320" s="122">
        <v>40661</v>
      </c>
      <c r="O320" s="124">
        <f>61/3.141592654</f>
        <v>19.41690305467591</v>
      </c>
      <c r="P320" s="47">
        <v>21.2</v>
      </c>
      <c r="Q320" s="47"/>
      <c r="R320" s="105">
        <v>3276</v>
      </c>
      <c r="S320" s="100"/>
      <c r="T320" s="100"/>
      <c r="U320" s="100"/>
      <c r="V320" s="100"/>
      <c r="W320" s="100"/>
      <c r="X320" s="100"/>
      <c r="Y320" s="100"/>
      <c r="Z320" s="100"/>
      <c r="AA320" s="100"/>
      <c r="AB320" s="47"/>
      <c r="AC320" s="100"/>
      <c r="AD320" s="100"/>
      <c r="AE320" s="100"/>
      <c r="AF320" s="71"/>
      <c r="AG320" s="71"/>
    </row>
    <row r="321" spans="1:33" ht="14.25" customHeight="1" x14ac:dyDescent="0.3">
      <c r="A321" s="100" t="s">
        <v>23</v>
      </c>
      <c r="B321" s="121" t="s">
        <v>486</v>
      </c>
      <c r="C321" s="47">
        <v>2397</v>
      </c>
      <c r="D321" s="100"/>
      <c r="E321" s="47">
        <v>1</v>
      </c>
      <c r="F321" s="47">
        <v>0</v>
      </c>
      <c r="G321" s="47">
        <v>0</v>
      </c>
      <c r="H321" s="100" t="s">
        <v>25</v>
      </c>
      <c r="I321" s="67" t="s">
        <v>55</v>
      </c>
      <c r="J321" s="67" t="s">
        <v>56</v>
      </c>
      <c r="K321" s="47">
        <v>1</v>
      </c>
      <c r="L321" s="122">
        <v>39406</v>
      </c>
      <c r="M321" s="123">
        <v>10.88</v>
      </c>
      <c r="N321" s="122">
        <v>40661</v>
      </c>
      <c r="O321" s="124">
        <v>11.4</v>
      </c>
      <c r="P321" s="47">
        <v>12.2</v>
      </c>
      <c r="Q321" s="47"/>
      <c r="R321" s="105" t="s">
        <v>490</v>
      </c>
      <c r="S321" s="100"/>
      <c r="T321" s="100"/>
      <c r="U321" s="100"/>
      <c r="V321" s="100"/>
      <c r="W321" s="100"/>
      <c r="X321" s="100"/>
      <c r="Y321" s="100"/>
      <c r="Z321" s="100"/>
      <c r="AA321" s="100"/>
      <c r="AB321" s="47"/>
      <c r="AC321" s="100"/>
      <c r="AD321" s="100"/>
      <c r="AE321" s="100"/>
      <c r="AF321" s="71"/>
      <c r="AG321" s="71"/>
    </row>
    <row r="322" spans="1:33" ht="14.25" customHeight="1" x14ac:dyDescent="0.3">
      <c r="A322" s="100" t="s">
        <v>23</v>
      </c>
      <c r="B322" s="121" t="s">
        <v>486</v>
      </c>
      <c r="C322" s="47" t="s">
        <v>296</v>
      </c>
      <c r="D322" s="54"/>
      <c r="E322" s="47">
        <v>0</v>
      </c>
      <c r="F322" s="47">
        <v>1</v>
      </c>
      <c r="G322" s="47">
        <v>0</v>
      </c>
      <c r="H322" s="100" t="s">
        <v>135</v>
      </c>
      <c r="I322" s="67"/>
      <c r="J322" s="67"/>
      <c r="K322" s="47">
        <v>1</v>
      </c>
      <c r="L322" s="122">
        <v>39406</v>
      </c>
      <c r="M322" s="123"/>
      <c r="N322" s="122">
        <v>40661</v>
      </c>
      <c r="O322" s="124">
        <f>32/3.141592654</f>
        <v>10.185916356551298</v>
      </c>
      <c r="P322" s="47">
        <v>13.4</v>
      </c>
      <c r="Q322" s="47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47"/>
      <c r="AC322" s="100"/>
      <c r="AD322" s="100"/>
      <c r="AE322" s="100"/>
      <c r="AF322" s="71"/>
      <c r="AG322" s="71"/>
    </row>
    <row r="323" spans="1:33" ht="14.25" customHeight="1" x14ac:dyDescent="0.3">
      <c r="A323" s="100" t="s">
        <v>23</v>
      </c>
      <c r="B323" s="121" t="s">
        <v>486</v>
      </c>
      <c r="C323" s="47" t="s">
        <v>298</v>
      </c>
      <c r="D323" s="54"/>
      <c r="E323" s="47">
        <v>0</v>
      </c>
      <c r="F323" s="47">
        <v>1</v>
      </c>
      <c r="G323" s="47">
        <v>0</v>
      </c>
      <c r="H323" s="100" t="s">
        <v>135</v>
      </c>
      <c r="I323" s="67"/>
      <c r="J323" s="67"/>
      <c r="K323" s="47">
        <v>1</v>
      </c>
      <c r="L323" s="122">
        <v>39406</v>
      </c>
      <c r="M323" s="123"/>
      <c r="N323" s="122">
        <v>40661</v>
      </c>
      <c r="O323" s="124">
        <f>32/3.141592654</f>
        <v>10.185916356551298</v>
      </c>
      <c r="P323" s="47">
        <v>12.4</v>
      </c>
      <c r="Q323" s="47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47"/>
      <c r="AC323" s="100"/>
      <c r="AD323" s="100"/>
      <c r="AE323" s="100"/>
      <c r="AF323" s="71"/>
      <c r="AG323" s="71"/>
    </row>
    <row r="324" spans="1:33" ht="14.25" customHeight="1" x14ac:dyDescent="0.3">
      <c r="A324" s="100" t="s">
        <v>23</v>
      </c>
      <c r="B324" s="101" t="s">
        <v>508</v>
      </c>
      <c r="C324" s="47">
        <v>2400</v>
      </c>
      <c r="D324" s="100"/>
      <c r="E324" s="47">
        <v>1</v>
      </c>
      <c r="F324" s="100"/>
      <c r="G324" s="100"/>
      <c r="H324" s="100" t="s">
        <v>77</v>
      </c>
      <c r="I324" s="100" t="s">
        <v>78</v>
      </c>
      <c r="J324" s="100" t="s">
        <v>509</v>
      </c>
      <c r="K324" s="47">
        <v>0</v>
      </c>
      <c r="L324" s="102">
        <v>39171</v>
      </c>
      <c r="M324" s="100">
        <v>69.5</v>
      </c>
      <c r="N324" s="100"/>
      <c r="O324" s="100"/>
      <c r="P324" s="100"/>
      <c r="Q324" s="100" t="s">
        <v>510</v>
      </c>
      <c r="R324" s="103" t="s">
        <v>511</v>
      </c>
      <c r="S324" s="100"/>
      <c r="T324" s="100"/>
      <c r="U324" s="100"/>
      <c r="V324" s="100"/>
      <c r="W324" s="100"/>
      <c r="X324" s="100"/>
      <c r="Y324" s="100"/>
      <c r="Z324" s="100"/>
      <c r="AA324" s="100"/>
      <c r="AB324" s="47"/>
      <c r="AC324" s="100"/>
      <c r="AD324" s="100"/>
      <c r="AE324" s="100"/>
      <c r="AF324" s="71"/>
      <c r="AG324" s="71"/>
    </row>
    <row r="325" spans="1:33" ht="14.25" customHeight="1" x14ac:dyDescent="0.3">
      <c r="A325" s="100" t="s">
        <v>23</v>
      </c>
      <c r="B325" s="101" t="s">
        <v>508</v>
      </c>
      <c r="C325" s="47">
        <v>2401</v>
      </c>
      <c r="D325" s="100"/>
      <c r="E325" s="47">
        <v>1</v>
      </c>
      <c r="F325" s="100"/>
      <c r="G325" s="100"/>
      <c r="H325" s="100" t="s">
        <v>29</v>
      </c>
      <c r="I325" s="100" t="s">
        <v>30</v>
      </c>
      <c r="J325" s="100" t="s">
        <v>512</v>
      </c>
      <c r="K325" s="47">
        <v>0</v>
      </c>
      <c r="L325" s="102">
        <v>39171</v>
      </c>
      <c r="M325" s="100">
        <v>32</v>
      </c>
      <c r="N325" s="100"/>
      <c r="O325" s="100"/>
      <c r="P325" s="100"/>
      <c r="Q325" s="100" t="s">
        <v>513</v>
      </c>
      <c r="R325" s="103" t="s">
        <v>514</v>
      </c>
      <c r="S325" s="100"/>
      <c r="T325" s="100"/>
      <c r="U325" s="100"/>
      <c r="V325" s="100"/>
      <c r="W325" s="100"/>
      <c r="X325" s="100"/>
      <c r="Y325" s="100"/>
      <c r="Z325" s="100"/>
      <c r="AA325" s="100"/>
      <c r="AB325" s="47"/>
      <c r="AC325" s="100"/>
      <c r="AD325" s="100"/>
      <c r="AE325" s="100"/>
      <c r="AF325" s="71"/>
      <c r="AG325" s="71"/>
    </row>
    <row r="326" spans="1:33" ht="18.75" customHeight="1" x14ac:dyDescent="0.3">
      <c r="A326" s="100" t="s">
        <v>23</v>
      </c>
      <c r="B326" s="101" t="s">
        <v>508</v>
      </c>
      <c r="C326" s="47">
        <v>2402</v>
      </c>
      <c r="D326" s="100"/>
      <c r="E326" s="47">
        <v>1</v>
      </c>
      <c r="F326" s="100"/>
      <c r="G326" s="100"/>
      <c r="H326" s="100" t="s">
        <v>234</v>
      </c>
      <c r="I326" s="100" t="s">
        <v>432</v>
      </c>
      <c r="J326" s="100" t="s">
        <v>433</v>
      </c>
      <c r="K326" s="47">
        <v>0</v>
      </c>
      <c r="L326" s="102">
        <v>39171</v>
      </c>
      <c r="M326" s="100">
        <v>53</v>
      </c>
      <c r="N326" s="100"/>
      <c r="O326" s="100"/>
      <c r="P326" s="100"/>
      <c r="Q326" s="100" t="s">
        <v>515</v>
      </c>
      <c r="R326" s="103"/>
      <c r="S326" s="100"/>
      <c r="T326" s="100"/>
      <c r="U326" s="100"/>
      <c r="V326" s="100"/>
      <c r="W326" s="100"/>
      <c r="X326" s="100"/>
      <c r="Y326" s="100"/>
      <c r="Z326" s="100"/>
      <c r="AA326" s="100"/>
      <c r="AB326" s="47"/>
      <c r="AC326" s="100"/>
      <c r="AD326" s="100"/>
      <c r="AE326" s="100"/>
      <c r="AF326" s="71"/>
      <c r="AG326" s="71"/>
    </row>
    <row r="327" spans="1:33" ht="14.25" customHeight="1" x14ac:dyDescent="0.3">
      <c r="A327" s="100" t="s">
        <v>23</v>
      </c>
      <c r="B327" s="101" t="s">
        <v>508</v>
      </c>
      <c r="C327" s="47">
        <v>2403</v>
      </c>
      <c r="D327" s="100"/>
      <c r="E327" s="47">
        <v>1</v>
      </c>
      <c r="F327" s="100"/>
      <c r="G327" s="100"/>
      <c r="H327" s="100" t="s">
        <v>191</v>
      </c>
      <c r="I327" s="100" t="s">
        <v>192</v>
      </c>
      <c r="J327" s="100" t="s">
        <v>516</v>
      </c>
      <c r="K327" s="47">
        <v>0</v>
      </c>
      <c r="L327" s="102">
        <v>39171</v>
      </c>
      <c r="M327" s="100">
        <v>62</v>
      </c>
      <c r="N327" s="100"/>
      <c r="O327" s="100"/>
      <c r="P327" s="100"/>
      <c r="Q327" s="100" t="s">
        <v>517</v>
      </c>
      <c r="R327" s="103"/>
      <c r="S327" s="100"/>
      <c r="T327" s="100"/>
      <c r="U327" s="100"/>
      <c r="V327" s="100"/>
      <c r="W327" s="100"/>
      <c r="X327" s="100"/>
      <c r="Y327" s="100"/>
      <c r="Z327" s="100"/>
      <c r="AA327" s="100"/>
      <c r="AB327" s="47"/>
      <c r="AC327" s="100"/>
      <c r="AD327" s="100"/>
      <c r="AE327" s="100"/>
      <c r="AF327" s="71"/>
      <c r="AG327" s="71"/>
    </row>
    <row r="328" spans="1:33" ht="14.25" customHeight="1" x14ac:dyDescent="0.3">
      <c r="A328" s="100" t="s">
        <v>23</v>
      </c>
      <c r="B328" s="101" t="s">
        <v>508</v>
      </c>
      <c r="C328" s="47">
        <v>2404</v>
      </c>
      <c r="D328" s="100"/>
      <c r="E328" s="47">
        <v>1</v>
      </c>
      <c r="F328" s="100"/>
      <c r="G328" s="100"/>
      <c r="H328" s="100" t="s">
        <v>35</v>
      </c>
      <c r="I328" s="100" t="s">
        <v>36</v>
      </c>
      <c r="J328" s="100" t="s">
        <v>37</v>
      </c>
      <c r="K328" s="47">
        <v>0</v>
      </c>
      <c r="L328" s="102">
        <v>39171</v>
      </c>
      <c r="M328" s="100">
        <v>38.5</v>
      </c>
      <c r="N328" s="100"/>
      <c r="O328" s="100"/>
      <c r="P328" s="100"/>
      <c r="Q328" s="100" t="s">
        <v>518</v>
      </c>
      <c r="R328" s="103" t="s">
        <v>519</v>
      </c>
      <c r="S328" s="100"/>
      <c r="T328" s="100"/>
      <c r="U328" s="100"/>
      <c r="V328" s="100"/>
      <c r="W328" s="100"/>
      <c r="X328" s="100"/>
      <c r="Y328" s="100"/>
      <c r="Z328" s="100"/>
      <c r="AA328" s="100"/>
      <c r="AB328" s="47"/>
      <c r="AC328" s="100"/>
      <c r="AD328" s="100"/>
      <c r="AE328" s="100"/>
      <c r="AF328" s="71"/>
      <c r="AG328" s="71"/>
    </row>
    <row r="329" spans="1:33" ht="14.25" customHeight="1" x14ac:dyDescent="0.3">
      <c r="A329" s="100" t="s">
        <v>23</v>
      </c>
      <c r="B329" s="101" t="s">
        <v>508</v>
      </c>
      <c r="C329" s="47">
        <v>2405</v>
      </c>
      <c r="D329" s="100"/>
      <c r="E329" s="47">
        <v>1</v>
      </c>
      <c r="F329" s="100"/>
      <c r="G329" s="100"/>
      <c r="H329" s="100" t="s">
        <v>35</v>
      </c>
      <c r="I329" s="100" t="s">
        <v>144</v>
      </c>
      <c r="J329" s="100" t="s">
        <v>145</v>
      </c>
      <c r="K329" s="47">
        <v>0</v>
      </c>
      <c r="L329" s="102">
        <v>39171</v>
      </c>
      <c r="M329" s="100">
        <v>126</v>
      </c>
      <c r="N329" s="100"/>
      <c r="O329" s="100"/>
      <c r="P329" s="100"/>
      <c r="Q329" s="100" t="s">
        <v>520</v>
      </c>
      <c r="R329" s="103" t="s">
        <v>521</v>
      </c>
      <c r="S329" s="100"/>
      <c r="T329" s="100"/>
      <c r="U329" s="100"/>
      <c r="V329" s="100"/>
      <c r="W329" s="100"/>
      <c r="X329" s="100"/>
      <c r="Y329" s="100"/>
      <c r="Z329" s="100"/>
      <c r="AA329" s="100"/>
      <c r="AB329" s="47"/>
      <c r="AC329" s="100"/>
      <c r="AD329" s="100"/>
      <c r="AE329" s="100"/>
      <c r="AF329" s="71"/>
      <c r="AG329" s="71"/>
    </row>
    <row r="330" spans="1:33" ht="14.25" customHeight="1" x14ac:dyDescent="0.3">
      <c r="A330" s="100" t="s">
        <v>23</v>
      </c>
      <c r="B330" s="101" t="s">
        <v>508</v>
      </c>
      <c r="C330" s="47">
        <v>2406</v>
      </c>
      <c r="D330" s="100"/>
      <c r="E330" s="47">
        <v>1</v>
      </c>
      <c r="F330" s="100"/>
      <c r="G330" s="100"/>
      <c r="H330" s="100" t="s">
        <v>25</v>
      </c>
      <c r="I330" s="100" t="s">
        <v>55</v>
      </c>
      <c r="J330" s="100" t="s">
        <v>56</v>
      </c>
      <c r="K330" s="47">
        <v>0</v>
      </c>
      <c r="L330" s="102">
        <v>39171</v>
      </c>
      <c r="M330" s="100">
        <v>176</v>
      </c>
      <c r="N330" s="100"/>
      <c r="O330" s="100"/>
      <c r="P330" s="100"/>
      <c r="Q330" s="100" t="s">
        <v>413</v>
      </c>
      <c r="R330" s="103"/>
      <c r="S330" s="100"/>
      <c r="T330" s="100"/>
      <c r="U330" s="100"/>
      <c r="V330" s="100"/>
      <c r="W330" s="100"/>
      <c r="X330" s="100"/>
      <c r="Y330" s="100"/>
      <c r="Z330" s="100"/>
      <c r="AA330" s="100"/>
      <c r="AB330" s="47"/>
      <c r="AC330" s="100"/>
      <c r="AD330" s="100"/>
      <c r="AE330" s="100"/>
      <c r="AF330" s="71"/>
      <c r="AG330" s="71"/>
    </row>
    <row r="331" spans="1:33" ht="14.25" customHeight="1" x14ac:dyDescent="0.3">
      <c r="A331" s="100" t="s">
        <v>23</v>
      </c>
      <c r="B331" s="101" t="s">
        <v>508</v>
      </c>
      <c r="C331" s="47">
        <v>2407</v>
      </c>
      <c r="D331" s="100"/>
      <c r="E331" s="47">
        <v>1</v>
      </c>
      <c r="F331" s="100"/>
      <c r="G331" s="100"/>
      <c r="H331" s="100" t="s">
        <v>35</v>
      </c>
      <c r="I331" s="100" t="s">
        <v>36</v>
      </c>
      <c r="J331" s="100" t="s">
        <v>37</v>
      </c>
      <c r="K331" s="47">
        <v>0</v>
      </c>
      <c r="L331" s="102">
        <v>39171</v>
      </c>
      <c r="M331" s="100">
        <v>55</v>
      </c>
      <c r="N331" s="100"/>
      <c r="O331" s="100"/>
      <c r="P331" s="100"/>
      <c r="Q331" s="100" t="s">
        <v>518</v>
      </c>
      <c r="R331" s="103" t="s">
        <v>519</v>
      </c>
      <c r="S331" s="100"/>
      <c r="T331" s="100"/>
      <c r="U331" s="100"/>
      <c r="V331" s="100"/>
      <c r="W331" s="100"/>
      <c r="X331" s="100"/>
      <c r="Y331" s="100"/>
      <c r="Z331" s="100"/>
      <c r="AA331" s="100"/>
      <c r="AB331" s="47"/>
      <c r="AC331" s="100"/>
      <c r="AD331" s="100"/>
      <c r="AE331" s="100"/>
      <c r="AF331" s="71"/>
      <c r="AG331" s="71"/>
    </row>
    <row r="332" spans="1:33" ht="14.25" customHeight="1" x14ac:dyDescent="0.3">
      <c r="A332" s="100" t="s">
        <v>23</v>
      </c>
      <c r="B332" s="101" t="s">
        <v>508</v>
      </c>
      <c r="C332" s="47">
        <v>2408</v>
      </c>
      <c r="D332" s="100"/>
      <c r="E332" s="47">
        <v>1</v>
      </c>
      <c r="F332" s="100"/>
      <c r="G332" s="100"/>
      <c r="H332" s="100" t="s">
        <v>39</v>
      </c>
      <c r="I332" s="100" t="s">
        <v>40</v>
      </c>
      <c r="J332" s="100" t="s">
        <v>41</v>
      </c>
      <c r="K332" s="47">
        <v>0</v>
      </c>
      <c r="L332" s="102">
        <v>39171</v>
      </c>
      <c r="M332" s="100">
        <v>38.5</v>
      </c>
      <c r="N332" s="100"/>
      <c r="O332" s="100"/>
      <c r="P332" s="100"/>
      <c r="Q332" s="100" t="s">
        <v>522</v>
      </c>
      <c r="R332" s="103" t="s">
        <v>523</v>
      </c>
      <c r="S332" s="100"/>
      <c r="T332" s="100"/>
      <c r="U332" s="100"/>
      <c r="V332" s="100"/>
      <c r="W332" s="100"/>
      <c r="X332" s="100"/>
      <c r="Y332" s="100"/>
      <c r="Z332" s="100"/>
      <c r="AA332" s="100"/>
      <c r="AB332" s="47"/>
      <c r="AC332" s="100"/>
      <c r="AD332" s="100"/>
      <c r="AE332" s="100"/>
      <c r="AF332" s="71"/>
      <c r="AG332" s="71"/>
    </row>
    <row r="333" spans="1:33" ht="14.25" customHeight="1" x14ac:dyDescent="0.3">
      <c r="A333" s="100" t="s">
        <v>23</v>
      </c>
      <c r="B333" s="101" t="s">
        <v>508</v>
      </c>
      <c r="C333" s="47">
        <v>2409</v>
      </c>
      <c r="D333" s="100"/>
      <c r="E333" s="47">
        <v>1</v>
      </c>
      <c r="F333" s="100"/>
      <c r="G333" s="100"/>
      <c r="H333" s="100" t="s">
        <v>51</v>
      </c>
      <c r="I333" s="100" t="s">
        <v>524</v>
      </c>
      <c r="J333" s="100" t="s">
        <v>64</v>
      </c>
      <c r="K333" s="47">
        <v>0</v>
      </c>
      <c r="L333" s="102">
        <v>39171</v>
      </c>
      <c r="M333" s="100">
        <v>74</v>
      </c>
      <c r="N333" s="100"/>
      <c r="O333" s="100"/>
      <c r="P333" s="100"/>
      <c r="Q333" s="100" t="s">
        <v>525</v>
      </c>
      <c r="R333" s="103" t="s">
        <v>526</v>
      </c>
      <c r="S333" s="100"/>
      <c r="T333" s="100"/>
      <c r="U333" s="100"/>
      <c r="V333" s="100"/>
      <c r="W333" s="100"/>
      <c r="X333" s="100"/>
      <c r="Y333" s="100"/>
      <c r="Z333" s="100"/>
      <c r="AA333" s="100"/>
      <c r="AB333" s="47"/>
      <c r="AC333" s="100"/>
      <c r="AD333" s="100"/>
      <c r="AE333" s="100"/>
      <c r="AF333" s="71"/>
      <c r="AG333" s="71"/>
    </row>
    <row r="334" spans="1:33" ht="14.25" customHeight="1" x14ac:dyDescent="0.3">
      <c r="A334" s="100" t="s">
        <v>23</v>
      </c>
      <c r="B334" s="101" t="s">
        <v>508</v>
      </c>
      <c r="C334" s="47">
        <v>2410</v>
      </c>
      <c r="D334" s="100"/>
      <c r="E334" s="47">
        <v>1</v>
      </c>
      <c r="F334" s="100"/>
      <c r="G334" s="100"/>
      <c r="H334" s="100"/>
      <c r="I334" s="100"/>
      <c r="J334" s="100"/>
      <c r="K334" s="47">
        <v>0</v>
      </c>
      <c r="L334" s="102">
        <v>39171</v>
      </c>
      <c r="M334" s="100">
        <v>45</v>
      </c>
      <c r="N334" s="100"/>
      <c r="O334" s="100"/>
      <c r="P334" s="100"/>
      <c r="Q334" s="100" t="s">
        <v>527</v>
      </c>
      <c r="R334" s="103" t="s">
        <v>528</v>
      </c>
      <c r="S334" s="100"/>
      <c r="T334" s="100"/>
      <c r="U334" s="100"/>
      <c r="V334" s="100"/>
      <c r="W334" s="100"/>
      <c r="X334" s="100"/>
      <c r="Y334" s="100"/>
      <c r="Z334" s="100"/>
      <c r="AA334" s="100"/>
      <c r="AB334" s="47"/>
      <c r="AC334" s="100"/>
      <c r="AD334" s="100"/>
      <c r="AE334" s="100"/>
      <c r="AF334" s="71"/>
      <c r="AG334" s="71"/>
    </row>
    <row r="335" spans="1:33" ht="14.25" customHeight="1" x14ac:dyDescent="0.3">
      <c r="A335" s="100" t="s">
        <v>23</v>
      </c>
      <c r="B335" s="101" t="s">
        <v>508</v>
      </c>
      <c r="C335" s="47">
        <v>2411</v>
      </c>
      <c r="D335" s="100"/>
      <c r="E335" s="47">
        <v>1</v>
      </c>
      <c r="F335" s="100"/>
      <c r="G335" s="100"/>
      <c r="H335" s="100" t="s">
        <v>149</v>
      </c>
      <c r="I335" s="100" t="s">
        <v>529</v>
      </c>
      <c r="J335" s="100" t="s">
        <v>313</v>
      </c>
      <c r="K335" s="47">
        <v>0</v>
      </c>
      <c r="L335" s="102">
        <v>39171</v>
      </c>
      <c r="M335" s="100">
        <v>84</v>
      </c>
      <c r="N335" s="100"/>
      <c r="O335" s="100"/>
      <c r="P335" s="100"/>
      <c r="Q335" s="100" t="s">
        <v>157</v>
      </c>
      <c r="R335" s="103" t="s">
        <v>530</v>
      </c>
      <c r="S335" s="100"/>
      <c r="T335" s="100"/>
      <c r="U335" s="100"/>
      <c r="V335" s="100"/>
      <c r="W335" s="100"/>
      <c r="X335" s="100"/>
      <c r="Y335" s="100"/>
      <c r="Z335" s="100"/>
      <c r="AA335" s="100"/>
      <c r="AB335" s="47"/>
      <c r="AC335" s="100"/>
      <c r="AD335" s="100"/>
      <c r="AE335" s="100"/>
      <c r="AF335" s="71"/>
      <c r="AG335" s="71"/>
    </row>
    <row r="336" spans="1:33" ht="14.25" customHeight="1" x14ac:dyDescent="0.3">
      <c r="A336" s="100" t="s">
        <v>23</v>
      </c>
      <c r="B336" s="101" t="s">
        <v>508</v>
      </c>
      <c r="C336" s="47">
        <v>2412</v>
      </c>
      <c r="D336" s="100"/>
      <c r="E336" s="47">
        <v>1</v>
      </c>
      <c r="F336" s="100"/>
      <c r="G336" s="100"/>
      <c r="H336" s="100" t="s">
        <v>25</v>
      </c>
      <c r="I336" s="100" t="s">
        <v>26</v>
      </c>
      <c r="J336" s="100" t="s">
        <v>44</v>
      </c>
      <c r="K336" s="47">
        <v>0</v>
      </c>
      <c r="L336" s="102">
        <v>39171</v>
      </c>
      <c r="M336" s="100">
        <v>46.5</v>
      </c>
      <c r="N336" s="100"/>
      <c r="O336" s="100"/>
      <c r="P336" s="100"/>
      <c r="Q336" s="100" t="s">
        <v>413</v>
      </c>
      <c r="R336" s="103" t="s">
        <v>531</v>
      </c>
      <c r="S336" s="100"/>
      <c r="T336" s="100"/>
      <c r="U336" s="100"/>
      <c r="V336" s="100"/>
      <c r="W336" s="100"/>
      <c r="X336" s="100"/>
      <c r="Y336" s="100"/>
      <c r="Z336" s="100"/>
      <c r="AA336" s="100"/>
      <c r="AB336" s="47"/>
      <c r="AC336" s="100"/>
      <c r="AD336" s="100"/>
      <c r="AE336" s="100"/>
      <c r="AF336" s="71"/>
      <c r="AG336" s="71"/>
    </row>
    <row r="337" spans="1:33" ht="14.25" customHeight="1" x14ac:dyDescent="0.3">
      <c r="A337" s="100" t="s">
        <v>23</v>
      </c>
      <c r="B337" s="101" t="s">
        <v>508</v>
      </c>
      <c r="C337" s="47">
        <v>2413</v>
      </c>
      <c r="D337" s="100"/>
      <c r="E337" s="47">
        <v>1</v>
      </c>
      <c r="F337" s="100"/>
      <c r="G337" s="100"/>
      <c r="H337" s="100" t="s">
        <v>35</v>
      </c>
      <c r="I337" s="100" t="s">
        <v>144</v>
      </c>
      <c r="J337" s="100" t="s">
        <v>145</v>
      </c>
      <c r="K337" s="47">
        <v>0</v>
      </c>
      <c r="L337" s="102">
        <v>39171</v>
      </c>
      <c r="M337" s="100">
        <v>101</v>
      </c>
      <c r="N337" s="100"/>
      <c r="O337" s="100"/>
      <c r="P337" s="100"/>
      <c r="Q337" s="100" t="s">
        <v>520</v>
      </c>
      <c r="R337" s="103" t="s">
        <v>521</v>
      </c>
      <c r="S337" s="100"/>
      <c r="T337" s="100"/>
      <c r="U337" s="100"/>
      <c r="V337" s="100"/>
      <c r="W337" s="100"/>
      <c r="X337" s="100"/>
      <c r="Y337" s="100"/>
      <c r="Z337" s="100"/>
      <c r="AA337" s="100"/>
      <c r="AB337" s="47"/>
      <c r="AC337" s="100"/>
      <c r="AD337" s="100"/>
      <c r="AE337" s="100"/>
      <c r="AF337" s="71"/>
      <c r="AG337" s="71"/>
    </row>
    <row r="338" spans="1:33" ht="14.25" customHeight="1" x14ac:dyDescent="0.3">
      <c r="A338" s="100" t="s">
        <v>23</v>
      </c>
      <c r="B338" s="101" t="s">
        <v>508</v>
      </c>
      <c r="C338" s="47">
        <v>2414</v>
      </c>
      <c r="D338" s="100"/>
      <c r="E338" s="47">
        <v>1</v>
      </c>
      <c r="F338" s="100"/>
      <c r="G338" s="100"/>
      <c r="H338" s="100" t="s">
        <v>138</v>
      </c>
      <c r="I338" s="100" t="s">
        <v>272</v>
      </c>
      <c r="J338" s="100" t="s">
        <v>532</v>
      </c>
      <c r="K338" s="47">
        <v>0</v>
      </c>
      <c r="L338" s="102">
        <v>39171</v>
      </c>
      <c r="M338" s="100">
        <v>36.5</v>
      </c>
      <c r="N338" s="100"/>
      <c r="O338" s="100"/>
      <c r="P338" s="100"/>
      <c r="Q338" s="100" t="s">
        <v>533</v>
      </c>
      <c r="R338" s="103" t="s">
        <v>534</v>
      </c>
      <c r="S338" s="100"/>
      <c r="T338" s="100"/>
      <c r="U338" s="100"/>
      <c r="V338" s="100"/>
      <c r="W338" s="100"/>
      <c r="X338" s="100"/>
      <c r="Y338" s="100"/>
      <c r="Z338" s="100"/>
      <c r="AA338" s="100"/>
      <c r="AB338" s="47"/>
      <c r="AC338" s="100"/>
      <c r="AD338" s="100"/>
      <c r="AE338" s="100"/>
      <c r="AF338" s="71"/>
      <c r="AG338" s="71"/>
    </row>
    <row r="339" spans="1:33" ht="14.25" customHeight="1" x14ac:dyDescent="0.3">
      <c r="A339" s="100" t="s">
        <v>23</v>
      </c>
      <c r="B339" s="101" t="s">
        <v>508</v>
      </c>
      <c r="C339" s="47">
        <v>2415</v>
      </c>
      <c r="D339" s="100"/>
      <c r="E339" s="47">
        <v>1</v>
      </c>
      <c r="F339" s="100"/>
      <c r="G339" s="100"/>
      <c r="H339" s="100" t="s">
        <v>327</v>
      </c>
      <c r="I339" s="100" t="s">
        <v>328</v>
      </c>
      <c r="J339" s="100" t="s">
        <v>535</v>
      </c>
      <c r="K339" s="47">
        <v>0</v>
      </c>
      <c r="L339" s="102">
        <v>39171</v>
      </c>
      <c r="M339" s="100">
        <v>121</v>
      </c>
      <c r="N339" s="100"/>
      <c r="O339" s="100"/>
      <c r="P339" s="100"/>
      <c r="Q339" s="100" t="s">
        <v>536</v>
      </c>
      <c r="R339" s="103" t="s">
        <v>537</v>
      </c>
      <c r="S339" s="100"/>
      <c r="T339" s="100"/>
      <c r="U339" s="100"/>
      <c r="V339" s="100"/>
      <c r="W339" s="100"/>
      <c r="X339" s="100"/>
      <c r="Y339" s="100"/>
      <c r="Z339" s="100"/>
      <c r="AA339" s="100"/>
      <c r="AB339" s="47"/>
      <c r="AC339" s="100"/>
      <c r="AD339" s="100"/>
      <c r="AE339" s="100"/>
      <c r="AF339" s="71"/>
      <c r="AG339" s="71"/>
    </row>
    <row r="340" spans="1:33" ht="14.25" customHeight="1" x14ac:dyDescent="0.3">
      <c r="A340" s="100" t="s">
        <v>23</v>
      </c>
      <c r="B340" s="101" t="s">
        <v>508</v>
      </c>
      <c r="C340" s="47">
        <v>2416</v>
      </c>
      <c r="D340" s="100"/>
      <c r="E340" s="47">
        <v>1</v>
      </c>
      <c r="F340" s="100"/>
      <c r="G340" s="100"/>
      <c r="H340" s="100" t="s">
        <v>35</v>
      </c>
      <c r="I340" s="100" t="s">
        <v>538</v>
      </c>
      <c r="J340" s="100" t="s">
        <v>539</v>
      </c>
      <c r="K340" s="47">
        <v>0</v>
      </c>
      <c r="L340" s="102">
        <v>39171</v>
      </c>
      <c r="M340" s="100">
        <v>74</v>
      </c>
      <c r="N340" s="100"/>
      <c r="O340" s="100"/>
      <c r="P340" s="100"/>
      <c r="Q340" s="100" t="s">
        <v>540</v>
      </c>
      <c r="R340" s="103" t="s">
        <v>541</v>
      </c>
      <c r="S340" s="100"/>
      <c r="T340" s="100"/>
      <c r="U340" s="100"/>
      <c r="V340" s="100"/>
      <c r="W340" s="100"/>
      <c r="X340" s="100"/>
      <c r="Y340" s="100"/>
      <c r="Z340" s="100"/>
      <c r="AA340" s="100"/>
      <c r="AB340" s="47"/>
      <c r="AC340" s="100"/>
      <c r="AD340" s="100"/>
      <c r="AE340" s="100"/>
      <c r="AF340" s="71"/>
      <c r="AG340" s="71"/>
    </row>
    <row r="341" spans="1:33" ht="14.25" customHeight="1" x14ac:dyDescent="0.3">
      <c r="A341" s="100" t="s">
        <v>23</v>
      </c>
      <c r="B341" s="101" t="s">
        <v>508</v>
      </c>
      <c r="C341" s="47">
        <v>2417</v>
      </c>
      <c r="D341" s="100"/>
      <c r="E341" s="47">
        <v>1</v>
      </c>
      <c r="F341" s="100"/>
      <c r="G341" s="100"/>
      <c r="H341" s="100" t="s">
        <v>234</v>
      </c>
      <c r="I341" s="100" t="s">
        <v>432</v>
      </c>
      <c r="J341" s="100" t="s">
        <v>433</v>
      </c>
      <c r="K341" s="47">
        <v>0</v>
      </c>
      <c r="L341" s="102">
        <v>39171</v>
      </c>
      <c r="M341" s="100">
        <v>38.5</v>
      </c>
      <c r="N341" s="100"/>
      <c r="O341" s="100"/>
      <c r="P341" s="100"/>
      <c r="Q341" s="100" t="s">
        <v>515</v>
      </c>
      <c r="R341" s="103"/>
      <c r="S341" s="100"/>
      <c r="T341" s="100"/>
      <c r="U341" s="100"/>
      <c r="V341" s="100"/>
      <c r="W341" s="100"/>
      <c r="X341" s="100"/>
      <c r="Y341" s="100"/>
      <c r="Z341" s="100"/>
      <c r="AA341" s="100"/>
      <c r="AB341" s="47"/>
      <c r="AC341" s="100"/>
      <c r="AD341" s="100"/>
      <c r="AE341" s="100"/>
      <c r="AF341" s="71"/>
      <c r="AG341" s="71"/>
    </row>
    <row r="342" spans="1:33" ht="14.25" customHeight="1" x14ac:dyDescent="0.3">
      <c r="A342" s="100" t="s">
        <v>23</v>
      </c>
      <c r="B342" s="101" t="s">
        <v>508</v>
      </c>
      <c r="C342" s="47">
        <v>2418</v>
      </c>
      <c r="D342" s="100"/>
      <c r="E342" s="47">
        <v>1</v>
      </c>
      <c r="F342" s="100"/>
      <c r="G342" s="100"/>
      <c r="H342" s="100" t="s">
        <v>25</v>
      </c>
      <c r="I342" s="100" t="s">
        <v>55</v>
      </c>
      <c r="J342" s="100" t="s">
        <v>56</v>
      </c>
      <c r="K342" s="47">
        <v>0</v>
      </c>
      <c r="L342" s="102">
        <v>39171</v>
      </c>
      <c r="M342" s="100">
        <v>83.5</v>
      </c>
      <c r="N342" s="100"/>
      <c r="O342" s="100"/>
      <c r="P342" s="100"/>
      <c r="Q342" s="100" t="s">
        <v>413</v>
      </c>
      <c r="R342" s="103" t="s">
        <v>542</v>
      </c>
      <c r="S342" s="100"/>
      <c r="T342" s="100"/>
      <c r="U342" s="100"/>
      <c r="V342" s="100"/>
      <c r="W342" s="100"/>
      <c r="X342" s="100"/>
      <c r="Y342" s="100"/>
      <c r="Z342" s="100"/>
      <c r="AA342" s="100"/>
      <c r="AB342" s="47"/>
      <c r="AC342" s="100"/>
      <c r="AD342" s="100"/>
      <c r="AE342" s="100"/>
      <c r="AF342" s="71"/>
      <c r="AG342" s="71"/>
    </row>
    <row r="343" spans="1:33" ht="14.25" customHeight="1" x14ac:dyDescent="0.3">
      <c r="A343" s="100" t="s">
        <v>23</v>
      </c>
      <c r="B343" s="101" t="s">
        <v>508</v>
      </c>
      <c r="C343" s="47">
        <v>2419</v>
      </c>
      <c r="D343" s="100"/>
      <c r="E343" s="47">
        <v>1</v>
      </c>
      <c r="F343" s="100"/>
      <c r="G343" s="100"/>
      <c r="H343" s="100" t="s">
        <v>35</v>
      </c>
      <c r="I343" s="100" t="s">
        <v>36</v>
      </c>
      <c r="J343" s="100" t="s">
        <v>37</v>
      </c>
      <c r="K343" s="47">
        <v>0</v>
      </c>
      <c r="L343" s="102">
        <v>39171</v>
      </c>
      <c r="M343" s="100">
        <v>32.5</v>
      </c>
      <c r="N343" s="100"/>
      <c r="O343" s="100"/>
      <c r="P343" s="100"/>
      <c r="Q343" s="100" t="s">
        <v>518</v>
      </c>
      <c r="R343" s="103" t="s">
        <v>519</v>
      </c>
      <c r="S343" s="100"/>
      <c r="T343" s="100"/>
      <c r="U343" s="100"/>
      <c r="V343" s="100"/>
      <c r="W343" s="100"/>
      <c r="X343" s="100"/>
      <c r="Y343" s="100"/>
      <c r="Z343" s="100"/>
      <c r="AA343" s="100"/>
      <c r="AB343" s="47"/>
      <c r="AC343" s="100"/>
      <c r="AD343" s="100"/>
      <c r="AE343" s="100"/>
      <c r="AF343" s="71"/>
      <c r="AG343" s="71"/>
    </row>
    <row r="344" spans="1:33" ht="14.25" customHeight="1" x14ac:dyDescent="0.3">
      <c r="A344" s="100" t="s">
        <v>23</v>
      </c>
      <c r="B344" s="101" t="s">
        <v>508</v>
      </c>
      <c r="C344" s="47">
        <v>2420</v>
      </c>
      <c r="D344" s="100"/>
      <c r="E344" s="47">
        <v>1</v>
      </c>
      <c r="F344" s="100"/>
      <c r="G344" s="100"/>
      <c r="H344" s="100" t="s">
        <v>121</v>
      </c>
      <c r="I344" s="100" t="s">
        <v>126</v>
      </c>
      <c r="J344" s="100" t="s">
        <v>127</v>
      </c>
      <c r="K344" s="47">
        <v>0</v>
      </c>
      <c r="L344" s="102">
        <v>39171</v>
      </c>
      <c r="M344" s="100">
        <v>90</v>
      </c>
      <c r="N344" s="100"/>
      <c r="O344" s="100"/>
      <c r="P344" s="100"/>
      <c r="Q344" s="100" t="s">
        <v>543</v>
      </c>
      <c r="R344" s="103" t="s">
        <v>544</v>
      </c>
      <c r="S344" s="100"/>
      <c r="T344" s="100"/>
      <c r="U344" s="100"/>
      <c r="V344" s="100"/>
      <c r="W344" s="100"/>
      <c r="X344" s="100"/>
      <c r="Y344" s="100"/>
      <c r="Z344" s="100"/>
      <c r="AA344" s="100"/>
      <c r="AB344" s="47"/>
      <c r="AC344" s="100"/>
      <c r="AD344" s="100"/>
      <c r="AE344" s="100"/>
      <c r="AF344" s="71"/>
      <c r="AG344" s="71"/>
    </row>
    <row r="345" spans="1:33" ht="14.25" customHeight="1" x14ac:dyDescent="0.3">
      <c r="A345" s="100" t="s">
        <v>23</v>
      </c>
      <c r="B345" s="101" t="s">
        <v>508</v>
      </c>
      <c r="C345" s="47">
        <v>2421</v>
      </c>
      <c r="D345" s="100"/>
      <c r="E345" s="47">
        <v>1</v>
      </c>
      <c r="F345" s="100"/>
      <c r="G345" s="100"/>
      <c r="H345" s="100"/>
      <c r="I345" s="100"/>
      <c r="J345" s="100"/>
      <c r="K345" s="47">
        <v>0</v>
      </c>
      <c r="L345" s="102">
        <v>39171</v>
      </c>
      <c r="M345" s="100">
        <v>55</v>
      </c>
      <c r="N345" s="100"/>
      <c r="O345" s="100"/>
      <c r="P345" s="100"/>
      <c r="Q345" s="100" t="s">
        <v>545</v>
      </c>
      <c r="R345" s="103" t="s">
        <v>546</v>
      </c>
      <c r="S345" s="100"/>
      <c r="T345" s="100"/>
      <c r="U345" s="100"/>
      <c r="V345" s="100"/>
      <c r="W345" s="100"/>
      <c r="X345" s="100"/>
      <c r="Y345" s="100"/>
      <c r="Z345" s="100"/>
      <c r="AA345" s="100"/>
      <c r="AB345" s="47"/>
      <c r="AC345" s="100"/>
      <c r="AD345" s="100"/>
      <c r="AE345" s="100"/>
      <c r="AF345" s="71"/>
      <c r="AG345" s="71"/>
    </row>
    <row r="346" spans="1:33" ht="14.25" customHeight="1" x14ac:dyDescent="0.3">
      <c r="A346" s="100" t="s">
        <v>23</v>
      </c>
      <c r="B346" s="101" t="s">
        <v>508</v>
      </c>
      <c r="C346" s="47">
        <v>2422</v>
      </c>
      <c r="D346" s="100"/>
      <c r="E346" s="47">
        <v>1</v>
      </c>
      <c r="F346" s="100"/>
      <c r="G346" s="100"/>
      <c r="H346" s="100" t="s">
        <v>234</v>
      </c>
      <c r="I346" s="100" t="s">
        <v>432</v>
      </c>
      <c r="J346" s="100" t="s">
        <v>433</v>
      </c>
      <c r="K346" s="47">
        <v>0</v>
      </c>
      <c r="L346" s="102">
        <v>39171</v>
      </c>
      <c r="M346" s="100">
        <v>87</v>
      </c>
      <c r="N346" s="100"/>
      <c r="O346" s="100"/>
      <c r="P346" s="100"/>
      <c r="Q346" s="100" t="s">
        <v>515</v>
      </c>
      <c r="R346" s="103"/>
      <c r="S346" s="100"/>
      <c r="T346" s="100"/>
      <c r="U346" s="100"/>
      <c r="V346" s="100"/>
      <c r="W346" s="100"/>
      <c r="X346" s="100"/>
      <c r="Y346" s="100"/>
      <c r="Z346" s="100"/>
      <c r="AA346" s="100"/>
      <c r="AB346" s="47"/>
      <c r="AC346" s="100"/>
      <c r="AD346" s="100"/>
      <c r="AE346" s="100"/>
      <c r="AF346" s="71"/>
      <c r="AG346" s="71"/>
    </row>
    <row r="347" spans="1:33" ht="14.25" customHeight="1" x14ac:dyDescent="0.3">
      <c r="A347" s="100" t="s">
        <v>23</v>
      </c>
      <c r="B347" s="101" t="s">
        <v>508</v>
      </c>
      <c r="C347" s="47">
        <v>2423</v>
      </c>
      <c r="D347" s="100"/>
      <c r="E347" s="47">
        <v>1</v>
      </c>
      <c r="F347" s="100"/>
      <c r="G347" s="100"/>
      <c r="H347" s="100" t="s">
        <v>35</v>
      </c>
      <c r="I347" s="100" t="s">
        <v>36</v>
      </c>
      <c r="J347" s="100" t="s">
        <v>37</v>
      </c>
      <c r="K347" s="47">
        <v>0</v>
      </c>
      <c r="L347" s="102">
        <v>39171</v>
      </c>
      <c r="M347" s="100">
        <v>74</v>
      </c>
      <c r="N347" s="100"/>
      <c r="O347" s="100"/>
      <c r="P347" s="100"/>
      <c r="Q347" s="100" t="s">
        <v>518</v>
      </c>
      <c r="R347" s="103" t="s">
        <v>519</v>
      </c>
      <c r="S347" s="100"/>
      <c r="T347" s="100"/>
      <c r="U347" s="100"/>
      <c r="V347" s="100"/>
      <c r="W347" s="100"/>
      <c r="X347" s="100"/>
      <c r="Y347" s="100"/>
      <c r="Z347" s="100"/>
      <c r="AA347" s="100"/>
      <c r="AB347" s="47"/>
      <c r="AC347" s="100"/>
      <c r="AD347" s="100"/>
      <c r="AE347" s="100"/>
      <c r="AF347" s="71"/>
      <c r="AG347" s="71"/>
    </row>
    <row r="348" spans="1:33" ht="14.25" customHeight="1" x14ac:dyDescent="0.3">
      <c r="A348" s="100" t="s">
        <v>23</v>
      </c>
      <c r="B348" s="101" t="s">
        <v>508</v>
      </c>
      <c r="C348" s="47">
        <v>2424</v>
      </c>
      <c r="D348" s="100"/>
      <c r="E348" s="47">
        <v>1</v>
      </c>
      <c r="F348" s="100"/>
      <c r="G348" s="100"/>
      <c r="H348" s="100" t="s">
        <v>196</v>
      </c>
      <c r="I348" s="100" t="s">
        <v>397</v>
      </c>
      <c r="J348" s="100"/>
      <c r="K348" s="47">
        <v>0</v>
      </c>
      <c r="L348" s="102">
        <v>39171</v>
      </c>
      <c r="M348" s="100">
        <v>45.5</v>
      </c>
      <c r="N348" s="100"/>
      <c r="O348" s="100"/>
      <c r="P348" s="100"/>
      <c r="Q348" s="100" t="s">
        <v>547</v>
      </c>
      <c r="R348" s="103" t="s">
        <v>548</v>
      </c>
      <c r="S348" s="100"/>
      <c r="T348" s="100"/>
      <c r="U348" s="100"/>
      <c r="V348" s="100"/>
      <c r="W348" s="100"/>
      <c r="X348" s="100"/>
      <c r="Y348" s="100"/>
      <c r="Z348" s="100"/>
      <c r="AA348" s="100"/>
      <c r="AB348" s="47"/>
      <c r="AC348" s="100"/>
      <c r="AD348" s="100"/>
      <c r="AE348" s="100"/>
      <c r="AF348" s="71"/>
      <c r="AG348" s="71"/>
    </row>
    <row r="349" spans="1:33" ht="14.25" customHeight="1" x14ac:dyDescent="0.3">
      <c r="A349" s="100" t="s">
        <v>23</v>
      </c>
      <c r="B349" s="101" t="s">
        <v>508</v>
      </c>
      <c r="C349" s="47">
        <v>2425</v>
      </c>
      <c r="D349" s="100"/>
      <c r="E349" s="47">
        <v>1</v>
      </c>
      <c r="F349" s="100"/>
      <c r="G349" s="100"/>
      <c r="H349" s="100" t="s">
        <v>39</v>
      </c>
      <c r="I349" s="100" t="s">
        <v>549</v>
      </c>
      <c r="J349" s="100" t="s">
        <v>550</v>
      </c>
      <c r="K349" s="47">
        <v>0</v>
      </c>
      <c r="L349" s="102">
        <v>39171</v>
      </c>
      <c r="M349" s="100">
        <v>41.5</v>
      </c>
      <c r="N349" s="100"/>
      <c r="O349" s="100"/>
      <c r="P349" s="100"/>
      <c r="Q349" s="100" t="s">
        <v>522</v>
      </c>
      <c r="R349" s="103" t="s">
        <v>551</v>
      </c>
      <c r="S349" s="100"/>
      <c r="T349" s="100"/>
      <c r="U349" s="100"/>
      <c r="V349" s="100"/>
      <c r="W349" s="100"/>
      <c r="X349" s="100"/>
      <c r="Y349" s="100"/>
      <c r="Z349" s="100"/>
      <c r="AA349" s="100"/>
      <c r="AB349" s="47"/>
      <c r="AC349" s="100"/>
      <c r="AD349" s="100"/>
      <c r="AE349" s="100"/>
      <c r="AF349" s="71"/>
      <c r="AG349" s="71"/>
    </row>
    <row r="350" spans="1:33" ht="14.25" customHeight="1" x14ac:dyDescent="0.3">
      <c r="A350" s="100" t="s">
        <v>23</v>
      </c>
      <c r="B350" s="101" t="s">
        <v>508</v>
      </c>
      <c r="C350" s="47">
        <v>2426</v>
      </c>
      <c r="D350" s="100"/>
      <c r="E350" s="47">
        <v>1</v>
      </c>
      <c r="F350" s="100"/>
      <c r="G350" s="100"/>
      <c r="H350" s="100" t="s">
        <v>46</v>
      </c>
      <c r="I350" s="100" t="s">
        <v>552</v>
      </c>
      <c r="J350" s="100" t="s">
        <v>498</v>
      </c>
      <c r="K350" s="47">
        <v>0</v>
      </c>
      <c r="L350" s="102">
        <v>39171</v>
      </c>
      <c r="M350" s="100">
        <v>31.5</v>
      </c>
      <c r="N350" s="100"/>
      <c r="O350" s="100"/>
      <c r="P350" s="100"/>
      <c r="Q350" s="100" t="s">
        <v>553</v>
      </c>
      <c r="R350" s="103" t="s">
        <v>554</v>
      </c>
      <c r="S350" s="100"/>
      <c r="T350" s="100"/>
      <c r="U350" s="100"/>
      <c r="V350" s="100"/>
      <c r="W350" s="100"/>
      <c r="X350" s="100"/>
      <c r="Y350" s="100"/>
      <c r="Z350" s="100"/>
      <c r="AA350" s="100"/>
      <c r="AB350" s="47"/>
      <c r="AC350" s="100"/>
      <c r="AD350" s="100"/>
      <c r="AE350" s="100"/>
      <c r="AF350" s="71"/>
      <c r="AG350" s="71"/>
    </row>
    <row r="351" spans="1:33" ht="14.25" customHeight="1" x14ac:dyDescent="0.3">
      <c r="A351" s="100" t="s">
        <v>23</v>
      </c>
      <c r="B351" s="101" t="s">
        <v>508</v>
      </c>
      <c r="C351" s="47">
        <v>2428</v>
      </c>
      <c r="D351" s="100"/>
      <c r="E351" s="47">
        <v>1</v>
      </c>
      <c r="F351" s="100"/>
      <c r="G351" s="100"/>
      <c r="H351" s="100" t="s">
        <v>25</v>
      </c>
      <c r="I351" s="100" t="s">
        <v>55</v>
      </c>
      <c r="J351" s="100" t="s">
        <v>56</v>
      </c>
      <c r="K351" s="47">
        <v>0</v>
      </c>
      <c r="L351" s="102">
        <v>39171</v>
      </c>
      <c r="M351" s="100">
        <v>43.5</v>
      </c>
      <c r="N351" s="100"/>
      <c r="O351" s="100"/>
      <c r="P351" s="100"/>
      <c r="Q351" s="100" t="s">
        <v>413</v>
      </c>
      <c r="R351" s="103" t="s">
        <v>542</v>
      </c>
      <c r="S351" s="100"/>
      <c r="T351" s="100"/>
      <c r="U351" s="100"/>
      <c r="V351" s="100"/>
      <c r="W351" s="100"/>
      <c r="X351" s="100"/>
      <c r="Y351" s="100"/>
      <c r="Z351" s="100"/>
      <c r="AA351" s="100"/>
      <c r="AB351" s="47"/>
      <c r="AC351" s="100"/>
      <c r="AD351" s="100"/>
      <c r="AE351" s="100"/>
      <c r="AF351" s="71"/>
      <c r="AG351" s="71"/>
    </row>
    <row r="352" spans="1:33" ht="14.25" customHeight="1" x14ac:dyDescent="0.3">
      <c r="A352" s="100" t="s">
        <v>23</v>
      </c>
      <c r="B352" s="101" t="s">
        <v>508</v>
      </c>
      <c r="C352" s="47">
        <v>2429</v>
      </c>
      <c r="D352" s="100"/>
      <c r="E352" s="47">
        <v>1</v>
      </c>
      <c r="F352" s="100"/>
      <c r="G352" s="100"/>
      <c r="H352" s="100" t="s">
        <v>72</v>
      </c>
      <c r="I352" s="100" t="s">
        <v>269</v>
      </c>
      <c r="J352" s="100" t="s">
        <v>270</v>
      </c>
      <c r="K352" s="47">
        <v>0</v>
      </c>
      <c r="L352" s="102">
        <v>39171</v>
      </c>
      <c r="M352" s="100">
        <v>73.5</v>
      </c>
      <c r="N352" s="100"/>
      <c r="O352" s="100"/>
      <c r="P352" s="100"/>
      <c r="Q352" s="100" t="s">
        <v>555</v>
      </c>
      <c r="R352" s="103" t="s">
        <v>556</v>
      </c>
      <c r="S352" s="100"/>
      <c r="T352" s="100"/>
      <c r="U352" s="100"/>
      <c r="V352" s="100"/>
      <c r="W352" s="100"/>
      <c r="X352" s="100"/>
      <c r="Y352" s="100"/>
      <c r="Z352" s="100"/>
      <c r="AA352" s="100"/>
      <c r="AB352" s="47"/>
      <c r="AC352" s="100"/>
      <c r="AD352" s="100"/>
      <c r="AE352" s="100"/>
      <c r="AF352" s="71"/>
      <c r="AG352" s="71"/>
    </row>
    <row r="353" spans="1:33" ht="14.25" customHeight="1" x14ac:dyDescent="0.3">
      <c r="A353" s="100" t="s">
        <v>23</v>
      </c>
      <c r="B353" s="101" t="s">
        <v>508</v>
      </c>
      <c r="C353" s="47">
        <v>2430</v>
      </c>
      <c r="D353" s="100"/>
      <c r="E353" s="47">
        <v>1</v>
      </c>
      <c r="F353" s="100"/>
      <c r="G353" s="100"/>
      <c r="H353" s="100" t="s">
        <v>51</v>
      </c>
      <c r="I353" s="100" t="s">
        <v>497</v>
      </c>
      <c r="J353" s="100" t="s">
        <v>557</v>
      </c>
      <c r="K353" s="47">
        <v>0</v>
      </c>
      <c r="L353" s="102">
        <v>39171</v>
      </c>
      <c r="M353" s="100">
        <v>46.5</v>
      </c>
      <c r="N353" s="100"/>
      <c r="O353" s="100"/>
      <c r="P353" s="100"/>
      <c r="Q353" s="100" t="s">
        <v>558</v>
      </c>
      <c r="R353" s="103" t="s">
        <v>559</v>
      </c>
      <c r="S353" s="100"/>
      <c r="T353" s="100"/>
      <c r="U353" s="100"/>
      <c r="V353" s="100"/>
      <c r="W353" s="100"/>
      <c r="X353" s="100"/>
      <c r="Y353" s="100"/>
      <c r="Z353" s="100"/>
      <c r="AA353" s="100"/>
      <c r="AB353" s="47"/>
      <c r="AC353" s="100"/>
      <c r="AD353" s="100"/>
      <c r="AE353" s="100"/>
      <c r="AF353" s="71"/>
      <c r="AG353" s="71"/>
    </row>
    <row r="354" spans="1:33" ht="18.75" customHeight="1" x14ac:dyDescent="0.3">
      <c r="A354" s="100" t="s">
        <v>23</v>
      </c>
      <c r="B354" s="101" t="s">
        <v>508</v>
      </c>
      <c r="C354" s="47">
        <v>2431</v>
      </c>
      <c r="D354" s="100"/>
      <c r="E354" s="47">
        <v>1</v>
      </c>
      <c r="F354" s="100"/>
      <c r="G354" s="100"/>
      <c r="H354" s="100" t="s">
        <v>25</v>
      </c>
      <c r="I354" s="100" t="s">
        <v>55</v>
      </c>
      <c r="J354" s="100" t="s">
        <v>79</v>
      </c>
      <c r="K354" s="47">
        <v>0</v>
      </c>
      <c r="L354" s="102">
        <v>39171</v>
      </c>
      <c r="M354" s="100">
        <v>129</v>
      </c>
      <c r="N354" s="100"/>
      <c r="O354" s="100"/>
      <c r="P354" s="100"/>
      <c r="Q354" s="100" t="s">
        <v>560</v>
      </c>
      <c r="R354" s="103"/>
      <c r="S354" s="100"/>
      <c r="T354" s="100"/>
      <c r="U354" s="100"/>
      <c r="V354" s="100"/>
      <c r="W354" s="100"/>
      <c r="X354" s="100"/>
      <c r="Y354" s="100"/>
      <c r="Z354" s="100"/>
      <c r="AA354" s="100"/>
      <c r="AB354" s="47"/>
      <c r="AC354" s="100"/>
      <c r="AD354" s="100"/>
      <c r="AE354" s="100"/>
      <c r="AF354" s="71"/>
      <c r="AG354" s="71"/>
    </row>
    <row r="355" spans="1:33" ht="14.25" customHeight="1" x14ac:dyDescent="0.3">
      <c r="A355" s="100" t="s">
        <v>23</v>
      </c>
      <c r="B355" s="101" t="s">
        <v>508</v>
      </c>
      <c r="C355" s="47">
        <v>2432</v>
      </c>
      <c r="D355" s="100"/>
      <c r="E355" s="47">
        <v>1</v>
      </c>
      <c r="F355" s="100"/>
      <c r="G355" s="100"/>
      <c r="H355" s="100" t="s">
        <v>138</v>
      </c>
      <c r="I355" s="100" t="s">
        <v>139</v>
      </c>
      <c r="J355" s="100" t="s">
        <v>561</v>
      </c>
      <c r="K355" s="47">
        <v>0</v>
      </c>
      <c r="L355" s="102">
        <v>39171</v>
      </c>
      <c r="M355" s="100">
        <v>82</v>
      </c>
      <c r="N355" s="100"/>
      <c r="O355" s="100"/>
      <c r="P355" s="100"/>
      <c r="Q355" s="100" t="s">
        <v>562</v>
      </c>
      <c r="R355" s="103" t="s">
        <v>563</v>
      </c>
      <c r="S355" s="100"/>
      <c r="T355" s="100"/>
      <c r="U355" s="100"/>
      <c r="V355" s="100"/>
      <c r="W355" s="100"/>
      <c r="X355" s="100"/>
      <c r="Y355" s="100"/>
      <c r="Z355" s="100"/>
      <c r="AA355" s="100"/>
      <c r="AB355" s="47"/>
      <c r="AC355" s="100"/>
      <c r="AD355" s="100"/>
      <c r="AE355" s="100"/>
      <c r="AF355" s="71"/>
      <c r="AG355" s="71"/>
    </row>
    <row r="369" spans="1:33" ht="21.6" customHeight="1" x14ac:dyDescent="0.3"/>
    <row r="370" spans="1:33" ht="14.25" customHeight="1" x14ac:dyDescent="0.3">
      <c r="A370" s="57"/>
      <c r="B370" s="57"/>
      <c r="C370" s="57"/>
      <c r="D370" s="60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8"/>
      <c r="AC370" s="57"/>
      <c r="AD370" s="57"/>
      <c r="AE370" s="57"/>
      <c r="AF370" s="166"/>
      <c r="AG370" s="166"/>
    </row>
    <row r="371" spans="1:33" ht="14.25" customHeight="1" x14ac:dyDescent="0.3">
      <c r="A371" s="57"/>
      <c r="B371" s="57"/>
      <c r="C371" s="57"/>
      <c r="D371" s="60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8"/>
      <c r="AC371" s="57"/>
      <c r="AD371" s="57"/>
      <c r="AE371" s="57"/>
      <c r="AF371" s="166"/>
      <c r="AG371" s="166"/>
    </row>
    <row r="372" spans="1:33" ht="14.25" customHeight="1" x14ac:dyDescent="0.3">
      <c r="A372" s="57"/>
      <c r="B372" s="57"/>
      <c r="C372" s="57"/>
      <c r="D372" s="60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8"/>
      <c r="AC372" s="57"/>
      <c r="AD372" s="57"/>
      <c r="AE372" s="57"/>
      <c r="AF372" s="166"/>
      <c r="AG372" s="166"/>
    </row>
    <row r="373" spans="1:33" ht="14.25" customHeight="1" x14ac:dyDescent="0.3">
      <c r="A373" s="57"/>
      <c r="B373" s="57"/>
      <c r="C373" s="57"/>
      <c r="D373" s="60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8"/>
      <c r="AC373" s="57"/>
      <c r="AD373" s="57"/>
      <c r="AE373" s="57"/>
      <c r="AF373" s="166"/>
      <c r="AG373" s="166"/>
    </row>
    <row r="374" spans="1:33" ht="14.25" customHeight="1" x14ac:dyDescent="0.3">
      <c r="A374" s="57"/>
      <c r="B374" s="57"/>
      <c r="C374" s="57"/>
      <c r="D374" s="60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8"/>
      <c r="AC374" s="57"/>
      <c r="AD374" s="57"/>
      <c r="AE374" s="57"/>
      <c r="AF374" s="166"/>
      <c r="AG374" s="166"/>
    </row>
    <row r="375" spans="1:33" ht="14.25" customHeight="1" x14ac:dyDescent="0.3">
      <c r="A375" s="57"/>
      <c r="B375" s="57"/>
      <c r="C375" s="57"/>
      <c r="D375" s="60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8"/>
      <c r="AC375" s="57"/>
      <c r="AD375" s="57"/>
      <c r="AE375" s="57"/>
      <c r="AF375" s="166"/>
      <c r="AG375" s="166"/>
    </row>
    <row r="376" spans="1:33" ht="14.25" customHeight="1" x14ac:dyDescent="0.3">
      <c r="A376" s="57"/>
      <c r="B376" s="57"/>
      <c r="C376" s="57"/>
      <c r="D376" s="60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8"/>
      <c r="AC376" s="57"/>
      <c r="AD376" s="57"/>
      <c r="AE376" s="57"/>
      <c r="AF376" s="166"/>
      <c r="AG376" s="166"/>
    </row>
    <row r="377" spans="1:33" ht="14.25" customHeight="1" x14ac:dyDescent="0.3">
      <c r="A377" s="57"/>
      <c r="B377" s="57"/>
      <c r="C377" s="57"/>
      <c r="D377" s="60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8"/>
      <c r="AC377" s="57"/>
      <c r="AD377" s="57"/>
      <c r="AE377" s="57"/>
      <c r="AF377" s="166"/>
      <c r="AG377" s="166"/>
    </row>
    <row r="378" spans="1:33" ht="14.25" customHeight="1" x14ac:dyDescent="0.3">
      <c r="A378" s="57"/>
      <c r="B378" s="57"/>
      <c r="C378" s="57"/>
      <c r="D378" s="60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8"/>
      <c r="AC378" s="57"/>
      <c r="AD378" s="57"/>
      <c r="AE378" s="57"/>
      <c r="AF378" s="166"/>
      <c r="AG378" s="166"/>
    </row>
    <row r="379" spans="1:33" ht="14.25" customHeight="1" x14ac:dyDescent="0.3">
      <c r="A379" s="57"/>
      <c r="B379" s="57"/>
      <c r="C379" s="57"/>
      <c r="D379" s="60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8"/>
      <c r="AC379" s="57"/>
      <c r="AD379" s="57"/>
      <c r="AE379" s="57"/>
      <c r="AF379" s="166"/>
      <c r="AG379" s="166"/>
    </row>
    <row r="380" spans="1:33" ht="14.25" customHeight="1" x14ac:dyDescent="0.3">
      <c r="A380" s="57"/>
      <c r="B380" s="57"/>
      <c r="C380" s="57"/>
      <c r="D380" s="60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8"/>
      <c r="AC380" s="57"/>
      <c r="AD380" s="57"/>
      <c r="AE380" s="57"/>
      <c r="AF380" s="166"/>
      <c r="AG380" s="166"/>
    </row>
    <row r="381" spans="1:33" ht="14.25" customHeight="1" x14ac:dyDescent="0.3">
      <c r="A381" s="57"/>
      <c r="B381" s="57"/>
      <c r="C381" s="57"/>
      <c r="D381" s="60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8"/>
      <c r="AC381" s="57"/>
      <c r="AD381" s="57"/>
      <c r="AE381" s="57"/>
      <c r="AF381" s="166"/>
      <c r="AG381" s="166"/>
    </row>
    <row r="382" spans="1:33" ht="14.25" customHeight="1" x14ac:dyDescent="0.3">
      <c r="A382" s="57"/>
      <c r="B382" s="57"/>
      <c r="C382" s="57"/>
      <c r="D382" s="60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8"/>
      <c r="AC382" s="57"/>
      <c r="AD382" s="57"/>
      <c r="AE382" s="57"/>
      <c r="AF382" s="166"/>
      <c r="AG382" s="166"/>
    </row>
    <row r="383" spans="1:33" ht="14.25" customHeight="1" x14ac:dyDescent="0.3">
      <c r="A383" s="57"/>
      <c r="B383" s="57"/>
      <c r="C383" s="57"/>
      <c r="D383" s="60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8"/>
      <c r="AC383" s="57"/>
      <c r="AD383" s="57"/>
      <c r="AE383" s="57"/>
      <c r="AF383" s="166"/>
      <c r="AG383" s="166"/>
    </row>
    <row r="384" spans="1:33" ht="14.25" customHeight="1" x14ac:dyDescent="0.3">
      <c r="A384" s="57"/>
      <c r="B384" s="57"/>
      <c r="C384" s="57"/>
      <c r="D384" s="60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8"/>
      <c r="AC384" s="57"/>
      <c r="AD384" s="57"/>
      <c r="AE384" s="57"/>
      <c r="AF384" s="166"/>
      <c r="AG384" s="166"/>
    </row>
    <row r="385" spans="1:33" ht="14.25" customHeight="1" x14ac:dyDescent="0.3">
      <c r="A385" s="57"/>
      <c r="B385" s="57"/>
      <c r="C385" s="57"/>
      <c r="D385" s="60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8"/>
      <c r="AC385" s="57"/>
      <c r="AD385" s="57"/>
      <c r="AE385" s="57"/>
      <c r="AF385" s="166"/>
      <c r="AG385" s="166"/>
    </row>
    <row r="386" spans="1:33" ht="14.25" customHeight="1" x14ac:dyDescent="0.3">
      <c r="A386" s="57"/>
      <c r="B386" s="57"/>
      <c r="C386" s="57"/>
      <c r="D386" s="60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8"/>
      <c r="AC386" s="57"/>
      <c r="AD386" s="57"/>
      <c r="AE386" s="57"/>
      <c r="AF386" s="166"/>
      <c r="AG386" s="166"/>
    </row>
    <row r="387" spans="1:33" ht="14.25" customHeight="1" x14ac:dyDescent="0.3">
      <c r="A387" s="57"/>
      <c r="B387" s="57"/>
      <c r="C387" s="57"/>
      <c r="D387" s="60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8"/>
      <c r="AC387" s="57"/>
      <c r="AD387" s="57"/>
      <c r="AE387" s="57"/>
      <c r="AF387" s="166"/>
      <c r="AG387" s="166"/>
    </row>
    <row r="388" spans="1:33" ht="14.25" customHeight="1" x14ac:dyDescent="0.3">
      <c r="A388" s="57"/>
      <c r="B388" s="57"/>
      <c r="C388" s="57"/>
      <c r="D388" s="60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8"/>
      <c r="AC388" s="57"/>
      <c r="AD388" s="57"/>
      <c r="AE388" s="57"/>
      <c r="AF388" s="166"/>
      <c r="AG388" s="166"/>
    </row>
    <row r="389" spans="1:33" ht="14.25" customHeight="1" x14ac:dyDescent="0.3">
      <c r="A389" s="57"/>
      <c r="B389" s="57"/>
      <c r="C389" s="57"/>
      <c r="D389" s="60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8"/>
      <c r="AC389" s="57"/>
      <c r="AD389" s="57"/>
      <c r="AE389" s="57"/>
      <c r="AF389" s="166"/>
      <c r="AG389" s="166"/>
    </row>
    <row r="390" spans="1:33" ht="14.25" customHeight="1" x14ac:dyDescent="0.3">
      <c r="A390" s="57"/>
      <c r="B390" s="57"/>
      <c r="C390" s="57"/>
      <c r="D390" s="60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8"/>
      <c r="AC390" s="57"/>
      <c r="AD390" s="57"/>
      <c r="AE390" s="57"/>
      <c r="AF390" s="166"/>
      <c r="AG390" s="166"/>
    </row>
    <row r="391" spans="1:33" ht="14.25" customHeight="1" x14ac:dyDescent="0.3">
      <c r="A391" s="57"/>
      <c r="B391" s="57"/>
      <c r="C391" s="57"/>
      <c r="D391" s="60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8"/>
      <c r="AC391" s="57"/>
      <c r="AD391" s="57"/>
      <c r="AE391" s="57"/>
      <c r="AF391" s="166"/>
      <c r="AG391" s="166"/>
    </row>
    <row r="392" spans="1:33" ht="14.25" customHeight="1" x14ac:dyDescent="0.3">
      <c r="A392" s="57"/>
      <c r="B392" s="57"/>
      <c r="C392" s="57"/>
      <c r="D392" s="60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8"/>
      <c r="AC392" s="57"/>
      <c r="AD392" s="57"/>
      <c r="AE392" s="57"/>
      <c r="AF392" s="166"/>
      <c r="AG392" s="166"/>
    </row>
    <row r="393" spans="1:33" ht="14.25" customHeight="1" x14ac:dyDescent="0.3">
      <c r="A393" s="57"/>
      <c r="B393" s="57"/>
      <c r="C393" s="57"/>
      <c r="D393" s="60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8"/>
      <c r="AC393" s="57"/>
      <c r="AD393" s="57"/>
      <c r="AE393" s="57"/>
      <c r="AF393" s="166"/>
      <c r="AG393" s="166"/>
    </row>
    <row r="394" spans="1:33" ht="14.25" customHeight="1" x14ac:dyDescent="0.3">
      <c r="A394" s="57"/>
      <c r="B394" s="57"/>
      <c r="C394" s="57"/>
      <c r="D394" s="60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8"/>
      <c r="AC394" s="57"/>
      <c r="AD394" s="57"/>
      <c r="AE394" s="57"/>
      <c r="AF394" s="166"/>
      <c r="AG394" s="166"/>
    </row>
    <row r="395" spans="1:33" ht="14.25" customHeight="1" x14ac:dyDescent="0.3">
      <c r="A395" s="57"/>
      <c r="B395" s="57"/>
      <c r="C395" s="57"/>
      <c r="D395" s="60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8"/>
      <c r="AC395" s="57"/>
      <c r="AD395" s="57"/>
      <c r="AE395" s="57"/>
      <c r="AF395" s="166"/>
      <c r="AG395" s="166"/>
    </row>
    <row r="396" spans="1:33" ht="14.25" customHeight="1" x14ac:dyDescent="0.3">
      <c r="A396" s="57"/>
      <c r="B396" s="57"/>
      <c r="C396" s="57"/>
      <c r="D396" s="60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8"/>
      <c r="AC396" s="57"/>
      <c r="AD396" s="57"/>
      <c r="AE396" s="57"/>
      <c r="AF396" s="166"/>
      <c r="AG396" s="166"/>
    </row>
    <row r="397" spans="1:33" ht="14.25" customHeight="1" x14ac:dyDescent="0.3">
      <c r="A397" s="57"/>
      <c r="B397" s="57"/>
      <c r="C397" s="57"/>
      <c r="D397" s="60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8"/>
      <c r="AC397" s="57"/>
      <c r="AD397" s="57"/>
      <c r="AE397" s="57"/>
      <c r="AF397" s="166"/>
      <c r="AG397" s="166"/>
    </row>
    <row r="398" spans="1:33" ht="14.25" customHeight="1" x14ac:dyDescent="0.3">
      <c r="A398" s="57"/>
      <c r="B398" s="57"/>
      <c r="C398" s="57"/>
      <c r="D398" s="60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8"/>
      <c r="AC398" s="57"/>
      <c r="AD398" s="57"/>
      <c r="AE398" s="57"/>
      <c r="AF398" s="166"/>
      <c r="AG398" s="166"/>
    </row>
    <row r="399" spans="1:33" ht="14.25" customHeight="1" x14ac:dyDescent="0.3">
      <c r="A399" s="57"/>
      <c r="B399" s="57"/>
      <c r="C399" s="57"/>
      <c r="D399" s="60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8"/>
      <c r="AC399" s="57"/>
      <c r="AD399" s="57"/>
      <c r="AE399" s="57"/>
      <c r="AF399" s="166"/>
      <c r="AG399" s="166"/>
    </row>
    <row r="400" spans="1:33" ht="14.25" customHeight="1" x14ac:dyDescent="0.3">
      <c r="A400" s="57"/>
      <c r="B400" s="57"/>
      <c r="C400" s="57"/>
      <c r="D400" s="60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8"/>
      <c r="AC400" s="57"/>
      <c r="AD400" s="57"/>
      <c r="AE400" s="57"/>
      <c r="AF400" s="166"/>
      <c r="AG400" s="166"/>
    </row>
    <row r="401" spans="1:33" ht="14.25" customHeight="1" x14ac:dyDescent="0.3">
      <c r="A401" s="57"/>
      <c r="B401" s="57"/>
      <c r="C401" s="57"/>
      <c r="D401" s="60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8"/>
      <c r="AC401" s="57"/>
      <c r="AD401" s="57"/>
      <c r="AE401" s="57"/>
      <c r="AF401" s="166"/>
      <c r="AG401" s="166"/>
    </row>
    <row r="402" spans="1:33" ht="14.25" customHeight="1" x14ac:dyDescent="0.3">
      <c r="A402" s="57"/>
      <c r="B402" s="57"/>
      <c r="C402" s="57"/>
      <c r="D402" s="60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8"/>
      <c r="AC402" s="57"/>
      <c r="AD402" s="57"/>
      <c r="AE402" s="57"/>
      <c r="AF402" s="166"/>
      <c r="AG402" s="166"/>
    </row>
    <row r="403" spans="1:33" ht="14.25" customHeight="1" x14ac:dyDescent="0.3">
      <c r="A403" s="57"/>
      <c r="B403" s="57"/>
      <c r="C403" s="57"/>
      <c r="D403" s="60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8"/>
      <c r="AC403" s="57"/>
      <c r="AD403" s="57"/>
      <c r="AE403" s="57"/>
      <c r="AF403" s="166"/>
      <c r="AG403" s="166"/>
    </row>
    <row r="404" spans="1:33" ht="14.25" customHeight="1" x14ac:dyDescent="0.3">
      <c r="A404" s="57"/>
      <c r="B404" s="57"/>
      <c r="C404" s="57"/>
      <c r="D404" s="60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8"/>
      <c r="AC404" s="57"/>
      <c r="AD404" s="57"/>
      <c r="AE404" s="57"/>
      <c r="AF404" s="166"/>
      <c r="AG404" s="166"/>
    </row>
    <row r="405" spans="1:33" ht="14.25" customHeight="1" x14ac:dyDescent="0.3">
      <c r="A405" s="57"/>
      <c r="B405" s="57"/>
      <c r="C405" s="57"/>
      <c r="D405" s="60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8"/>
      <c r="AC405" s="57"/>
      <c r="AD405" s="57"/>
      <c r="AE405" s="57"/>
      <c r="AF405" s="166"/>
      <c r="AG405" s="166"/>
    </row>
    <row r="406" spans="1:33" ht="14.25" customHeight="1" x14ac:dyDescent="0.3">
      <c r="A406" s="57"/>
      <c r="B406" s="57"/>
      <c r="C406" s="57"/>
      <c r="D406" s="60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8"/>
      <c r="AC406" s="57"/>
      <c r="AD406" s="57"/>
      <c r="AE406" s="57"/>
      <c r="AF406" s="166"/>
      <c r="AG406" s="166"/>
    </row>
    <row r="407" spans="1:33" ht="14.25" customHeight="1" x14ac:dyDescent="0.3">
      <c r="A407" s="57"/>
      <c r="B407" s="57"/>
      <c r="C407" s="57"/>
      <c r="D407" s="60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8"/>
      <c r="AC407" s="57"/>
      <c r="AD407" s="57"/>
      <c r="AE407" s="57"/>
      <c r="AF407" s="166"/>
      <c r="AG407" s="166"/>
    </row>
    <row r="408" spans="1:33" ht="14.25" customHeight="1" x14ac:dyDescent="0.3">
      <c r="A408" s="57"/>
      <c r="B408" s="57"/>
      <c r="C408" s="57"/>
      <c r="D408" s="60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8"/>
      <c r="AC408" s="57"/>
      <c r="AD408" s="57"/>
      <c r="AE408" s="57"/>
      <c r="AF408" s="166"/>
      <c r="AG408" s="166"/>
    </row>
    <row r="409" spans="1:33" ht="14.25" customHeight="1" x14ac:dyDescent="0.3">
      <c r="A409" s="57"/>
      <c r="B409" s="57"/>
      <c r="C409" s="57"/>
      <c r="D409" s="60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8"/>
      <c r="AC409" s="57"/>
      <c r="AD409" s="57"/>
      <c r="AE409" s="57"/>
      <c r="AF409" s="166"/>
      <c r="AG409" s="166"/>
    </row>
    <row r="410" spans="1:33" ht="14.25" customHeight="1" x14ac:dyDescent="0.3">
      <c r="A410" s="57"/>
      <c r="B410" s="57"/>
      <c r="C410" s="57"/>
      <c r="D410" s="60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8"/>
      <c r="AC410" s="57"/>
      <c r="AD410" s="57"/>
      <c r="AE410" s="57"/>
      <c r="AF410" s="166"/>
      <c r="AG410" s="166"/>
    </row>
    <row r="411" spans="1:33" ht="14.25" customHeight="1" x14ac:dyDescent="0.3">
      <c r="A411" s="57"/>
      <c r="B411" s="57"/>
      <c r="C411" s="57"/>
      <c r="D411" s="60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8"/>
      <c r="AC411" s="57"/>
      <c r="AD411" s="57"/>
      <c r="AE411" s="57"/>
      <c r="AF411" s="166"/>
      <c r="AG411" s="166"/>
    </row>
    <row r="412" spans="1:33" ht="14.25" customHeight="1" x14ac:dyDescent="0.3">
      <c r="A412" s="57"/>
      <c r="B412" s="57"/>
      <c r="C412" s="57"/>
      <c r="D412" s="60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8"/>
      <c r="AC412" s="57"/>
      <c r="AD412" s="57"/>
      <c r="AE412" s="57"/>
      <c r="AF412" s="166"/>
      <c r="AG412" s="166"/>
    </row>
    <row r="413" spans="1:33" ht="14.25" customHeight="1" x14ac:dyDescent="0.3">
      <c r="A413" s="57"/>
      <c r="B413" s="57"/>
      <c r="C413" s="57"/>
      <c r="D413" s="60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8"/>
      <c r="AC413" s="57"/>
      <c r="AD413" s="57"/>
      <c r="AE413" s="57"/>
      <c r="AF413" s="166"/>
      <c r="AG413" s="166"/>
    </row>
    <row r="414" spans="1:33" ht="14.25" customHeight="1" x14ac:dyDescent="0.3">
      <c r="A414" s="57"/>
      <c r="B414" s="57"/>
      <c r="C414" s="57"/>
      <c r="D414" s="60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8"/>
      <c r="AC414" s="57"/>
      <c r="AD414" s="57"/>
      <c r="AE414" s="57"/>
      <c r="AF414" s="166"/>
      <c r="AG414" s="166"/>
    </row>
    <row r="415" spans="1:33" ht="14.25" customHeight="1" x14ac:dyDescent="0.3">
      <c r="A415" s="57"/>
      <c r="B415" s="57"/>
      <c r="C415" s="57"/>
      <c r="D415" s="60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8"/>
      <c r="AC415" s="57"/>
      <c r="AD415" s="57"/>
      <c r="AE415" s="57"/>
      <c r="AF415" s="166"/>
      <c r="AG415" s="166"/>
    </row>
    <row r="416" spans="1:33" ht="14.25" customHeight="1" x14ac:dyDescent="0.3">
      <c r="A416" s="57"/>
      <c r="B416" s="57"/>
      <c r="C416" s="57"/>
      <c r="D416" s="60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8"/>
      <c r="AC416" s="57"/>
      <c r="AD416" s="57"/>
      <c r="AE416" s="57"/>
      <c r="AF416" s="166"/>
      <c r="AG416" s="166"/>
    </row>
    <row r="417" spans="1:33" ht="14.25" customHeight="1" x14ac:dyDescent="0.3">
      <c r="A417" s="57"/>
      <c r="B417" s="57"/>
      <c r="C417" s="57"/>
      <c r="D417" s="60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8"/>
      <c r="AC417" s="57"/>
      <c r="AD417" s="57"/>
      <c r="AE417" s="57"/>
      <c r="AF417" s="166"/>
      <c r="AG417" s="166"/>
    </row>
    <row r="418" spans="1:33" ht="14.25" customHeight="1" x14ac:dyDescent="0.3">
      <c r="A418" s="57"/>
      <c r="B418" s="57"/>
      <c r="C418" s="57"/>
      <c r="D418" s="60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8"/>
      <c r="AC418" s="57"/>
      <c r="AD418" s="57"/>
      <c r="AE418" s="57"/>
      <c r="AF418" s="166"/>
      <c r="AG418" s="166"/>
    </row>
    <row r="419" spans="1:33" ht="14.25" customHeight="1" x14ac:dyDescent="0.3">
      <c r="A419" s="57"/>
      <c r="B419" s="57"/>
      <c r="C419" s="57"/>
      <c r="D419" s="60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8"/>
      <c r="AC419" s="57"/>
      <c r="AD419" s="57"/>
      <c r="AE419" s="57"/>
      <c r="AF419" s="166"/>
      <c r="AG419" s="166"/>
    </row>
    <row r="420" spans="1:33" ht="14.25" customHeight="1" x14ac:dyDescent="0.3">
      <c r="A420" s="57"/>
      <c r="B420" s="57"/>
      <c r="C420" s="57"/>
      <c r="D420" s="60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8"/>
      <c r="AC420" s="57"/>
      <c r="AD420" s="57"/>
      <c r="AE420" s="57"/>
      <c r="AF420" s="166"/>
      <c r="AG420" s="166"/>
    </row>
    <row r="421" spans="1:33" ht="14.25" customHeight="1" x14ac:dyDescent="0.3">
      <c r="A421" s="57"/>
      <c r="B421" s="57"/>
      <c r="C421" s="57"/>
      <c r="D421" s="60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8"/>
      <c r="AC421" s="57"/>
      <c r="AD421" s="57"/>
      <c r="AE421" s="57"/>
      <c r="AF421" s="166"/>
      <c r="AG421" s="166"/>
    </row>
    <row r="422" spans="1:33" ht="14.25" customHeight="1" x14ac:dyDescent="0.3">
      <c r="A422" s="57"/>
      <c r="B422" s="57"/>
      <c r="C422" s="57"/>
      <c r="D422" s="60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8"/>
      <c r="AC422" s="57"/>
      <c r="AD422" s="57"/>
      <c r="AE422" s="57"/>
      <c r="AF422" s="166"/>
      <c r="AG422" s="166"/>
    </row>
    <row r="423" spans="1:33" ht="14.25" customHeight="1" x14ac:dyDescent="0.3">
      <c r="A423" s="57"/>
      <c r="B423" s="57"/>
      <c r="C423" s="57"/>
      <c r="D423" s="60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8"/>
      <c r="AC423" s="57"/>
      <c r="AD423" s="57"/>
      <c r="AE423" s="57"/>
      <c r="AF423" s="166"/>
      <c r="AG423" s="166"/>
    </row>
    <row r="424" spans="1:33" ht="14.25" customHeight="1" x14ac:dyDescent="0.3">
      <c r="A424" s="57"/>
      <c r="B424" s="57"/>
      <c r="C424" s="57"/>
      <c r="D424" s="60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8"/>
      <c r="AC424" s="57"/>
      <c r="AD424" s="57"/>
      <c r="AE424" s="57"/>
      <c r="AF424" s="166"/>
      <c r="AG424" s="166"/>
    </row>
    <row r="425" spans="1:33" ht="14.25" customHeight="1" x14ac:dyDescent="0.3">
      <c r="A425" s="57"/>
      <c r="B425" s="57"/>
      <c r="C425" s="57"/>
      <c r="D425" s="60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8"/>
      <c r="AC425" s="57"/>
      <c r="AD425" s="57"/>
      <c r="AE425" s="57"/>
      <c r="AF425" s="166"/>
      <c r="AG425" s="166"/>
    </row>
    <row r="426" spans="1:33" ht="14.25" customHeight="1" x14ac:dyDescent="0.3">
      <c r="A426" s="57"/>
      <c r="B426" s="57"/>
      <c r="C426" s="57"/>
      <c r="D426" s="60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8"/>
      <c r="AC426" s="57"/>
      <c r="AD426" s="57"/>
      <c r="AE426" s="57"/>
      <c r="AF426" s="166"/>
      <c r="AG426" s="166"/>
    </row>
    <row r="427" spans="1:33" ht="14.25" customHeight="1" x14ac:dyDescent="0.3">
      <c r="A427" s="57"/>
      <c r="B427" s="57"/>
      <c r="C427" s="57"/>
      <c r="D427" s="60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8"/>
      <c r="AC427" s="57"/>
      <c r="AD427" s="57"/>
      <c r="AE427" s="57"/>
      <c r="AF427" s="166"/>
      <c r="AG427" s="166"/>
    </row>
    <row r="428" spans="1:33" ht="14.25" customHeight="1" x14ac:dyDescent="0.3">
      <c r="A428" s="57"/>
      <c r="B428" s="57"/>
      <c r="C428" s="57"/>
      <c r="D428" s="60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8"/>
      <c r="AC428" s="57"/>
      <c r="AD428" s="57"/>
      <c r="AE428" s="57"/>
      <c r="AF428" s="166"/>
      <c r="AG428" s="166"/>
    </row>
    <row r="429" spans="1:33" ht="14.25" customHeight="1" x14ac:dyDescent="0.3">
      <c r="A429" s="57"/>
      <c r="B429" s="57"/>
      <c r="C429" s="57"/>
      <c r="D429" s="60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8"/>
      <c r="AC429" s="57"/>
      <c r="AD429" s="57"/>
      <c r="AE429" s="57"/>
      <c r="AF429" s="166"/>
      <c r="AG429" s="166"/>
    </row>
    <row r="430" spans="1:33" ht="14.25" customHeight="1" x14ac:dyDescent="0.3">
      <c r="A430" s="57"/>
      <c r="B430" s="57"/>
      <c r="C430" s="57"/>
      <c r="D430" s="60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8"/>
      <c r="AC430" s="57"/>
      <c r="AD430" s="57"/>
      <c r="AE430" s="57"/>
      <c r="AF430" s="166"/>
      <c r="AG430" s="166"/>
    </row>
    <row r="431" spans="1:33" ht="14.25" customHeight="1" x14ac:dyDescent="0.3">
      <c r="A431" s="57"/>
      <c r="B431" s="57"/>
      <c r="C431" s="57"/>
      <c r="D431" s="60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8"/>
      <c r="AC431" s="57"/>
      <c r="AD431" s="57"/>
      <c r="AE431" s="57"/>
      <c r="AF431" s="166"/>
      <c r="AG431" s="166"/>
    </row>
    <row r="432" spans="1:33" ht="14.25" customHeight="1" x14ac:dyDescent="0.3">
      <c r="A432" s="57"/>
      <c r="B432" s="57"/>
      <c r="C432" s="57"/>
      <c r="D432" s="60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8"/>
      <c r="AC432" s="57"/>
      <c r="AD432" s="57"/>
      <c r="AE432" s="57"/>
      <c r="AF432" s="166"/>
      <c r="AG432" s="166"/>
    </row>
    <row r="433" spans="1:33" ht="14.25" customHeight="1" x14ac:dyDescent="0.3">
      <c r="A433" s="57"/>
      <c r="B433" s="57"/>
      <c r="C433" s="57"/>
      <c r="D433" s="60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8"/>
      <c r="AC433" s="57"/>
      <c r="AD433" s="57"/>
      <c r="AE433" s="57"/>
      <c r="AF433" s="166"/>
      <c r="AG433" s="166"/>
    </row>
    <row r="434" spans="1:33" ht="14.25" customHeight="1" x14ac:dyDescent="0.3">
      <c r="A434" s="57"/>
      <c r="B434" s="57"/>
      <c r="C434" s="57"/>
      <c r="D434" s="60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8"/>
      <c r="AC434" s="57"/>
      <c r="AD434" s="57"/>
      <c r="AE434" s="57"/>
      <c r="AF434" s="166"/>
      <c r="AG434" s="166"/>
    </row>
    <row r="435" spans="1:33" ht="14.25" customHeight="1" x14ac:dyDescent="0.3">
      <c r="A435" s="57"/>
      <c r="B435" s="57"/>
      <c r="C435" s="57"/>
      <c r="D435" s="60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8"/>
      <c r="AC435" s="57"/>
      <c r="AD435" s="57"/>
      <c r="AE435" s="57"/>
      <c r="AF435" s="166"/>
      <c r="AG435" s="166"/>
    </row>
    <row r="436" spans="1:33" ht="14.25" customHeight="1" x14ac:dyDescent="0.3">
      <c r="A436" s="57"/>
      <c r="B436" s="57"/>
      <c r="C436" s="57"/>
      <c r="D436" s="60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8"/>
      <c r="AC436" s="57"/>
      <c r="AD436" s="57"/>
      <c r="AE436" s="57"/>
      <c r="AF436" s="166"/>
      <c r="AG436" s="166"/>
    </row>
    <row r="437" spans="1:33" ht="14.25" customHeight="1" x14ac:dyDescent="0.3">
      <c r="A437" s="57"/>
      <c r="B437" s="57"/>
      <c r="C437" s="57"/>
      <c r="D437" s="60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8"/>
      <c r="AC437" s="57"/>
      <c r="AD437" s="57"/>
      <c r="AE437" s="57"/>
      <c r="AF437" s="166"/>
      <c r="AG437" s="166"/>
    </row>
    <row r="438" spans="1:33" ht="14.25" customHeight="1" x14ac:dyDescent="0.3">
      <c r="A438" s="57"/>
      <c r="B438" s="57"/>
      <c r="C438" s="57"/>
      <c r="D438" s="60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8"/>
      <c r="AC438" s="57"/>
      <c r="AD438" s="57"/>
      <c r="AE438" s="57"/>
      <c r="AF438" s="166"/>
      <c r="AG438" s="166"/>
    </row>
    <row r="439" spans="1:33" ht="14.25" customHeight="1" x14ac:dyDescent="0.3">
      <c r="A439" s="57"/>
      <c r="B439" s="57"/>
      <c r="C439" s="57"/>
      <c r="D439" s="60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8"/>
      <c r="AC439" s="57"/>
      <c r="AD439" s="57"/>
      <c r="AE439" s="57"/>
      <c r="AF439" s="166"/>
      <c r="AG439" s="166"/>
    </row>
    <row r="440" spans="1:33" ht="14.25" customHeight="1" x14ac:dyDescent="0.3">
      <c r="A440" s="57"/>
      <c r="B440" s="57"/>
      <c r="C440" s="57"/>
      <c r="D440" s="60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8"/>
      <c r="AC440" s="57"/>
      <c r="AD440" s="57"/>
      <c r="AE440" s="57"/>
      <c r="AF440" s="166"/>
      <c r="AG440" s="166"/>
    </row>
    <row r="441" spans="1:33" ht="14.25" customHeight="1" x14ac:dyDescent="0.3">
      <c r="A441" s="57"/>
      <c r="B441" s="57"/>
      <c r="C441" s="57"/>
      <c r="D441" s="60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8"/>
      <c r="AC441" s="57"/>
      <c r="AD441" s="57"/>
      <c r="AE441" s="57"/>
      <c r="AF441" s="166"/>
      <c r="AG441" s="166"/>
    </row>
    <row r="442" spans="1:33" ht="14.25" customHeight="1" x14ac:dyDescent="0.3">
      <c r="A442" s="57"/>
      <c r="B442" s="57"/>
      <c r="C442" s="57"/>
      <c r="D442" s="60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8"/>
      <c r="AC442" s="57"/>
      <c r="AD442" s="57"/>
      <c r="AE442" s="57"/>
      <c r="AF442" s="166"/>
      <c r="AG442" s="166"/>
    </row>
    <row r="443" spans="1:33" ht="14.25" customHeight="1" x14ac:dyDescent="0.3">
      <c r="A443" s="57"/>
      <c r="B443" s="57"/>
      <c r="C443" s="57"/>
      <c r="D443" s="60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8"/>
      <c r="AC443" s="57"/>
      <c r="AD443" s="57"/>
      <c r="AE443" s="57"/>
      <c r="AF443" s="166"/>
      <c r="AG443" s="166"/>
    </row>
    <row r="444" spans="1:33" ht="14.25" customHeight="1" x14ac:dyDescent="0.3">
      <c r="A444" s="57"/>
      <c r="B444" s="57"/>
      <c r="C444" s="57"/>
      <c r="D444" s="60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8"/>
      <c r="AC444" s="57"/>
      <c r="AD444" s="57"/>
      <c r="AE444" s="57"/>
      <c r="AF444" s="166"/>
      <c r="AG444" s="166"/>
    </row>
    <row r="445" spans="1:33" ht="14.25" customHeight="1" x14ac:dyDescent="0.3">
      <c r="A445" s="57"/>
      <c r="B445" s="57"/>
      <c r="C445" s="57"/>
      <c r="D445" s="60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8"/>
      <c r="AC445" s="57"/>
      <c r="AD445" s="57"/>
      <c r="AE445" s="57"/>
      <c r="AF445" s="166"/>
      <c r="AG445" s="166"/>
    </row>
    <row r="446" spans="1:33" ht="14.25" customHeight="1" x14ac:dyDescent="0.3">
      <c r="A446" s="57"/>
      <c r="B446" s="57"/>
      <c r="C446" s="57"/>
      <c r="D446" s="60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8"/>
      <c r="AC446" s="57"/>
      <c r="AD446" s="57"/>
      <c r="AE446" s="57"/>
      <c r="AF446" s="166"/>
      <c r="AG446" s="166"/>
    </row>
    <row r="447" spans="1:33" ht="14.25" customHeight="1" x14ac:dyDescent="0.3">
      <c r="A447" s="57"/>
      <c r="B447" s="57"/>
      <c r="C447" s="57"/>
      <c r="D447" s="60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8"/>
      <c r="AC447" s="57"/>
      <c r="AD447" s="57"/>
      <c r="AE447" s="57"/>
      <c r="AF447" s="166"/>
      <c r="AG447" s="166"/>
    </row>
    <row r="448" spans="1:33" ht="14.25" customHeight="1" x14ac:dyDescent="0.3">
      <c r="A448" s="57"/>
      <c r="B448" s="57"/>
      <c r="C448" s="57"/>
      <c r="D448" s="60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8"/>
      <c r="AC448" s="57"/>
      <c r="AD448" s="57"/>
      <c r="AE448" s="57"/>
      <c r="AF448" s="166"/>
      <c r="AG448" s="166"/>
    </row>
    <row r="449" spans="1:33" ht="14.25" customHeight="1" x14ac:dyDescent="0.3">
      <c r="A449" s="57"/>
      <c r="B449" s="57"/>
      <c r="C449" s="57"/>
      <c r="D449" s="60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8"/>
      <c r="AC449" s="57"/>
      <c r="AD449" s="57"/>
      <c r="AE449" s="57"/>
      <c r="AF449" s="166"/>
      <c r="AG449" s="166"/>
    </row>
    <row r="450" spans="1:33" ht="14.25" customHeight="1" x14ac:dyDescent="0.3">
      <c r="A450" s="57"/>
      <c r="B450" s="57"/>
      <c r="C450" s="57"/>
      <c r="D450" s="60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8"/>
      <c r="AC450" s="57"/>
      <c r="AD450" s="57"/>
      <c r="AE450" s="57"/>
      <c r="AF450" s="166"/>
      <c r="AG450" s="166"/>
    </row>
    <row r="451" spans="1:33" ht="14.25" customHeight="1" x14ac:dyDescent="0.3">
      <c r="A451" s="57"/>
      <c r="B451" s="57"/>
      <c r="C451" s="57"/>
      <c r="D451" s="60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8"/>
      <c r="AC451" s="57"/>
      <c r="AD451" s="57"/>
      <c r="AE451" s="57"/>
      <c r="AF451" s="166"/>
      <c r="AG451" s="166"/>
    </row>
    <row r="452" spans="1:33" ht="14.25" customHeight="1" x14ac:dyDescent="0.3">
      <c r="A452" s="57"/>
      <c r="B452" s="57"/>
      <c r="C452" s="57"/>
      <c r="D452" s="60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8"/>
      <c r="AC452" s="57"/>
      <c r="AD452" s="57"/>
      <c r="AE452" s="57"/>
      <c r="AF452" s="166"/>
      <c r="AG452" s="166"/>
    </row>
    <row r="453" spans="1:33" ht="14.25" customHeight="1" x14ac:dyDescent="0.3">
      <c r="A453" s="57"/>
      <c r="B453" s="57"/>
      <c r="C453" s="57"/>
      <c r="D453" s="60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8"/>
      <c r="AC453" s="57"/>
      <c r="AD453" s="57"/>
      <c r="AE453" s="57"/>
      <c r="AF453" s="166"/>
      <c r="AG453" s="166"/>
    </row>
    <row r="454" spans="1:33" ht="14.25" customHeight="1" x14ac:dyDescent="0.3">
      <c r="A454" s="57"/>
      <c r="B454" s="57"/>
      <c r="C454" s="57"/>
      <c r="D454" s="60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8"/>
      <c r="AC454" s="57"/>
      <c r="AD454" s="57"/>
      <c r="AE454" s="57"/>
      <c r="AF454" s="166"/>
      <c r="AG454" s="166"/>
    </row>
    <row r="455" spans="1:33" ht="14.25" customHeight="1" x14ac:dyDescent="0.3">
      <c r="A455" s="57"/>
      <c r="B455" s="57"/>
      <c r="C455" s="57"/>
      <c r="D455" s="60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8"/>
      <c r="AC455" s="57"/>
      <c r="AD455" s="57"/>
      <c r="AE455" s="57"/>
      <c r="AF455" s="166"/>
      <c r="AG455" s="166"/>
    </row>
    <row r="456" spans="1:33" ht="14.25" customHeight="1" x14ac:dyDescent="0.3">
      <c r="A456" s="57"/>
      <c r="B456" s="57"/>
      <c r="C456" s="57"/>
      <c r="D456" s="60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8"/>
      <c r="AC456" s="57"/>
      <c r="AD456" s="57"/>
      <c r="AE456" s="57"/>
      <c r="AF456" s="166"/>
      <c r="AG456" s="166"/>
    </row>
    <row r="457" spans="1:33" ht="14.25" customHeight="1" x14ac:dyDescent="0.3">
      <c r="A457" s="57"/>
      <c r="B457" s="57"/>
      <c r="C457" s="57"/>
      <c r="D457" s="60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8"/>
      <c r="AC457" s="57"/>
      <c r="AD457" s="57"/>
      <c r="AE457" s="57"/>
      <c r="AF457" s="166"/>
      <c r="AG457" s="166"/>
    </row>
    <row r="458" spans="1:33" ht="14.25" customHeight="1" x14ac:dyDescent="0.3">
      <c r="A458" s="57"/>
      <c r="B458" s="57"/>
      <c r="C458" s="57"/>
      <c r="D458" s="60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8"/>
      <c r="AC458" s="57"/>
      <c r="AD458" s="57"/>
      <c r="AE458" s="57"/>
      <c r="AF458" s="166"/>
      <c r="AG458" s="166"/>
    </row>
    <row r="459" spans="1:33" ht="14.25" customHeight="1" x14ac:dyDescent="0.3">
      <c r="A459" s="57"/>
      <c r="B459" s="57"/>
      <c r="C459" s="57"/>
      <c r="D459" s="60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8"/>
      <c r="AC459" s="57"/>
      <c r="AD459" s="57"/>
      <c r="AE459" s="57"/>
      <c r="AF459" s="166"/>
      <c r="AG459" s="166"/>
    </row>
    <row r="460" spans="1:33" ht="14.25" customHeight="1" x14ac:dyDescent="0.3">
      <c r="A460" s="57"/>
      <c r="B460" s="57"/>
      <c r="C460" s="57"/>
      <c r="D460" s="60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8"/>
      <c r="AC460" s="57"/>
      <c r="AD460" s="57"/>
      <c r="AE460" s="57"/>
      <c r="AF460" s="166"/>
      <c r="AG460" s="166"/>
    </row>
    <row r="461" spans="1:33" ht="14.25" customHeight="1" x14ac:dyDescent="0.3">
      <c r="A461" s="57"/>
      <c r="B461" s="57"/>
      <c r="C461" s="57"/>
      <c r="D461" s="60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8"/>
      <c r="AC461" s="57"/>
      <c r="AD461" s="57"/>
      <c r="AE461" s="57"/>
      <c r="AF461" s="166"/>
      <c r="AG461" s="166"/>
    </row>
    <row r="462" spans="1:33" ht="14.25" customHeight="1" x14ac:dyDescent="0.3">
      <c r="A462" s="57"/>
      <c r="B462" s="57"/>
      <c r="C462" s="57"/>
      <c r="D462" s="60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8"/>
      <c r="AC462" s="57"/>
      <c r="AD462" s="57"/>
      <c r="AE462" s="57"/>
      <c r="AF462" s="166"/>
      <c r="AG462" s="166"/>
    </row>
    <row r="463" spans="1:33" ht="14.25" customHeight="1" x14ac:dyDescent="0.3">
      <c r="A463" s="57"/>
      <c r="B463" s="57"/>
      <c r="C463" s="57"/>
      <c r="D463" s="60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8"/>
      <c r="AC463" s="57"/>
      <c r="AD463" s="57"/>
      <c r="AE463" s="57"/>
      <c r="AF463" s="166"/>
      <c r="AG463" s="166"/>
    </row>
    <row r="464" spans="1:33" ht="14.25" customHeight="1" x14ac:dyDescent="0.3">
      <c r="A464" s="57"/>
      <c r="B464" s="57"/>
      <c r="C464" s="57"/>
      <c r="D464" s="60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8"/>
      <c r="AC464" s="57"/>
      <c r="AD464" s="57"/>
      <c r="AE464" s="57"/>
      <c r="AF464" s="166"/>
      <c r="AG464" s="166"/>
    </row>
    <row r="465" spans="1:33" ht="14.25" customHeight="1" x14ac:dyDescent="0.3">
      <c r="A465" s="57"/>
      <c r="B465" s="57"/>
      <c r="C465" s="57"/>
      <c r="D465" s="60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8"/>
      <c r="AC465" s="57"/>
      <c r="AD465" s="57"/>
      <c r="AE465" s="57"/>
      <c r="AF465" s="166"/>
      <c r="AG465" s="166"/>
    </row>
    <row r="466" spans="1:33" ht="14.25" customHeight="1" x14ac:dyDescent="0.3">
      <c r="A466" s="57"/>
      <c r="B466" s="57"/>
      <c r="C466" s="57"/>
      <c r="D466" s="60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8"/>
      <c r="AC466" s="57"/>
      <c r="AD466" s="57"/>
      <c r="AE466" s="57"/>
      <c r="AF466" s="166"/>
      <c r="AG466" s="166"/>
    </row>
    <row r="467" spans="1:33" ht="14.25" customHeight="1" x14ac:dyDescent="0.3">
      <c r="A467" s="57"/>
      <c r="B467" s="57"/>
      <c r="C467" s="57"/>
      <c r="D467" s="60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8"/>
      <c r="AC467" s="57"/>
      <c r="AD467" s="57"/>
      <c r="AE467" s="57"/>
      <c r="AF467" s="166"/>
      <c r="AG467" s="166"/>
    </row>
    <row r="468" spans="1:33" ht="14.25" customHeight="1" x14ac:dyDescent="0.3">
      <c r="A468" s="57"/>
      <c r="B468" s="57"/>
      <c r="C468" s="57"/>
      <c r="D468" s="60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8"/>
      <c r="AC468" s="57"/>
      <c r="AD468" s="57"/>
      <c r="AE468" s="57"/>
      <c r="AF468" s="166"/>
      <c r="AG468" s="166"/>
    </row>
    <row r="469" spans="1:33" ht="14.25" customHeight="1" x14ac:dyDescent="0.3">
      <c r="A469" s="57"/>
      <c r="B469" s="57"/>
      <c r="C469" s="57"/>
      <c r="D469" s="60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8"/>
      <c r="AC469" s="57"/>
      <c r="AD469" s="57"/>
      <c r="AE469" s="57"/>
      <c r="AF469" s="166"/>
      <c r="AG469" s="166"/>
    </row>
    <row r="470" spans="1:33" ht="14.25" customHeight="1" x14ac:dyDescent="0.3">
      <c r="A470" s="57"/>
      <c r="B470" s="57"/>
      <c r="C470" s="57"/>
      <c r="D470" s="60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8"/>
      <c r="AC470" s="57"/>
      <c r="AD470" s="57"/>
      <c r="AE470" s="57"/>
      <c r="AF470" s="166"/>
      <c r="AG470" s="166"/>
    </row>
    <row r="471" spans="1:33" ht="14.25" customHeight="1" x14ac:dyDescent="0.3">
      <c r="A471" s="57"/>
      <c r="B471" s="57"/>
      <c r="C471" s="57"/>
      <c r="D471" s="60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8"/>
      <c r="AC471" s="57"/>
      <c r="AD471" s="57"/>
      <c r="AE471" s="57"/>
      <c r="AF471" s="166"/>
      <c r="AG471" s="166"/>
    </row>
    <row r="472" spans="1:33" ht="14.25" customHeight="1" x14ac:dyDescent="0.3">
      <c r="A472" s="57"/>
      <c r="B472" s="57"/>
      <c r="C472" s="57"/>
      <c r="D472" s="60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8"/>
      <c r="AC472" s="57"/>
      <c r="AD472" s="57"/>
      <c r="AE472" s="57"/>
      <c r="AF472" s="166"/>
      <c r="AG472" s="166"/>
    </row>
    <row r="473" spans="1:33" ht="14.25" customHeight="1" x14ac:dyDescent="0.3">
      <c r="A473" s="57"/>
      <c r="B473" s="57"/>
      <c r="C473" s="57"/>
      <c r="D473" s="60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8"/>
      <c r="AC473" s="57"/>
      <c r="AD473" s="57"/>
      <c r="AE473" s="57"/>
      <c r="AF473" s="166"/>
      <c r="AG473" s="166"/>
    </row>
    <row r="474" spans="1:33" ht="14.25" customHeight="1" x14ac:dyDescent="0.3">
      <c r="A474" s="57"/>
      <c r="B474" s="57"/>
      <c r="C474" s="57"/>
      <c r="D474" s="60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8"/>
      <c r="AC474" s="57"/>
      <c r="AD474" s="57"/>
      <c r="AE474" s="57"/>
      <c r="AF474" s="166"/>
      <c r="AG474" s="166"/>
    </row>
    <row r="475" spans="1:33" ht="14.25" customHeight="1" x14ac:dyDescent="0.3">
      <c r="A475" s="57"/>
      <c r="B475" s="57"/>
      <c r="C475" s="57"/>
      <c r="D475" s="60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8"/>
      <c r="AC475" s="57"/>
      <c r="AD475" s="57"/>
      <c r="AE475" s="57"/>
      <c r="AF475" s="166"/>
      <c r="AG475" s="166"/>
    </row>
    <row r="476" spans="1:33" ht="14.25" customHeight="1" x14ac:dyDescent="0.3">
      <c r="A476" s="57"/>
      <c r="B476" s="57"/>
      <c r="C476" s="57"/>
      <c r="D476" s="60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8"/>
      <c r="AC476" s="57"/>
      <c r="AD476" s="57"/>
      <c r="AE476" s="57"/>
      <c r="AF476" s="166"/>
      <c r="AG476" s="166"/>
    </row>
    <row r="477" spans="1:33" ht="14.25" customHeight="1" x14ac:dyDescent="0.3">
      <c r="A477" s="57"/>
      <c r="B477" s="57"/>
      <c r="C477" s="57"/>
      <c r="D477" s="60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8"/>
      <c r="AC477" s="57"/>
      <c r="AD477" s="57"/>
      <c r="AE477" s="57"/>
      <c r="AF477" s="166"/>
      <c r="AG477" s="166"/>
    </row>
    <row r="478" spans="1:33" ht="14.25" customHeight="1" x14ac:dyDescent="0.3">
      <c r="A478" s="57"/>
      <c r="B478" s="57"/>
      <c r="C478" s="57"/>
      <c r="D478" s="60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8"/>
      <c r="AC478" s="57"/>
      <c r="AD478" s="57"/>
      <c r="AE478" s="57"/>
      <c r="AF478" s="166"/>
      <c r="AG478" s="166"/>
    </row>
    <row r="479" spans="1:33" ht="14.25" customHeight="1" x14ac:dyDescent="0.3">
      <c r="A479" s="57"/>
      <c r="B479" s="57"/>
      <c r="C479" s="57"/>
      <c r="D479" s="60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8"/>
      <c r="AC479" s="57"/>
      <c r="AD479" s="57"/>
      <c r="AE479" s="57"/>
      <c r="AF479" s="166"/>
      <c r="AG479" s="166"/>
    </row>
    <row r="480" spans="1:33" ht="14.25" customHeight="1" x14ac:dyDescent="0.3">
      <c r="A480" s="57"/>
      <c r="B480" s="57"/>
      <c r="C480" s="57"/>
      <c r="D480" s="60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8"/>
      <c r="AC480" s="57"/>
      <c r="AD480" s="57"/>
      <c r="AE480" s="57"/>
      <c r="AF480" s="166"/>
      <c r="AG480" s="166"/>
    </row>
    <row r="481" spans="1:33" ht="14.25" customHeight="1" x14ac:dyDescent="0.3">
      <c r="A481" s="57"/>
      <c r="B481" s="57"/>
      <c r="C481" s="57"/>
      <c r="D481" s="60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8"/>
      <c r="AC481" s="57"/>
      <c r="AD481" s="57"/>
      <c r="AE481" s="57"/>
      <c r="AF481" s="166"/>
      <c r="AG481" s="166"/>
    </row>
    <row r="482" spans="1:33" ht="14.25" customHeight="1" x14ac:dyDescent="0.3">
      <c r="A482" s="57"/>
      <c r="B482" s="57"/>
      <c r="C482" s="57"/>
      <c r="D482" s="60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8"/>
      <c r="AC482" s="57"/>
      <c r="AD482" s="57"/>
      <c r="AE482" s="57"/>
      <c r="AF482" s="166"/>
      <c r="AG482" s="166"/>
    </row>
    <row r="483" spans="1:33" ht="14.25" customHeight="1" x14ac:dyDescent="0.3">
      <c r="A483" s="57"/>
      <c r="B483" s="57"/>
      <c r="C483" s="57"/>
      <c r="D483" s="60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8"/>
      <c r="AC483" s="57"/>
      <c r="AD483" s="57"/>
      <c r="AE483" s="57"/>
      <c r="AF483" s="166"/>
      <c r="AG483" s="166"/>
    </row>
    <row r="484" spans="1:33" ht="14.25" customHeight="1" x14ac:dyDescent="0.3">
      <c r="A484" s="57"/>
      <c r="B484" s="57"/>
      <c r="C484" s="57"/>
      <c r="D484" s="60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8"/>
      <c r="AC484" s="57"/>
      <c r="AD484" s="57"/>
      <c r="AE484" s="57"/>
      <c r="AF484" s="166"/>
      <c r="AG484" s="166"/>
    </row>
    <row r="485" spans="1:33" ht="14.25" customHeight="1" x14ac:dyDescent="0.3">
      <c r="A485" s="57"/>
      <c r="B485" s="57"/>
      <c r="C485" s="57"/>
      <c r="D485" s="60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8"/>
      <c r="AC485" s="57"/>
      <c r="AD485" s="57"/>
      <c r="AE485" s="57"/>
      <c r="AF485" s="166"/>
      <c r="AG485" s="166"/>
    </row>
    <row r="486" spans="1:33" ht="14.25" customHeight="1" x14ac:dyDescent="0.3">
      <c r="A486" s="57"/>
      <c r="B486" s="57"/>
      <c r="C486" s="57"/>
      <c r="D486" s="60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8"/>
      <c r="AC486" s="57"/>
      <c r="AD486" s="57"/>
      <c r="AE486" s="57"/>
      <c r="AF486" s="166"/>
      <c r="AG486" s="166"/>
    </row>
    <row r="487" spans="1:33" ht="14.25" customHeight="1" x14ac:dyDescent="0.3">
      <c r="A487" s="57"/>
      <c r="B487" s="57"/>
      <c r="C487" s="57"/>
      <c r="D487" s="60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8"/>
      <c r="AC487" s="57"/>
      <c r="AD487" s="57"/>
      <c r="AE487" s="57"/>
      <c r="AF487" s="166"/>
      <c r="AG487" s="166"/>
    </row>
    <row r="488" spans="1:33" ht="14.25" customHeight="1" x14ac:dyDescent="0.3">
      <c r="A488" s="57"/>
      <c r="B488" s="57"/>
      <c r="C488" s="57"/>
      <c r="D488" s="60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8"/>
      <c r="AC488" s="57"/>
      <c r="AD488" s="57"/>
      <c r="AE488" s="57"/>
      <c r="AF488" s="166"/>
      <c r="AG488" s="166"/>
    </row>
    <row r="489" spans="1:33" ht="14.25" customHeight="1" x14ac:dyDescent="0.3">
      <c r="A489" s="57"/>
      <c r="B489" s="57"/>
      <c r="C489" s="57"/>
      <c r="D489" s="60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8"/>
      <c r="AC489" s="57"/>
      <c r="AD489" s="57"/>
      <c r="AE489" s="57"/>
      <c r="AF489" s="166"/>
      <c r="AG489" s="166"/>
    </row>
    <row r="490" spans="1:33" ht="14.25" customHeight="1" x14ac:dyDescent="0.3">
      <c r="A490" s="57"/>
      <c r="B490" s="57"/>
      <c r="C490" s="57"/>
      <c r="D490" s="60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8"/>
      <c r="AC490" s="57"/>
      <c r="AD490" s="57"/>
      <c r="AE490" s="57"/>
      <c r="AF490" s="166"/>
      <c r="AG490" s="166"/>
    </row>
    <row r="491" spans="1:33" ht="14.25" customHeight="1" x14ac:dyDescent="0.3">
      <c r="A491" s="57"/>
      <c r="B491" s="57"/>
      <c r="C491" s="57"/>
      <c r="D491" s="60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8"/>
      <c r="AC491" s="57"/>
      <c r="AD491" s="57"/>
      <c r="AE491" s="57"/>
      <c r="AF491" s="166"/>
      <c r="AG491" s="166"/>
    </row>
    <row r="492" spans="1:33" ht="14.25" customHeight="1" x14ac:dyDescent="0.3">
      <c r="A492" s="57"/>
      <c r="B492" s="57"/>
      <c r="C492" s="57"/>
      <c r="D492" s="60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8"/>
      <c r="AC492" s="57"/>
      <c r="AD492" s="57"/>
      <c r="AE492" s="57"/>
      <c r="AF492" s="166"/>
      <c r="AG492" s="166"/>
    </row>
    <row r="493" spans="1:33" ht="14.25" customHeight="1" x14ac:dyDescent="0.3">
      <c r="A493" s="57"/>
      <c r="B493" s="57"/>
      <c r="C493" s="57"/>
      <c r="D493" s="60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8"/>
      <c r="AC493" s="57"/>
      <c r="AD493" s="57"/>
      <c r="AE493" s="57"/>
      <c r="AF493" s="166"/>
      <c r="AG493" s="166"/>
    </row>
    <row r="494" spans="1:33" ht="14.25" customHeight="1" x14ac:dyDescent="0.3">
      <c r="A494" s="57"/>
      <c r="B494" s="57"/>
      <c r="C494" s="57"/>
      <c r="D494" s="60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8"/>
      <c r="AC494" s="57"/>
      <c r="AD494" s="57"/>
      <c r="AE494" s="57"/>
      <c r="AF494" s="166"/>
      <c r="AG494" s="166"/>
    </row>
    <row r="495" spans="1:33" ht="14.25" customHeight="1" x14ac:dyDescent="0.3">
      <c r="A495" s="57"/>
      <c r="B495" s="57"/>
      <c r="C495" s="57"/>
      <c r="D495" s="60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8"/>
      <c r="AC495" s="57"/>
      <c r="AD495" s="57"/>
      <c r="AE495" s="57"/>
      <c r="AF495" s="166"/>
      <c r="AG495" s="166"/>
    </row>
    <row r="496" spans="1:33" ht="14.25" customHeight="1" x14ac:dyDescent="0.3">
      <c r="A496" s="57"/>
      <c r="B496" s="57"/>
      <c r="C496" s="57"/>
      <c r="D496" s="60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8"/>
      <c r="AC496" s="57"/>
      <c r="AD496" s="57"/>
      <c r="AE496" s="57"/>
      <c r="AF496" s="166"/>
      <c r="AG496" s="166"/>
    </row>
    <row r="497" spans="1:33" ht="14.25" customHeight="1" x14ac:dyDescent="0.3">
      <c r="A497" s="57"/>
      <c r="B497" s="57"/>
      <c r="C497" s="57"/>
      <c r="D497" s="60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8"/>
      <c r="AC497" s="57"/>
      <c r="AD497" s="57"/>
      <c r="AE497" s="57"/>
      <c r="AF497" s="166"/>
      <c r="AG497" s="166"/>
    </row>
    <row r="498" spans="1:33" ht="14.25" customHeight="1" x14ac:dyDescent="0.3">
      <c r="A498" s="57"/>
      <c r="B498" s="57"/>
      <c r="C498" s="57"/>
      <c r="D498" s="60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8"/>
      <c r="AC498" s="57"/>
      <c r="AD498" s="57"/>
      <c r="AE498" s="57"/>
      <c r="AF498" s="166"/>
      <c r="AG498" s="166"/>
    </row>
    <row r="499" spans="1:33" ht="14.25" customHeight="1" x14ac:dyDescent="0.3">
      <c r="A499" s="57"/>
      <c r="B499" s="57"/>
      <c r="C499" s="57"/>
      <c r="D499" s="60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8"/>
      <c r="AC499" s="57"/>
      <c r="AD499" s="57"/>
      <c r="AE499" s="57"/>
      <c r="AF499" s="166"/>
      <c r="AG499" s="166"/>
    </row>
    <row r="500" spans="1:33" ht="14.25" customHeight="1" x14ac:dyDescent="0.3">
      <c r="A500" s="57"/>
      <c r="B500" s="57"/>
      <c r="C500" s="57"/>
      <c r="D500" s="60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8"/>
      <c r="AC500" s="57"/>
      <c r="AD500" s="57"/>
      <c r="AE500" s="57"/>
      <c r="AF500" s="166"/>
      <c r="AG500" s="166"/>
    </row>
    <row r="501" spans="1:33" ht="14.25" customHeight="1" x14ac:dyDescent="0.3">
      <c r="A501" s="57"/>
      <c r="B501" s="57"/>
      <c r="C501" s="57"/>
      <c r="D501" s="60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8"/>
      <c r="AC501" s="57"/>
      <c r="AD501" s="57"/>
      <c r="AE501" s="57"/>
      <c r="AF501" s="166"/>
      <c r="AG501" s="166"/>
    </row>
    <row r="502" spans="1:33" ht="14.25" customHeight="1" x14ac:dyDescent="0.3">
      <c r="A502" s="57"/>
      <c r="B502" s="57"/>
      <c r="C502" s="57"/>
      <c r="D502" s="60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8"/>
      <c r="AC502" s="57"/>
      <c r="AD502" s="57"/>
      <c r="AE502" s="57"/>
      <c r="AF502" s="166"/>
      <c r="AG502" s="166"/>
    </row>
    <row r="503" spans="1:33" ht="14.25" customHeight="1" x14ac:dyDescent="0.3">
      <c r="A503" s="57"/>
      <c r="B503" s="57"/>
      <c r="C503" s="57"/>
      <c r="D503" s="60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8"/>
      <c r="AC503" s="57"/>
      <c r="AD503" s="57"/>
      <c r="AE503" s="57"/>
      <c r="AF503" s="166"/>
      <c r="AG503" s="166"/>
    </row>
    <row r="504" spans="1:33" ht="14.25" customHeight="1" x14ac:dyDescent="0.3">
      <c r="A504" s="57"/>
      <c r="B504" s="57"/>
      <c r="C504" s="57"/>
      <c r="D504" s="60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8"/>
      <c r="AC504" s="57"/>
      <c r="AD504" s="57"/>
      <c r="AE504" s="57"/>
      <c r="AF504" s="166"/>
      <c r="AG504" s="166"/>
    </row>
    <row r="505" spans="1:33" ht="14.25" customHeight="1" x14ac:dyDescent="0.3">
      <c r="A505" s="57"/>
      <c r="B505" s="57"/>
      <c r="C505" s="57"/>
      <c r="D505" s="60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8"/>
      <c r="AC505" s="57"/>
      <c r="AD505" s="57"/>
      <c r="AE505" s="57"/>
      <c r="AF505" s="166"/>
      <c r="AG505" s="166"/>
    </row>
    <row r="506" spans="1:33" ht="14.25" customHeight="1" x14ac:dyDescent="0.3">
      <c r="A506" s="57"/>
      <c r="B506" s="57"/>
      <c r="C506" s="57"/>
      <c r="D506" s="60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8"/>
      <c r="AC506" s="57"/>
      <c r="AD506" s="57"/>
      <c r="AE506" s="57"/>
      <c r="AF506" s="166"/>
      <c r="AG506" s="166"/>
    </row>
    <row r="507" spans="1:33" ht="14.25" customHeight="1" x14ac:dyDescent="0.3">
      <c r="A507" s="57"/>
      <c r="B507" s="57"/>
      <c r="C507" s="57"/>
      <c r="D507" s="60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8"/>
      <c r="AC507" s="57"/>
      <c r="AD507" s="57"/>
      <c r="AE507" s="57"/>
      <c r="AF507" s="166"/>
      <c r="AG507" s="166"/>
    </row>
    <row r="508" spans="1:33" ht="14.25" customHeight="1" x14ac:dyDescent="0.3">
      <c r="A508" s="57"/>
      <c r="B508" s="57"/>
      <c r="C508" s="57"/>
      <c r="D508" s="60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8"/>
      <c r="AC508" s="57"/>
      <c r="AD508" s="57"/>
      <c r="AE508" s="57"/>
      <c r="AF508" s="166"/>
      <c r="AG508" s="166"/>
    </row>
    <row r="509" spans="1:33" ht="14.25" customHeight="1" x14ac:dyDescent="0.3">
      <c r="A509" s="57"/>
      <c r="B509" s="57"/>
      <c r="C509" s="57"/>
      <c r="D509" s="60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8"/>
      <c r="AC509" s="57"/>
      <c r="AD509" s="57"/>
      <c r="AE509" s="57"/>
      <c r="AF509" s="166"/>
      <c r="AG509" s="166"/>
    </row>
    <row r="510" spans="1:33" ht="14.25" customHeight="1" x14ac:dyDescent="0.3">
      <c r="A510" s="57"/>
      <c r="B510" s="57"/>
      <c r="C510" s="57"/>
      <c r="D510" s="60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8"/>
      <c r="AC510" s="57"/>
      <c r="AD510" s="57"/>
      <c r="AE510" s="57"/>
      <c r="AF510" s="166"/>
      <c r="AG510" s="166"/>
    </row>
    <row r="511" spans="1:33" ht="14.25" customHeight="1" x14ac:dyDescent="0.3">
      <c r="A511" s="57"/>
      <c r="B511" s="57"/>
      <c r="C511" s="57"/>
      <c r="D511" s="60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8"/>
      <c r="AC511" s="57"/>
      <c r="AD511" s="57"/>
      <c r="AE511" s="57"/>
      <c r="AF511" s="166"/>
      <c r="AG511" s="166"/>
    </row>
    <row r="512" spans="1:33" ht="14.25" customHeight="1" x14ac:dyDescent="0.3">
      <c r="A512" s="57"/>
      <c r="B512" s="57"/>
      <c r="C512" s="57"/>
      <c r="D512" s="60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8"/>
      <c r="AC512" s="57"/>
      <c r="AD512" s="57"/>
      <c r="AE512" s="57"/>
      <c r="AF512" s="166"/>
      <c r="AG512" s="166"/>
    </row>
    <row r="513" spans="1:33" ht="14.25" customHeight="1" x14ac:dyDescent="0.3">
      <c r="A513" s="57"/>
      <c r="B513" s="57"/>
      <c r="C513" s="57"/>
      <c r="D513" s="60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8"/>
      <c r="AC513" s="57"/>
      <c r="AD513" s="57"/>
      <c r="AE513" s="57"/>
      <c r="AF513" s="166"/>
      <c r="AG513" s="166"/>
    </row>
    <row r="514" spans="1:33" ht="14.25" customHeight="1" x14ac:dyDescent="0.3">
      <c r="A514" s="57"/>
      <c r="B514" s="57"/>
      <c r="C514" s="57"/>
      <c r="D514" s="60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8"/>
      <c r="AC514" s="57"/>
      <c r="AD514" s="57"/>
      <c r="AE514" s="57"/>
      <c r="AF514" s="166"/>
      <c r="AG514" s="166"/>
    </row>
    <row r="515" spans="1:33" ht="14.25" customHeight="1" x14ac:dyDescent="0.3">
      <c r="A515" s="57"/>
      <c r="B515" s="57"/>
      <c r="C515" s="57"/>
      <c r="D515" s="60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8"/>
      <c r="AC515" s="57"/>
      <c r="AD515" s="57"/>
      <c r="AE515" s="57"/>
      <c r="AF515" s="166"/>
      <c r="AG515" s="166"/>
    </row>
    <row r="516" spans="1:33" ht="14.25" customHeight="1" x14ac:dyDescent="0.3">
      <c r="A516" s="57"/>
      <c r="B516" s="57"/>
      <c r="C516" s="57"/>
      <c r="D516" s="60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8"/>
      <c r="AC516" s="57"/>
      <c r="AD516" s="57"/>
      <c r="AE516" s="57"/>
      <c r="AF516" s="166"/>
      <c r="AG516" s="166"/>
    </row>
    <row r="517" spans="1:33" ht="14.25" customHeight="1" x14ac:dyDescent="0.3">
      <c r="A517" s="57"/>
      <c r="B517" s="57"/>
      <c r="C517" s="57"/>
      <c r="D517" s="60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8"/>
      <c r="AC517" s="57"/>
      <c r="AD517" s="57"/>
      <c r="AE517" s="57"/>
      <c r="AF517" s="166"/>
      <c r="AG517" s="166"/>
    </row>
    <row r="518" spans="1:33" ht="14.25" customHeight="1" x14ac:dyDescent="0.3">
      <c r="A518" s="57"/>
      <c r="B518" s="57"/>
      <c r="C518" s="57"/>
      <c r="D518" s="60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8"/>
      <c r="AC518" s="57"/>
      <c r="AD518" s="57"/>
      <c r="AE518" s="57"/>
      <c r="AF518" s="166"/>
      <c r="AG518" s="166"/>
    </row>
    <row r="519" spans="1:33" ht="14.25" customHeight="1" x14ac:dyDescent="0.3">
      <c r="A519" s="57"/>
      <c r="B519" s="57"/>
      <c r="C519" s="57"/>
      <c r="D519" s="60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8"/>
      <c r="AC519" s="57"/>
      <c r="AD519" s="57"/>
      <c r="AE519" s="57"/>
      <c r="AF519" s="166"/>
      <c r="AG519" s="166"/>
    </row>
    <row r="520" spans="1:33" ht="14.25" customHeight="1" x14ac:dyDescent="0.3">
      <c r="A520" s="57"/>
      <c r="B520" s="57"/>
      <c r="C520" s="57"/>
      <c r="D520" s="60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8"/>
      <c r="AC520" s="57"/>
      <c r="AD520" s="57"/>
      <c r="AE520" s="57"/>
      <c r="AF520" s="166"/>
      <c r="AG520" s="166"/>
    </row>
    <row r="521" spans="1:33" ht="14.25" customHeight="1" x14ac:dyDescent="0.3">
      <c r="A521" s="57"/>
      <c r="B521" s="57"/>
      <c r="C521" s="57"/>
      <c r="D521" s="60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8"/>
      <c r="AC521" s="57"/>
      <c r="AD521" s="57"/>
      <c r="AE521" s="57"/>
      <c r="AF521" s="166"/>
      <c r="AG521" s="166"/>
    </row>
    <row r="522" spans="1:33" ht="14.25" customHeight="1" x14ac:dyDescent="0.3">
      <c r="A522" s="57"/>
      <c r="B522" s="57"/>
      <c r="C522" s="57"/>
      <c r="D522" s="60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8"/>
      <c r="AC522" s="57"/>
      <c r="AD522" s="57"/>
      <c r="AE522" s="57"/>
      <c r="AF522" s="166"/>
      <c r="AG522" s="166"/>
    </row>
    <row r="523" spans="1:33" ht="14.25" customHeight="1" x14ac:dyDescent="0.3">
      <c r="A523" s="57"/>
      <c r="B523" s="57"/>
      <c r="C523" s="57"/>
      <c r="D523" s="60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8"/>
      <c r="AC523" s="57"/>
      <c r="AD523" s="57"/>
      <c r="AE523" s="57"/>
      <c r="AF523" s="166"/>
      <c r="AG523" s="166"/>
    </row>
    <row r="524" spans="1:33" ht="14.25" customHeight="1" x14ac:dyDescent="0.3">
      <c r="A524" s="57"/>
      <c r="B524" s="57"/>
      <c r="C524" s="57"/>
      <c r="D524" s="60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8"/>
      <c r="AC524" s="57"/>
      <c r="AD524" s="57"/>
      <c r="AE524" s="57"/>
      <c r="AF524" s="166"/>
      <c r="AG524" s="166"/>
    </row>
    <row r="525" spans="1:33" ht="14.25" customHeight="1" x14ac:dyDescent="0.3">
      <c r="A525" s="57"/>
      <c r="B525" s="57"/>
      <c r="C525" s="57"/>
      <c r="D525" s="60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8"/>
      <c r="AC525" s="57"/>
      <c r="AD525" s="57"/>
      <c r="AE525" s="57"/>
      <c r="AF525" s="166"/>
      <c r="AG525" s="166"/>
    </row>
    <row r="526" spans="1:33" ht="14.25" customHeight="1" x14ac:dyDescent="0.3">
      <c r="A526" s="57"/>
      <c r="B526" s="57"/>
      <c r="C526" s="57"/>
      <c r="D526" s="60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8"/>
      <c r="AC526" s="57"/>
      <c r="AD526" s="57"/>
      <c r="AE526" s="57"/>
      <c r="AF526" s="166"/>
      <c r="AG526" s="166"/>
    </row>
    <row r="527" spans="1:33" ht="14.25" customHeight="1" x14ac:dyDescent="0.3">
      <c r="A527" s="57"/>
      <c r="B527" s="57"/>
      <c r="C527" s="57"/>
      <c r="D527" s="60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8"/>
      <c r="AC527" s="57"/>
      <c r="AD527" s="57"/>
      <c r="AE527" s="57"/>
      <c r="AF527" s="166"/>
      <c r="AG527" s="166"/>
    </row>
    <row r="528" spans="1:33" ht="14.25" customHeight="1" x14ac:dyDescent="0.3">
      <c r="A528" s="57"/>
      <c r="B528" s="57"/>
      <c r="C528" s="57"/>
      <c r="D528" s="60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8"/>
      <c r="AC528" s="57"/>
      <c r="AD528" s="57"/>
      <c r="AE528" s="57"/>
      <c r="AF528" s="166"/>
      <c r="AG528" s="166"/>
    </row>
    <row r="529" spans="1:33" ht="14.25" customHeight="1" x14ac:dyDescent="0.3">
      <c r="A529" s="57"/>
      <c r="B529" s="57"/>
      <c r="C529" s="57"/>
      <c r="D529" s="60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8"/>
      <c r="AC529" s="57"/>
      <c r="AD529" s="57"/>
      <c r="AE529" s="57"/>
      <c r="AF529" s="166"/>
      <c r="AG529" s="166"/>
    </row>
    <row r="530" spans="1:33" ht="14.25" customHeight="1" x14ac:dyDescent="0.3">
      <c r="A530" s="57"/>
      <c r="B530" s="57"/>
      <c r="C530" s="57"/>
      <c r="D530" s="60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8"/>
      <c r="AC530" s="57"/>
      <c r="AD530" s="57"/>
      <c r="AE530" s="57"/>
      <c r="AF530" s="166"/>
      <c r="AG530" s="166"/>
    </row>
    <row r="531" spans="1:33" ht="14.25" customHeight="1" x14ac:dyDescent="0.3">
      <c r="A531" s="57"/>
      <c r="B531" s="57"/>
      <c r="C531" s="57"/>
      <c r="D531" s="60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8"/>
      <c r="AC531" s="57"/>
      <c r="AD531" s="57"/>
      <c r="AE531" s="57"/>
      <c r="AF531" s="166"/>
      <c r="AG531" s="166"/>
    </row>
    <row r="532" spans="1:33" ht="14.25" customHeight="1" x14ac:dyDescent="0.3">
      <c r="A532" s="57"/>
      <c r="B532" s="57"/>
      <c r="C532" s="57"/>
      <c r="D532" s="60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8"/>
      <c r="AC532" s="57"/>
      <c r="AD532" s="57"/>
      <c r="AE532" s="57"/>
      <c r="AF532" s="166"/>
      <c r="AG532" s="166"/>
    </row>
    <row r="533" spans="1:33" ht="14.25" customHeight="1" x14ac:dyDescent="0.3">
      <c r="A533" s="57"/>
      <c r="B533" s="57"/>
      <c r="C533" s="57"/>
      <c r="D533" s="60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8"/>
      <c r="AC533" s="57"/>
      <c r="AD533" s="57"/>
      <c r="AE533" s="57"/>
      <c r="AF533" s="166"/>
      <c r="AG533" s="166"/>
    </row>
    <row r="534" spans="1:33" ht="14.25" customHeight="1" x14ac:dyDescent="0.3">
      <c r="A534" s="57"/>
      <c r="B534" s="57"/>
      <c r="C534" s="57"/>
      <c r="D534" s="60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8"/>
      <c r="AC534" s="57"/>
      <c r="AD534" s="57"/>
      <c r="AE534" s="57"/>
      <c r="AF534" s="166"/>
      <c r="AG534" s="166"/>
    </row>
    <row r="535" spans="1:33" ht="14.25" customHeight="1" x14ac:dyDescent="0.3">
      <c r="A535" s="57"/>
      <c r="B535" s="57"/>
      <c r="C535" s="57"/>
      <c r="D535" s="60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8"/>
      <c r="AC535" s="57"/>
      <c r="AD535" s="57"/>
      <c r="AE535" s="57"/>
      <c r="AF535" s="166"/>
      <c r="AG535" s="166"/>
    </row>
    <row r="536" spans="1:33" ht="14.25" customHeight="1" x14ac:dyDescent="0.3">
      <c r="A536" s="57"/>
      <c r="B536" s="57"/>
      <c r="C536" s="57"/>
      <c r="D536" s="60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8"/>
      <c r="AC536" s="57"/>
      <c r="AD536" s="57"/>
      <c r="AE536" s="57"/>
      <c r="AF536" s="166"/>
      <c r="AG536" s="166"/>
    </row>
    <row r="537" spans="1:33" ht="14.25" customHeight="1" x14ac:dyDescent="0.3">
      <c r="A537" s="57"/>
      <c r="B537" s="57"/>
      <c r="C537" s="57"/>
      <c r="D537" s="60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8"/>
      <c r="AC537" s="57"/>
      <c r="AD537" s="57"/>
      <c r="AE537" s="57"/>
      <c r="AF537" s="166"/>
      <c r="AG537" s="166"/>
    </row>
    <row r="538" spans="1:33" ht="14.25" customHeight="1" x14ac:dyDescent="0.3">
      <c r="A538" s="57"/>
      <c r="B538" s="57"/>
      <c r="C538" s="57"/>
      <c r="D538" s="60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8"/>
      <c r="AC538" s="57"/>
      <c r="AD538" s="57"/>
      <c r="AE538" s="57"/>
      <c r="AF538" s="166"/>
      <c r="AG538" s="166"/>
    </row>
    <row r="539" spans="1:33" ht="14.25" customHeight="1" x14ac:dyDescent="0.3">
      <c r="A539" s="57"/>
      <c r="B539" s="57"/>
      <c r="C539" s="57"/>
      <c r="D539" s="60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8"/>
      <c r="AC539" s="57"/>
      <c r="AD539" s="57"/>
      <c r="AE539" s="57"/>
      <c r="AF539" s="166"/>
      <c r="AG539" s="166"/>
    </row>
    <row r="540" spans="1:33" ht="14.25" customHeight="1" x14ac:dyDescent="0.3">
      <c r="A540" s="57"/>
      <c r="B540" s="57"/>
      <c r="C540" s="57"/>
      <c r="D540" s="60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8"/>
      <c r="AC540" s="57"/>
      <c r="AD540" s="57"/>
      <c r="AE540" s="57"/>
      <c r="AF540" s="166"/>
      <c r="AG540" s="166"/>
    </row>
    <row r="541" spans="1:33" ht="14.25" customHeight="1" x14ac:dyDescent="0.3">
      <c r="A541" s="57"/>
      <c r="B541" s="57"/>
      <c r="C541" s="57"/>
      <c r="D541" s="60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8"/>
      <c r="AC541" s="57"/>
      <c r="AD541" s="57"/>
      <c r="AE541" s="57"/>
      <c r="AF541" s="166"/>
      <c r="AG541" s="166"/>
    </row>
    <row r="542" spans="1:33" ht="14.25" customHeight="1" x14ac:dyDescent="0.3">
      <c r="A542" s="57"/>
      <c r="B542" s="57"/>
      <c r="C542" s="57"/>
      <c r="D542" s="60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8"/>
      <c r="AC542" s="57"/>
      <c r="AD542" s="57"/>
      <c r="AE542" s="57"/>
      <c r="AF542" s="166"/>
      <c r="AG542" s="166"/>
    </row>
    <row r="543" spans="1:33" ht="14.25" customHeight="1" x14ac:dyDescent="0.3">
      <c r="A543" s="57"/>
      <c r="B543" s="57"/>
      <c r="C543" s="57"/>
      <c r="D543" s="60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8"/>
      <c r="AC543" s="57"/>
      <c r="AD543" s="57"/>
      <c r="AE543" s="57"/>
      <c r="AF543" s="166"/>
      <c r="AG543" s="166"/>
    </row>
    <row r="544" spans="1:33" ht="14.25" customHeight="1" x14ac:dyDescent="0.3">
      <c r="A544" s="57"/>
      <c r="B544" s="57"/>
      <c r="C544" s="57"/>
      <c r="D544" s="60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8"/>
      <c r="AC544" s="57"/>
      <c r="AD544" s="57"/>
      <c r="AE544" s="57"/>
      <c r="AF544" s="166"/>
      <c r="AG544" s="166"/>
    </row>
    <row r="545" spans="1:33" ht="14.25" customHeight="1" x14ac:dyDescent="0.3">
      <c r="A545" s="57"/>
      <c r="B545" s="57"/>
      <c r="C545" s="57"/>
      <c r="D545" s="60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8"/>
      <c r="AC545" s="57"/>
      <c r="AD545" s="57"/>
      <c r="AE545" s="57"/>
      <c r="AF545" s="166"/>
      <c r="AG545" s="166"/>
    </row>
    <row r="546" spans="1:33" ht="14.25" customHeight="1" x14ac:dyDescent="0.3">
      <c r="A546" s="57"/>
      <c r="B546" s="57"/>
      <c r="C546" s="57"/>
      <c r="D546" s="60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8"/>
      <c r="AC546" s="57"/>
      <c r="AD546" s="57"/>
      <c r="AE546" s="57"/>
      <c r="AF546" s="166"/>
      <c r="AG546" s="166"/>
    </row>
    <row r="547" spans="1:33" ht="14.25" customHeight="1" x14ac:dyDescent="0.3">
      <c r="A547" s="57"/>
      <c r="B547" s="57"/>
      <c r="C547" s="57"/>
      <c r="D547" s="60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8"/>
      <c r="AC547" s="57"/>
      <c r="AD547" s="57"/>
      <c r="AE547" s="57"/>
      <c r="AF547" s="166"/>
      <c r="AG547" s="166"/>
    </row>
    <row r="548" spans="1:33" ht="14.25" customHeight="1" x14ac:dyDescent="0.3">
      <c r="A548" s="57"/>
      <c r="B548" s="57"/>
      <c r="C548" s="57"/>
      <c r="D548" s="60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8"/>
      <c r="AC548" s="57"/>
      <c r="AD548" s="57"/>
      <c r="AE548" s="57"/>
      <c r="AF548" s="166"/>
      <c r="AG548" s="166"/>
    </row>
    <row r="549" spans="1:33" ht="14.25" customHeight="1" x14ac:dyDescent="0.3">
      <c r="A549" s="57"/>
      <c r="B549" s="57"/>
      <c r="C549" s="57"/>
      <c r="D549" s="60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8"/>
      <c r="AC549" s="57"/>
      <c r="AD549" s="57"/>
      <c r="AE549" s="57"/>
      <c r="AF549" s="166"/>
      <c r="AG549" s="166"/>
    </row>
    <row r="550" spans="1:33" ht="14.25" customHeight="1" x14ac:dyDescent="0.3">
      <c r="A550" s="57"/>
      <c r="B550" s="57"/>
      <c r="C550" s="57"/>
      <c r="D550" s="60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8"/>
      <c r="AC550" s="57"/>
      <c r="AD550" s="57"/>
      <c r="AE550" s="57"/>
      <c r="AF550" s="166"/>
      <c r="AG550" s="166"/>
    </row>
    <row r="551" spans="1:33" ht="14.25" customHeight="1" x14ac:dyDescent="0.3">
      <c r="A551" s="57"/>
      <c r="B551" s="57"/>
      <c r="C551" s="57"/>
      <c r="D551" s="60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8"/>
      <c r="AC551" s="57"/>
      <c r="AD551" s="57"/>
      <c r="AE551" s="57"/>
      <c r="AF551" s="166"/>
      <c r="AG551" s="166"/>
    </row>
    <row r="552" spans="1:33" ht="14.25" customHeight="1" x14ac:dyDescent="0.3">
      <c r="A552" s="57"/>
      <c r="B552" s="57"/>
      <c r="C552" s="57"/>
      <c r="D552" s="60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8"/>
      <c r="AC552" s="57"/>
      <c r="AD552" s="57"/>
      <c r="AE552" s="57"/>
      <c r="AF552" s="166"/>
      <c r="AG552" s="166"/>
    </row>
    <row r="553" spans="1:33" ht="14.25" customHeight="1" x14ac:dyDescent="0.3">
      <c r="A553" s="57"/>
      <c r="B553" s="57"/>
      <c r="C553" s="57"/>
      <c r="D553" s="60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8"/>
      <c r="AC553" s="57"/>
      <c r="AD553" s="57"/>
      <c r="AE553" s="57"/>
      <c r="AF553" s="166"/>
      <c r="AG553" s="166"/>
    </row>
    <row r="554" spans="1:33" ht="14.25" customHeight="1" x14ac:dyDescent="0.3">
      <c r="A554" s="57"/>
      <c r="B554" s="57"/>
      <c r="C554" s="57"/>
      <c r="D554" s="60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8"/>
      <c r="AC554" s="57"/>
      <c r="AD554" s="57"/>
      <c r="AE554" s="57"/>
      <c r="AF554" s="166"/>
      <c r="AG554" s="166"/>
    </row>
    <row r="555" spans="1:33" ht="14.25" customHeight="1" x14ac:dyDescent="0.3">
      <c r="A555" s="57"/>
      <c r="B555" s="57"/>
      <c r="C555" s="57"/>
      <c r="D555" s="60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8"/>
      <c r="AC555" s="57"/>
      <c r="AD555" s="57"/>
      <c r="AE555" s="57"/>
      <c r="AF555" s="166"/>
      <c r="AG555" s="166"/>
    </row>
    <row r="556" spans="1:33" ht="14.25" customHeight="1" x14ac:dyDescent="0.3">
      <c r="A556" s="57"/>
      <c r="B556" s="57"/>
      <c r="C556" s="57"/>
      <c r="D556" s="60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8"/>
      <c r="AC556" s="57"/>
      <c r="AD556" s="57"/>
      <c r="AE556" s="57"/>
      <c r="AF556" s="166"/>
      <c r="AG556" s="166"/>
    </row>
    <row r="557" spans="1:33" ht="14.25" customHeight="1" x14ac:dyDescent="0.3">
      <c r="A557" s="57"/>
      <c r="B557" s="57"/>
      <c r="C557" s="57"/>
      <c r="D557" s="60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8"/>
      <c r="AC557" s="57"/>
      <c r="AD557" s="57"/>
      <c r="AE557" s="57"/>
      <c r="AF557" s="166"/>
      <c r="AG557" s="166"/>
    </row>
    <row r="558" spans="1:33" ht="14.25" customHeight="1" x14ac:dyDescent="0.3">
      <c r="A558" s="57"/>
      <c r="B558" s="57"/>
      <c r="C558" s="57"/>
      <c r="D558" s="60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8"/>
      <c r="AC558" s="57"/>
      <c r="AD558" s="57"/>
      <c r="AE558" s="57"/>
      <c r="AF558" s="166"/>
      <c r="AG558" s="166"/>
    </row>
    <row r="559" spans="1:33" ht="14.25" customHeight="1" x14ac:dyDescent="0.3">
      <c r="A559" s="57"/>
      <c r="B559" s="57"/>
      <c r="C559" s="57"/>
      <c r="D559" s="60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8"/>
      <c r="AC559" s="57"/>
      <c r="AD559" s="57"/>
      <c r="AE559" s="57"/>
      <c r="AF559" s="166"/>
      <c r="AG559" s="166"/>
    </row>
    <row r="560" spans="1:33" ht="14.25" customHeight="1" x14ac:dyDescent="0.3">
      <c r="A560" s="57"/>
      <c r="B560" s="57"/>
      <c r="C560" s="57"/>
      <c r="D560" s="60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8"/>
      <c r="AC560" s="57"/>
      <c r="AD560" s="57"/>
      <c r="AE560" s="57"/>
      <c r="AF560" s="166"/>
      <c r="AG560" s="166"/>
    </row>
    <row r="561" spans="1:33" ht="14.25" customHeight="1" x14ac:dyDescent="0.3">
      <c r="A561" s="57"/>
      <c r="B561" s="57"/>
      <c r="C561" s="57"/>
      <c r="D561" s="60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8"/>
      <c r="AC561" s="57"/>
      <c r="AD561" s="57"/>
      <c r="AE561" s="57"/>
      <c r="AF561" s="166"/>
      <c r="AG561" s="166"/>
    </row>
    <row r="562" spans="1:33" ht="14.25" customHeight="1" x14ac:dyDescent="0.3">
      <c r="A562" s="57"/>
      <c r="B562" s="57"/>
      <c r="C562" s="57"/>
      <c r="D562" s="60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8"/>
      <c r="AC562" s="57"/>
      <c r="AD562" s="57"/>
      <c r="AE562" s="57"/>
      <c r="AF562" s="166"/>
      <c r="AG562" s="166"/>
    </row>
    <row r="563" spans="1:33" ht="14.25" customHeight="1" x14ac:dyDescent="0.3">
      <c r="A563" s="57"/>
      <c r="B563" s="57"/>
      <c r="C563" s="57"/>
      <c r="D563" s="60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8"/>
      <c r="AC563" s="57"/>
      <c r="AD563" s="57"/>
      <c r="AE563" s="57"/>
      <c r="AF563" s="166"/>
      <c r="AG563" s="166"/>
    </row>
    <row r="564" spans="1:33" ht="14.25" customHeight="1" x14ac:dyDescent="0.3">
      <c r="A564" s="57"/>
      <c r="B564" s="57"/>
      <c r="C564" s="57"/>
      <c r="D564" s="60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8"/>
      <c r="AC564" s="57"/>
      <c r="AD564" s="57"/>
      <c r="AE564" s="57"/>
      <c r="AF564" s="166"/>
      <c r="AG564" s="166"/>
    </row>
    <row r="565" spans="1:33" ht="14.25" customHeight="1" x14ac:dyDescent="0.3">
      <c r="A565" s="57"/>
      <c r="B565" s="57"/>
      <c r="C565" s="57"/>
      <c r="D565" s="60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8"/>
      <c r="AC565" s="57"/>
      <c r="AD565" s="57"/>
      <c r="AE565" s="57"/>
      <c r="AF565" s="166"/>
      <c r="AG565" s="166"/>
    </row>
    <row r="566" spans="1:33" ht="14.25" customHeight="1" x14ac:dyDescent="0.3">
      <c r="A566" s="57"/>
      <c r="B566" s="57"/>
      <c r="C566" s="57"/>
      <c r="D566" s="60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8"/>
      <c r="AC566" s="57"/>
      <c r="AD566" s="57"/>
      <c r="AE566" s="57"/>
      <c r="AF566" s="166"/>
      <c r="AG566" s="166"/>
    </row>
    <row r="567" spans="1:33" ht="14.25" customHeight="1" x14ac:dyDescent="0.3">
      <c r="A567" s="57"/>
      <c r="B567" s="57"/>
      <c r="C567" s="57"/>
      <c r="D567" s="60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8"/>
      <c r="AC567" s="57"/>
      <c r="AD567" s="57"/>
      <c r="AE567" s="57"/>
      <c r="AF567" s="166"/>
      <c r="AG567" s="166"/>
    </row>
    <row r="568" spans="1:33" ht="14.25" customHeight="1" x14ac:dyDescent="0.3">
      <c r="A568" s="57"/>
      <c r="B568" s="57"/>
      <c r="C568" s="57"/>
      <c r="D568" s="60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8"/>
      <c r="AC568" s="57"/>
      <c r="AD568" s="57"/>
      <c r="AE568" s="57"/>
      <c r="AF568" s="166"/>
      <c r="AG568" s="166"/>
    </row>
    <row r="569" spans="1:33" ht="14.25" customHeight="1" x14ac:dyDescent="0.3">
      <c r="A569" s="57"/>
      <c r="B569" s="57"/>
      <c r="C569" s="57"/>
      <c r="D569" s="60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8"/>
      <c r="AC569" s="57"/>
      <c r="AD569" s="57"/>
      <c r="AE569" s="57"/>
      <c r="AF569" s="166"/>
      <c r="AG569" s="166"/>
    </row>
    <row r="570" spans="1:33" ht="14.25" customHeight="1" x14ac:dyDescent="0.3">
      <c r="A570" s="57"/>
      <c r="B570" s="57"/>
      <c r="C570" s="57"/>
      <c r="D570" s="60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8"/>
      <c r="AC570" s="57"/>
      <c r="AD570" s="57"/>
      <c r="AE570" s="57"/>
      <c r="AF570" s="166"/>
      <c r="AG570" s="166"/>
    </row>
    <row r="571" spans="1:33" ht="14.25" customHeight="1" x14ac:dyDescent="0.3">
      <c r="A571" s="57"/>
      <c r="B571" s="57"/>
      <c r="C571" s="57"/>
      <c r="D571" s="60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8"/>
      <c r="AC571" s="57"/>
      <c r="AD571" s="57"/>
      <c r="AE571" s="57"/>
      <c r="AF571" s="166"/>
      <c r="AG571" s="166"/>
    </row>
    <row r="572" spans="1:33" ht="14.25" customHeight="1" x14ac:dyDescent="0.3">
      <c r="A572" s="57"/>
      <c r="B572" s="57"/>
      <c r="C572" s="57"/>
      <c r="D572" s="60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8"/>
      <c r="AC572" s="57"/>
      <c r="AD572" s="57"/>
      <c r="AE572" s="57"/>
      <c r="AF572" s="166"/>
      <c r="AG572" s="166"/>
    </row>
    <row r="573" spans="1:33" ht="14.25" customHeight="1" x14ac:dyDescent="0.3">
      <c r="A573" s="57"/>
      <c r="B573" s="57"/>
      <c r="C573" s="57"/>
      <c r="D573" s="60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8"/>
      <c r="AC573" s="57"/>
      <c r="AD573" s="57"/>
      <c r="AE573" s="57"/>
      <c r="AF573" s="166"/>
      <c r="AG573" s="166"/>
    </row>
    <row r="574" spans="1:33" ht="14.25" customHeight="1" x14ac:dyDescent="0.3">
      <c r="A574" s="57"/>
      <c r="B574" s="57"/>
      <c r="C574" s="57"/>
      <c r="D574" s="60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8"/>
      <c r="AC574" s="57"/>
      <c r="AD574" s="57"/>
      <c r="AE574" s="57"/>
      <c r="AF574" s="166"/>
      <c r="AG574" s="166"/>
    </row>
    <row r="575" spans="1:33" ht="14.25" customHeight="1" x14ac:dyDescent="0.3">
      <c r="A575" s="57"/>
      <c r="B575" s="57"/>
      <c r="C575" s="57"/>
      <c r="D575" s="60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8"/>
      <c r="AC575" s="57"/>
      <c r="AD575" s="57"/>
      <c r="AE575" s="57"/>
      <c r="AF575" s="166"/>
      <c r="AG575" s="166"/>
    </row>
    <row r="576" spans="1:33" ht="14.25" customHeight="1" x14ac:dyDescent="0.3">
      <c r="A576" s="57"/>
      <c r="B576" s="57"/>
      <c r="C576" s="57"/>
      <c r="D576" s="60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8"/>
      <c r="AC576" s="57"/>
      <c r="AD576" s="57"/>
      <c r="AE576" s="57"/>
      <c r="AF576" s="166"/>
      <c r="AG576" s="166"/>
    </row>
    <row r="577" spans="1:33" ht="14.25" customHeight="1" x14ac:dyDescent="0.3">
      <c r="A577" s="57"/>
      <c r="B577" s="57"/>
      <c r="C577" s="57"/>
      <c r="D577" s="60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8"/>
      <c r="AC577" s="57"/>
      <c r="AD577" s="57"/>
      <c r="AE577" s="57"/>
      <c r="AF577" s="166"/>
      <c r="AG577" s="166"/>
    </row>
    <row r="578" spans="1:33" ht="14.25" customHeight="1" x14ac:dyDescent="0.3">
      <c r="A578" s="57"/>
      <c r="B578" s="57"/>
      <c r="C578" s="57"/>
      <c r="D578" s="60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8"/>
      <c r="AC578" s="57"/>
      <c r="AD578" s="57"/>
      <c r="AE578" s="57"/>
      <c r="AF578" s="166"/>
      <c r="AG578" s="166"/>
    </row>
    <row r="579" spans="1:33" ht="14.25" customHeight="1" x14ac:dyDescent="0.3">
      <c r="A579" s="57"/>
      <c r="B579" s="57"/>
      <c r="C579" s="57"/>
      <c r="D579" s="60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8"/>
      <c r="AC579" s="57"/>
      <c r="AD579" s="57"/>
      <c r="AE579" s="57"/>
      <c r="AF579" s="166"/>
      <c r="AG579" s="166"/>
    </row>
    <row r="580" spans="1:33" ht="14.25" customHeight="1" x14ac:dyDescent="0.3">
      <c r="A580" s="57"/>
      <c r="B580" s="57"/>
      <c r="C580" s="57"/>
      <c r="D580" s="60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8"/>
      <c r="AC580" s="57"/>
      <c r="AD580" s="57"/>
      <c r="AE580" s="57"/>
      <c r="AF580" s="166"/>
      <c r="AG580" s="166"/>
    </row>
    <row r="581" spans="1:33" ht="14.25" customHeight="1" x14ac:dyDescent="0.3">
      <c r="A581" s="57"/>
      <c r="B581" s="57"/>
      <c r="C581" s="57"/>
      <c r="D581" s="60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8"/>
      <c r="AC581" s="57"/>
      <c r="AD581" s="57"/>
      <c r="AE581" s="57"/>
      <c r="AF581" s="166"/>
      <c r="AG581" s="166"/>
    </row>
    <row r="582" spans="1:33" ht="14.25" customHeight="1" x14ac:dyDescent="0.3">
      <c r="A582" s="57"/>
      <c r="B582" s="57"/>
      <c r="C582" s="57"/>
      <c r="D582" s="60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8"/>
      <c r="AC582" s="57"/>
      <c r="AD582" s="57"/>
      <c r="AE582" s="57"/>
      <c r="AF582" s="166"/>
      <c r="AG582" s="166"/>
    </row>
    <row r="583" spans="1:33" ht="14.25" customHeight="1" x14ac:dyDescent="0.3">
      <c r="A583" s="57"/>
      <c r="B583" s="57"/>
      <c r="C583" s="57"/>
      <c r="D583" s="60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8"/>
      <c r="AC583" s="57"/>
      <c r="AD583" s="57"/>
      <c r="AE583" s="57"/>
      <c r="AF583" s="166"/>
      <c r="AG583" s="166"/>
    </row>
    <row r="584" spans="1:33" ht="14.25" customHeight="1" x14ac:dyDescent="0.3">
      <c r="A584" s="57"/>
      <c r="B584" s="57"/>
      <c r="C584" s="57"/>
      <c r="D584" s="60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8"/>
      <c r="AC584" s="57"/>
      <c r="AD584" s="57"/>
      <c r="AE584" s="57"/>
      <c r="AF584" s="166"/>
      <c r="AG584" s="166"/>
    </row>
    <row r="585" spans="1:33" ht="14.25" customHeight="1" x14ac:dyDescent="0.3">
      <c r="A585" s="57"/>
      <c r="B585" s="57"/>
      <c r="C585" s="57"/>
      <c r="D585" s="60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8"/>
      <c r="AC585" s="57"/>
      <c r="AD585" s="57"/>
      <c r="AE585" s="57"/>
      <c r="AF585" s="166"/>
      <c r="AG585" s="166"/>
    </row>
    <row r="586" spans="1:33" ht="14.25" customHeight="1" x14ac:dyDescent="0.3">
      <c r="A586" s="57"/>
      <c r="B586" s="57"/>
      <c r="C586" s="57"/>
      <c r="D586" s="60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8"/>
      <c r="AC586" s="57"/>
      <c r="AD586" s="57"/>
      <c r="AE586" s="57"/>
      <c r="AF586" s="166"/>
      <c r="AG586" s="166"/>
    </row>
    <row r="587" spans="1:33" ht="14.25" customHeight="1" x14ac:dyDescent="0.3">
      <c r="A587" s="57"/>
      <c r="B587" s="57"/>
      <c r="C587" s="57"/>
      <c r="D587" s="60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8"/>
      <c r="AC587" s="57"/>
      <c r="AD587" s="57"/>
      <c r="AE587" s="57"/>
      <c r="AF587" s="166"/>
      <c r="AG587" s="166"/>
    </row>
    <row r="588" spans="1:33" ht="14.25" customHeight="1" x14ac:dyDescent="0.3">
      <c r="A588" s="57"/>
      <c r="B588" s="57"/>
      <c r="C588" s="57"/>
      <c r="D588" s="60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8"/>
      <c r="AC588" s="57"/>
      <c r="AD588" s="57"/>
      <c r="AE588" s="57"/>
      <c r="AF588" s="166"/>
      <c r="AG588" s="166"/>
    </row>
    <row r="589" spans="1:33" ht="14.25" customHeight="1" x14ac:dyDescent="0.3">
      <c r="A589" s="57"/>
      <c r="B589" s="57"/>
      <c r="C589" s="57"/>
      <c r="D589" s="60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8"/>
      <c r="AC589" s="57"/>
      <c r="AD589" s="57"/>
      <c r="AE589" s="57"/>
      <c r="AF589" s="166"/>
      <c r="AG589" s="166"/>
    </row>
    <row r="590" spans="1:33" ht="14.25" customHeight="1" x14ac:dyDescent="0.3">
      <c r="A590" s="57"/>
      <c r="B590" s="57"/>
      <c r="C590" s="57"/>
      <c r="D590" s="60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8"/>
      <c r="AC590" s="57"/>
      <c r="AD590" s="57"/>
      <c r="AE590" s="57"/>
      <c r="AF590" s="166"/>
      <c r="AG590" s="166"/>
    </row>
    <row r="591" spans="1:33" ht="14.25" customHeight="1" x14ac:dyDescent="0.3">
      <c r="A591" s="57"/>
      <c r="B591" s="57"/>
      <c r="C591" s="57"/>
      <c r="D591" s="60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8"/>
      <c r="AC591" s="57"/>
      <c r="AD591" s="57"/>
      <c r="AE591" s="57"/>
      <c r="AF591" s="166"/>
      <c r="AG591" s="166"/>
    </row>
    <row r="592" spans="1:33" ht="14.25" customHeight="1" x14ac:dyDescent="0.3">
      <c r="A592" s="57"/>
      <c r="B592" s="57"/>
      <c r="C592" s="57"/>
      <c r="D592" s="60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8"/>
      <c r="AC592" s="57"/>
      <c r="AD592" s="57"/>
      <c r="AE592" s="57"/>
      <c r="AF592" s="166"/>
      <c r="AG592" s="166"/>
    </row>
    <row r="593" spans="1:33" ht="14.25" customHeight="1" x14ac:dyDescent="0.3">
      <c r="A593" s="57"/>
      <c r="B593" s="57"/>
      <c r="C593" s="57"/>
      <c r="D593" s="60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8"/>
      <c r="AC593" s="57"/>
      <c r="AD593" s="57"/>
      <c r="AE593" s="57"/>
      <c r="AF593" s="166"/>
      <c r="AG593" s="166"/>
    </row>
    <row r="594" spans="1:33" ht="14.25" customHeight="1" x14ac:dyDescent="0.3">
      <c r="A594" s="57"/>
      <c r="B594" s="57"/>
      <c r="C594" s="57"/>
      <c r="D594" s="60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8"/>
      <c r="AC594" s="57"/>
      <c r="AD594" s="57"/>
      <c r="AE594" s="57"/>
      <c r="AF594" s="166"/>
      <c r="AG594" s="166"/>
    </row>
    <row r="595" spans="1:33" ht="14.25" customHeight="1" x14ac:dyDescent="0.3">
      <c r="A595" s="57"/>
      <c r="B595" s="57"/>
      <c r="C595" s="57"/>
      <c r="D595" s="60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8"/>
      <c r="AC595" s="57"/>
      <c r="AD595" s="57"/>
      <c r="AE595" s="57"/>
      <c r="AF595" s="166"/>
      <c r="AG595" s="166"/>
    </row>
    <row r="596" spans="1:33" ht="14.25" customHeight="1" x14ac:dyDescent="0.3">
      <c r="A596" s="57"/>
      <c r="B596" s="57"/>
      <c r="C596" s="57"/>
      <c r="D596" s="60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8"/>
      <c r="AC596" s="57"/>
      <c r="AD596" s="57"/>
      <c r="AE596" s="57"/>
      <c r="AF596" s="166"/>
      <c r="AG596" s="166"/>
    </row>
    <row r="597" spans="1:33" ht="14.25" customHeight="1" x14ac:dyDescent="0.3">
      <c r="A597" s="57"/>
      <c r="B597" s="57"/>
      <c r="C597" s="57"/>
      <c r="D597" s="60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8"/>
      <c r="AC597" s="57"/>
      <c r="AD597" s="57"/>
      <c r="AE597" s="57"/>
      <c r="AF597" s="166"/>
      <c r="AG597" s="166"/>
    </row>
    <row r="598" spans="1:33" ht="14.25" customHeight="1" x14ac:dyDescent="0.3">
      <c r="A598" s="57"/>
      <c r="B598" s="57"/>
      <c r="C598" s="57"/>
      <c r="D598" s="60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8"/>
      <c r="AC598" s="57"/>
      <c r="AD598" s="57"/>
      <c r="AE598" s="57"/>
      <c r="AF598" s="166"/>
      <c r="AG598" s="166"/>
    </row>
    <row r="599" spans="1:33" ht="14.25" customHeight="1" x14ac:dyDescent="0.3">
      <c r="A599" s="57"/>
      <c r="B599" s="57"/>
      <c r="C599" s="57"/>
      <c r="D599" s="60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8"/>
      <c r="AC599" s="57"/>
      <c r="AD599" s="57"/>
      <c r="AE599" s="57"/>
      <c r="AF599" s="166"/>
      <c r="AG599" s="166"/>
    </row>
    <row r="600" spans="1:33" ht="14.25" customHeight="1" x14ac:dyDescent="0.3">
      <c r="A600" s="57"/>
      <c r="B600" s="57"/>
      <c r="C600" s="57"/>
      <c r="D600" s="60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8"/>
      <c r="AC600" s="57"/>
      <c r="AD600" s="57"/>
      <c r="AE600" s="57"/>
      <c r="AF600" s="166"/>
      <c r="AG600" s="166"/>
    </row>
    <row r="601" spans="1:33" ht="14.25" customHeight="1" x14ac:dyDescent="0.3">
      <c r="A601" s="57"/>
      <c r="B601" s="57"/>
      <c r="C601" s="57"/>
      <c r="D601" s="60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8"/>
      <c r="AC601" s="57"/>
      <c r="AD601" s="57"/>
      <c r="AE601" s="57"/>
      <c r="AF601" s="166"/>
      <c r="AG601" s="166"/>
    </row>
    <row r="602" spans="1:33" ht="14.25" customHeight="1" x14ac:dyDescent="0.3">
      <c r="A602" s="57"/>
      <c r="B602" s="57"/>
      <c r="C602" s="57"/>
      <c r="D602" s="60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8"/>
      <c r="AC602" s="57"/>
      <c r="AD602" s="57"/>
      <c r="AE602" s="57"/>
      <c r="AF602" s="166"/>
      <c r="AG602" s="166"/>
    </row>
    <row r="603" spans="1:33" ht="14.25" customHeight="1" x14ac:dyDescent="0.3">
      <c r="A603" s="57"/>
      <c r="B603" s="57"/>
      <c r="C603" s="57"/>
      <c r="D603" s="60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8"/>
      <c r="AC603" s="57"/>
      <c r="AD603" s="57"/>
      <c r="AE603" s="57"/>
      <c r="AF603" s="166"/>
      <c r="AG603" s="166"/>
    </row>
    <row r="604" spans="1:33" ht="14.25" customHeight="1" x14ac:dyDescent="0.3">
      <c r="A604" s="57"/>
      <c r="B604" s="57"/>
      <c r="C604" s="57"/>
      <c r="D604" s="60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8"/>
      <c r="AC604" s="57"/>
      <c r="AD604" s="57"/>
      <c r="AE604" s="57"/>
      <c r="AF604" s="166"/>
      <c r="AG604" s="166"/>
    </row>
    <row r="605" spans="1:33" ht="14.25" customHeight="1" x14ac:dyDescent="0.3">
      <c r="A605" s="57"/>
      <c r="B605" s="57"/>
      <c r="C605" s="57"/>
      <c r="D605" s="60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8"/>
      <c r="AC605" s="57"/>
      <c r="AD605" s="57"/>
      <c r="AE605" s="57"/>
      <c r="AF605" s="166"/>
      <c r="AG605" s="166"/>
    </row>
    <row r="606" spans="1:33" ht="14.25" customHeight="1" x14ac:dyDescent="0.3">
      <c r="A606" s="57"/>
      <c r="B606" s="57"/>
      <c r="C606" s="57"/>
      <c r="D606" s="60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8"/>
      <c r="AC606" s="57"/>
      <c r="AD606" s="57"/>
      <c r="AE606" s="57"/>
      <c r="AF606" s="166"/>
      <c r="AG606" s="166"/>
    </row>
    <row r="607" spans="1:33" ht="14.25" customHeight="1" x14ac:dyDescent="0.3">
      <c r="A607" s="57"/>
      <c r="B607" s="57"/>
      <c r="C607" s="57"/>
      <c r="D607" s="60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8"/>
      <c r="AC607" s="57"/>
      <c r="AD607" s="57"/>
      <c r="AE607" s="57"/>
      <c r="AF607" s="166"/>
      <c r="AG607" s="166"/>
    </row>
    <row r="608" spans="1:33" ht="14.25" customHeight="1" x14ac:dyDescent="0.3">
      <c r="A608" s="57"/>
      <c r="B608" s="57"/>
      <c r="C608" s="57"/>
      <c r="D608" s="60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8"/>
      <c r="AC608" s="57"/>
      <c r="AD608" s="57"/>
      <c r="AE608" s="57"/>
      <c r="AF608" s="166"/>
      <c r="AG608" s="166"/>
    </row>
    <row r="609" spans="1:33" ht="14.25" customHeight="1" x14ac:dyDescent="0.3">
      <c r="A609" s="57"/>
      <c r="B609" s="57"/>
      <c r="C609" s="57"/>
      <c r="D609" s="60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8"/>
      <c r="AC609" s="57"/>
      <c r="AD609" s="57"/>
      <c r="AE609" s="57"/>
      <c r="AF609" s="166"/>
      <c r="AG609" s="166"/>
    </row>
    <row r="610" spans="1:33" ht="14.25" customHeight="1" x14ac:dyDescent="0.3">
      <c r="A610" s="57"/>
      <c r="B610" s="57"/>
      <c r="C610" s="57"/>
      <c r="D610" s="60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8"/>
      <c r="AC610" s="57"/>
      <c r="AD610" s="57"/>
      <c r="AE610" s="57"/>
      <c r="AF610" s="166"/>
      <c r="AG610" s="166"/>
    </row>
    <row r="611" spans="1:33" ht="14.25" customHeight="1" x14ac:dyDescent="0.3">
      <c r="A611" s="57"/>
      <c r="B611" s="57"/>
      <c r="C611" s="57"/>
      <c r="D611" s="60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8"/>
      <c r="AC611" s="57"/>
      <c r="AD611" s="57"/>
      <c r="AE611" s="57"/>
      <c r="AF611" s="166"/>
      <c r="AG611" s="166"/>
    </row>
    <row r="612" spans="1:33" ht="14.25" customHeight="1" x14ac:dyDescent="0.3">
      <c r="A612" s="57"/>
      <c r="B612" s="57"/>
      <c r="C612" s="57"/>
      <c r="D612" s="60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8"/>
      <c r="AC612" s="57"/>
      <c r="AD612" s="57"/>
      <c r="AE612" s="57"/>
      <c r="AF612" s="166"/>
      <c r="AG612" s="166"/>
    </row>
    <row r="613" spans="1:33" ht="14.25" customHeight="1" x14ac:dyDescent="0.3">
      <c r="A613" s="57"/>
      <c r="B613" s="57"/>
      <c r="C613" s="57"/>
      <c r="D613" s="60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8"/>
      <c r="AC613" s="57"/>
      <c r="AD613" s="57"/>
      <c r="AE613" s="57"/>
      <c r="AF613" s="166"/>
      <c r="AG613" s="166"/>
    </row>
    <row r="614" spans="1:33" ht="14.25" customHeight="1" x14ac:dyDescent="0.3">
      <c r="A614" s="57"/>
      <c r="B614" s="57"/>
      <c r="C614" s="57"/>
      <c r="D614" s="60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8"/>
      <c r="AC614" s="57"/>
      <c r="AD614" s="57"/>
      <c r="AE614" s="57"/>
      <c r="AF614" s="166"/>
      <c r="AG614" s="166"/>
    </row>
    <row r="615" spans="1:33" ht="14.25" customHeight="1" x14ac:dyDescent="0.3">
      <c r="A615" s="57"/>
      <c r="B615" s="57"/>
      <c r="C615" s="57"/>
      <c r="D615" s="60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8"/>
      <c r="AC615" s="57"/>
      <c r="AD615" s="57"/>
      <c r="AE615" s="57"/>
      <c r="AF615" s="166"/>
      <c r="AG615" s="166"/>
    </row>
    <row r="616" spans="1:33" ht="14.25" customHeight="1" x14ac:dyDescent="0.3">
      <c r="A616" s="57"/>
      <c r="B616" s="57"/>
      <c r="C616" s="57"/>
      <c r="D616" s="60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8"/>
      <c r="AC616" s="57"/>
      <c r="AD616" s="57"/>
      <c r="AE616" s="57"/>
      <c r="AF616" s="166"/>
      <c r="AG616" s="166"/>
    </row>
    <row r="617" spans="1:33" ht="14.25" customHeight="1" x14ac:dyDescent="0.3">
      <c r="A617" s="57"/>
      <c r="B617" s="57"/>
      <c r="C617" s="57"/>
      <c r="D617" s="60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8"/>
      <c r="AC617" s="57"/>
      <c r="AD617" s="57"/>
      <c r="AE617" s="57"/>
      <c r="AF617" s="166"/>
      <c r="AG617" s="166"/>
    </row>
    <row r="618" spans="1:33" ht="14.25" customHeight="1" x14ac:dyDescent="0.3">
      <c r="A618" s="57"/>
      <c r="B618" s="57"/>
      <c r="C618" s="57"/>
      <c r="D618" s="60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8"/>
      <c r="AC618" s="57"/>
      <c r="AD618" s="57"/>
      <c r="AE618" s="57"/>
      <c r="AF618" s="166"/>
      <c r="AG618" s="166"/>
    </row>
    <row r="619" spans="1:33" ht="14.25" customHeight="1" x14ac:dyDescent="0.3">
      <c r="A619" s="57"/>
      <c r="B619" s="57"/>
      <c r="C619" s="57"/>
      <c r="D619" s="60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8"/>
      <c r="AC619" s="57"/>
      <c r="AD619" s="57"/>
      <c r="AE619" s="57"/>
      <c r="AF619" s="166"/>
      <c r="AG619" s="166"/>
    </row>
    <row r="620" spans="1:33" ht="14.25" customHeight="1" x14ac:dyDescent="0.3">
      <c r="A620" s="57"/>
      <c r="B620" s="57"/>
      <c r="C620" s="57"/>
      <c r="D620" s="60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8"/>
      <c r="AC620" s="57"/>
      <c r="AD620" s="57"/>
      <c r="AE620" s="57"/>
      <c r="AF620" s="166"/>
      <c r="AG620" s="166"/>
    </row>
    <row r="621" spans="1:33" ht="14.25" customHeight="1" x14ac:dyDescent="0.3">
      <c r="A621" s="57"/>
      <c r="B621" s="57"/>
      <c r="C621" s="57"/>
      <c r="D621" s="60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8"/>
      <c r="AC621" s="57"/>
      <c r="AD621" s="57"/>
      <c r="AE621" s="57"/>
      <c r="AF621" s="166"/>
      <c r="AG621" s="166"/>
    </row>
    <row r="622" spans="1:33" ht="14.25" customHeight="1" x14ac:dyDescent="0.3">
      <c r="A622" s="57"/>
      <c r="B622" s="57"/>
      <c r="C622" s="57"/>
      <c r="D622" s="60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8"/>
      <c r="AC622" s="57"/>
      <c r="AD622" s="57"/>
      <c r="AE622" s="57"/>
      <c r="AF622" s="166"/>
      <c r="AG622" s="166"/>
    </row>
    <row r="623" spans="1:33" ht="14.25" customHeight="1" x14ac:dyDescent="0.3">
      <c r="A623" s="57"/>
      <c r="B623" s="57"/>
      <c r="C623" s="57"/>
      <c r="D623" s="60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8"/>
      <c r="AC623" s="57"/>
      <c r="AD623" s="57"/>
      <c r="AE623" s="57"/>
      <c r="AF623" s="166"/>
      <c r="AG623" s="166"/>
    </row>
    <row r="624" spans="1:33" ht="14.25" customHeight="1" x14ac:dyDescent="0.3">
      <c r="A624" s="57"/>
      <c r="B624" s="57"/>
      <c r="C624" s="57"/>
      <c r="D624" s="60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8"/>
      <c r="AC624" s="57"/>
      <c r="AD624" s="57"/>
      <c r="AE624" s="57"/>
      <c r="AF624" s="166"/>
      <c r="AG624" s="166"/>
    </row>
    <row r="625" spans="1:33" ht="14.25" customHeight="1" x14ac:dyDescent="0.3">
      <c r="A625" s="57"/>
      <c r="B625" s="57"/>
      <c r="C625" s="57"/>
      <c r="D625" s="60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8"/>
      <c r="AC625" s="57"/>
      <c r="AD625" s="57"/>
      <c r="AE625" s="57"/>
      <c r="AF625" s="166"/>
      <c r="AG625" s="166"/>
    </row>
    <row r="626" spans="1:33" ht="14.25" customHeight="1" x14ac:dyDescent="0.3">
      <c r="A626" s="57"/>
      <c r="B626" s="57"/>
      <c r="C626" s="57"/>
      <c r="D626" s="60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8"/>
      <c r="AC626" s="57"/>
      <c r="AD626" s="57"/>
      <c r="AE626" s="57"/>
      <c r="AF626" s="166"/>
      <c r="AG626" s="166"/>
    </row>
    <row r="627" spans="1:33" ht="14.25" customHeight="1" x14ac:dyDescent="0.3">
      <c r="A627" s="57"/>
      <c r="B627" s="57"/>
      <c r="C627" s="57"/>
      <c r="D627" s="60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8"/>
      <c r="AC627" s="57"/>
      <c r="AD627" s="57"/>
      <c r="AE627" s="57"/>
      <c r="AF627" s="166"/>
      <c r="AG627" s="166"/>
    </row>
    <row r="628" spans="1:33" ht="14.25" customHeight="1" x14ac:dyDescent="0.3">
      <c r="A628" s="57"/>
      <c r="B628" s="57"/>
      <c r="C628" s="57"/>
      <c r="D628" s="60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8"/>
      <c r="AC628" s="57"/>
      <c r="AD628" s="57"/>
      <c r="AE628" s="57"/>
      <c r="AF628" s="166"/>
      <c r="AG628" s="166"/>
    </row>
    <row r="629" spans="1:33" ht="14.25" customHeight="1" x14ac:dyDescent="0.3">
      <c r="A629" s="57"/>
      <c r="B629" s="57"/>
      <c r="C629" s="57"/>
      <c r="D629" s="60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8"/>
      <c r="AC629" s="57"/>
      <c r="AD629" s="57"/>
      <c r="AE629" s="57"/>
      <c r="AF629" s="166"/>
      <c r="AG629" s="166"/>
    </row>
    <row r="630" spans="1:33" ht="14.25" customHeight="1" x14ac:dyDescent="0.3">
      <c r="A630" s="57"/>
      <c r="B630" s="57"/>
      <c r="C630" s="57"/>
      <c r="D630" s="60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8"/>
      <c r="AC630" s="57"/>
      <c r="AD630" s="57"/>
      <c r="AE630" s="57"/>
      <c r="AF630" s="166"/>
      <c r="AG630" s="166"/>
    </row>
    <row r="631" spans="1:33" ht="14.25" customHeight="1" x14ac:dyDescent="0.3">
      <c r="A631" s="57"/>
      <c r="B631" s="57"/>
      <c r="C631" s="57"/>
      <c r="D631" s="60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8"/>
      <c r="AC631" s="57"/>
      <c r="AD631" s="57"/>
      <c r="AE631" s="57"/>
      <c r="AF631" s="166"/>
      <c r="AG631" s="166"/>
    </row>
    <row r="632" spans="1:33" ht="14.25" customHeight="1" x14ac:dyDescent="0.3">
      <c r="A632" s="57"/>
      <c r="B632" s="57"/>
      <c r="C632" s="57"/>
      <c r="D632" s="60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8"/>
      <c r="AC632" s="57"/>
      <c r="AD632" s="57"/>
      <c r="AE632" s="57"/>
      <c r="AF632" s="166"/>
      <c r="AG632" s="166"/>
    </row>
    <row r="633" spans="1:33" ht="14.25" customHeight="1" x14ac:dyDescent="0.3">
      <c r="A633" s="57"/>
      <c r="B633" s="57"/>
      <c r="C633" s="57"/>
      <c r="D633" s="60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8"/>
      <c r="AC633" s="57"/>
      <c r="AD633" s="57"/>
      <c r="AE633" s="57"/>
      <c r="AF633" s="166"/>
      <c r="AG633" s="166"/>
    </row>
    <row r="634" spans="1:33" ht="14.25" customHeight="1" x14ac:dyDescent="0.3">
      <c r="A634" s="57"/>
      <c r="B634" s="57"/>
      <c r="C634" s="57"/>
      <c r="D634" s="60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8"/>
      <c r="AC634" s="57"/>
      <c r="AD634" s="57"/>
      <c r="AE634" s="57"/>
      <c r="AF634" s="166"/>
      <c r="AG634" s="166"/>
    </row>
    <row r="635" spans="1:33" ht="14.25" customHeight="1" x14ac:dyDescent="0.3">
      <c r="A635" s="57"/>
      <c r="B635" s="57"/>
      <c r="C635" s="57"/>
      <c r="D635" s="60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8"/>
      <c r="AC635" s="57"/>
      <c r="AD635" s="57"/>
      <c r="AE635" s="57"/>
      <c r="AF635" s="166"/>
      <c r="AG635" s="166"/>
    </row>
    <row r="636" spans="1:33" ht="14.25" customHeight="1" x14ac:dyDescent="0.3">
      <c r="A636" s="57"/>
      <c r="B636" s="57"/>
      <c r="C636" s="57"/>
      <c r="D636" s="60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8"/>
      <c r="AC636" s="57"/>
      <c r="AD636" s="57"/>
      <c r="AE636" s="57"/>
      <c r="AF636" s="166"/>
      <c r="AG636" s="166"/>
    </row>
    <row r="637" spans="1:33" ht="14.25" customHeight="1" x14ac:dyDescent="0.3">
      <c r="A637" s="57"/>
      <c r="B637" s="57"/>
      <c r="C637" s="57"/>
      <c r="D637" s="60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8"/>
      <c r="AC637" s="57"/>
      <c r="AD637" s="57"/>
      <c r="AE637" s="57"/>
      <c r="AF637" s="166"/>
      <c r="AG637" s="166"/>
    </row>
    <row r="638" spans="1:33" ht="14.25" customHeight="1" x14ac:dyDescent="0.3">
      <c r="A638" s="57"/>
      <c r="B638" s="57"/>
      <c r="C638" s="57"/>
      <c r="D638" s="60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8"/>
      <c r="AC638" s="57"/>
      <c r="AD638" s="57"/>
      <c r="AE638" s="57"/>
      <c r="AF638" s="166"/>
      <c r="AG638" s="166"/>
    </row>
    <row r="639" spans="1:33" ht="14.25" customHeight="1" x14ac:dyDescent="0.3">
      <c r="A639" s="57"/>
      <c r="B639" s="57"/>
      <c r="C639" s="57"/>
      <c r="D639" s="60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8"/>
      <c r="AC639" s="57"/>
      <c r="AD639" s="57"/>
      <c r="AE639" s="57"/>
      <c r="AF639" s="166"/>
      <c r="AG639" s="166"/>
    </row>
    <row r="640" spans="1:33" ht="14.25" customHeight="1" x14ac:dyDescent="0.3">
      <c r="A640" s="57"/>
      <c r="B640" s="57"/>
      <c r="C640" s="57"/>
      <c r="D640" s="60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8"/>
      <c r="AC640" s="57"/>
      <c r="AD640" s="57"/>
      <c r="AE640" s="57"/>
      <c r="AF640" s="166"/>
      <c r="AG640" s="166"/>
    </row>
    <row r="641" spans="1:33" ht="14.25" customHeight="1" x14ac:dyDescent="0.3">
      <c r="A641" s="57"/>
      <c r="B641" s="57"/>
      <c r="C641" s="57"/>
      <c r="D641" s="60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8"/>
      <c r="AC641" s="57"/>
      <c r="AD641" s="57"/>
      <c r="AE641" s="57"/>
      <c r="AF641" s="166"/>
      <c r="AG641" s="166"/>
    </row>
    <row r="642" spans="1:33" ht="14.25" customHeight="1" x14ac:dyDescent="0.3">
      <c r="A642" s="57"/>
      <c r="B642" s="57"/>
      <c r="C642" s="57"/>
      <c r="D642" s="60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8"/>
      <c r="AC642" s="57"/>
      <c r="AD642" s="57"/>
      <c r="AE642" s="57"/>
      <c r="AF642" s="166"/>
      <c r="AG642" s="166"/>
    </row>
    <row r="643" spans="1:33" ht="14.25" customHeight="1" x14ac:dyDescent="0.3">
      <c r="A643" s="57"/>
      <c r="B643" s="57"/>
      <c r="C643" s="57"/>
      <c r="D643" s="60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8"/>
      <c r="AC643" s="57"/>
      <c r="AD643" s="57"/>
      <c r="AE643" s="57"/>
      <c r="AF643" s="166"/>
      <c r="AG643" s="166"/>
    </row>
    <row r="644" spans="1:33" ht="14.25" customHeight="1" x14ac:dyDescent="0.3">
      <c r="A644" s="57"/>
      <c r="B644" s="57"/>
      <c r="C644" s="57"/>
      <c r="D644" s="60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8"/>
      <c r="AC644" s="57"/>
      <c r="AD644" s="57"/>
      <c r="AE644" s="57"/>
      <c r="AF644" s="166"/>
      <c r="AG644" s="166"/>
    </row>
    <row r="645" spans="1:33" ht="14.25" customHeight="1" x14ac:dyDescent="0.3">
      <c r="A645" s="57"/>
      <c r="B645" s="57"/>
      <c r="C645" s="57"/>
      <c r="D645" s="60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8"/>
      <c r="AC645" s="57"/>
      <c r="AD645" s="57"/>
      <c r="AE645" s="57"/>
      <c r="AF645" s="166"/>
      <c r="AG645" s="166"/>
    </row>
    <row r="646" spans="1:33" ht="14.25" customHeight="1" x14ac:dyDescent="0.3">
      <c r="A646" s="57"/>
      <c r="B646" s="57"/>
      <c r="C646" s="57"/>
      <c r="D646" s="60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8"/>
      <c r="AC646" s="57"/>
      <c r="AD646" s="57"/>
      <c r="AE646" s="57"/>
      <c r="AF646" s="166"/>
      <c r="AG646" s="166"/>
    </row>
    <row r="647" spans="1:33" ht="14.25" customHeight="1" x14ac:dyDescent="0.3">
      <c r="A647" s="57"/>
      <c r="B647" s="57"/>
      <c r="C647" s="57"/>
      <c r="D647" s="60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8"/>
      <c r="AC647" s="57"/>
      <c r="AD647" s="57"/>
      <c r="AE647" s="57"/>
      <c r="AF647" s="166"/>
      <c r="AG647" s="166"/>
    </row>
    <row r="648" spans="1:33" ht="14.25" customHeight="1" x14ac:dyDescent="0.3">
      <c r="A648" s="57"/>
      <c r="B648" s="57"/>
      <c r="C648" s="57"/>
      <c r="D648" s="60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8"/>
      <c r="AC648" s="57"/>
      <c r="AD648" s="57"/>
      <c r="AE648" s="57"/>
      <c r="AF648" s="166"/>
      <c r="AG648" s="166"/>
    </row>
    <row r="649" spans="1:33" ht="14.25" customHeight="1" x14ac:dyDescent="0.3">
      <c r="A649" s="57"/>
      <c r="B649" s="57"/>
      <c r="C649" s="57"/>
      <c r="D649" s="60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8"/>
      <c r="AC649" s="57"/>
      <c r="AD649" s="57"/>
      <c r="AE649" s="57"/>
      <c r="AF649" s="166"/>
      <c r="AG649" s="166"/>
    </row>
    <row r="650" spans="1:33" ht="14.25" customHeight="1" x14ac:dyDescent="0.3">
      <c r="A650" s="57"/>
      <c r="B650" s="57"/>
      <c r="C650" s="57"/>
      <c r="D650" s="60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8"/>
      <c r="AC650" s="57"/>
      <c r="AD650" s="57"/>
      <c r="AE650" s="57"/>
      <c r="AF650" s="166"/>
      <c r="AG650" s="166"/>
    </row>
    <row r="651" spans="1:33" ht="14.25" customHeight="1" x14ac:dyDescent="0.3">
      <c r="A651" s="57"/>
      <c r="B651" s="57"/>
      <c r="C651" s="57"/>
      <c r="D651" s="60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8"/>
      <c r="AC651" s="57"/>
      <c r="AD651" s="57"/>
      <c r="AE651" s="57"/>
      <c r="AF651" s="166"/>
      <c r="AG651" s="166"/>
    </row>
    <row r="652" spans="1:33" ht="14.25" customHeight="1" x14ac:dyDescent="0.3">
      <c r="A652" s="57"/>
      <c r="B652" s="57"/>
      <c r="C652" s="57"/>
      <c r="D652" s="60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8"/>
      <c r="AC652" s="57"/>
      <c r="AD652" s="57"/>
      <c r="AE652" s="57"/>
      <c r="AF652" s="166"/>
      <c r="AG652" s="166"/>
    </row>
    <row r="653" spans="1:33" ht="14.25" customHeight="1" x14ac:dyDescent="0.3">
      <c r="A653" s="57"/>
      <c r="B653" s="57"/>
      <c r="C653" s="57"/>
      <c r="D653" s="60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8"/>
      <c r="AC653" s="57"/>
      <c r="AD653" s="57"/>
      <c r="AE653" s="57"/>
      <c r="AF653" s="166"/>
      <c r="AG653" s="166"/>
    </row>
    <row r="654" spans="1:33" ht="14.25" customHeight="1" x14ac:dyDescent="0.3">
      <c r="A654" s="57"/>
      <c r="B654" s="57"/>
      <c r="C654" s="57"/>
      <c r="D654" s="60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8"/>
      <c r="AC654" s="57"/>
      <c r="AD654" s="57"/>
      <c r="AE654" s="57"/>
      <c r="AF654" s="166"/>
      <c r="AG654" s="166"/>
    </row>
    <row r="655" spans="1:33" ht="14.25" customHeight="1" x14ac:dyDescent="0.3">
      <c r="A655" s="57"/>
      <c r="B655" s="57"/>
      <c r="C655" s="57"/>
      <c r="D655" s="60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8"/>
      <c r="AC655" s="57"/>
      <c r="AD655" s="57"/>
      <c r="AE655" s="57"/>
      <c r="AF655" s="166"/>
      <c r="AG655" s="166"/>
    </row>
    <row r="656" spans="1:33" ht="14.25" customHeight="1" x14ac:dyDescent="0.3">
      <c r="A656" s="57"/>
      <c r="B656" s="57"/>
      <c r="C656" s="57"/>
      <c r="D656" s="60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8"/>
      <c r="AC656" s="57"/>
      <c r="AD656" s="57"/>
      <c r="AE656" s="57"/>
      <c r="AF656" s="166"/>
      <c r="AG656" s="166"/>
    </row>
    <row r="657" spans="1:33" ht="14.25" customHeight="1" x14ac:dyDescent="0.3">
      <c r="A657" s="57"/>
      <c r="B657" s="57"/>
      <c r="C657" s="57"/>
      <c r="D657" s="60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8"/>
      <c r="AC657" s="57"/>
      <c r="AD657" s="57"/>
      <c r="AE657" s="57"/>
      <c r="AF657" s="166"/>
      <c r="AG657" s="166"/>
    </row>
    <row r="658" spans="1:33" ht="14.25" customHeight="1" x14ac:dyDescent="0.3">
      <c r="A658" s="57"/>
      <c r="B658" s="57"/>
      <c r="C658" s="57"/>
      <c r="D658" s="60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8"/>
      <c r="AC658" s="57"/>
      <c r="AD658" s="57"/>
      <c r="AE658" s="57"/>
      <c r="AF658" s="166"/>
      <c r="AG658" s="166"/>
    </row>
    <row r="659" spans="1:33" ht="14.25" customHeight="1" x14ac:dyDescent="0.3">
      <c r="A659" s="57"/>
      <c r="B659" s="57"/>
      <c r="C659" s="57"/>
      <c r="D659" s="60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8"/>
      <c r="AC659" s="57"/>
      <c r="AD659" s="57"/>
      <c r="AE659" s="57"/>
      <c r="AF659" s="166"/>
      <c r="AG659" s="166"/>
    </row>
    <row r="660" spans="1:33" ht="14.25" customHeight="1" x14ac:dyDescent="0.3">
      <c r="A660" s="57"/>
      <c r="B660" s="57"/>
      <c r="C660" s="57"/>
      <c r="D660" s="60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8"/>
      <c r="AC660" s="57"/>
      <c r="AD660" s="57"/>
      <c r="AE660" s="57"/>
      <c r="AF660" s="166"/>
      <c r="AG660" s="166"/>
    </row>
    <row r="661" spans="1:33" ht="14.25" customHeight="1" x14ac:dyDescent="0.3">
      <c r="A661" s="57"/>
      <c r="B661" s="57"/>
      <c r="C661" s="57"/>
      <c r="D661" s="60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8"/>
      <c r="AC661" s="57"/>
      <c r="AD661" s="57"/>
      <c r="AE661" s="57"/>
      <c r="AF661" s="166"/>
      <c r="AG661" s="166"/>
    </row>
    <row r="662" spans="1:33" ht="14.25" customHeight="1" x14ac:dyDescent="0.3">
      <c r="A662" s="57"/>
      <c r="B662" s="57"/>
      <c r="C662" s="57"/>
      <c r="D662" s="60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8"/>
      <c r="AC662" s="57"/>
      <c r="AD662" s="57"/>
      <c r="AE662" s="57"/>
      <c r="AF662" s="166"/>
      <c r="AG662" s="166"/>
    </row>
    <row r="663" spans="1:33" ht="14.25" customHeight="1" x14ac:dyDescent="0.3">
      <c r="A663" s="57"/>
      <c r="B663" s="57"/>
      <c r="C663" s="57"/>
      <c r="D663" s="60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8"/>
      <c r="AC663" s="57"/>
      <c r="AD663" s="57"/>
      <c r="AE663" s="57"/>
      <c r="AF663" s="166"/>
      <c r="AG663" s="166"/>
    </row>
    <row r="664" spans="1:33" ht="14.25" customHeight="1" x14ac:dyDescent="0.3">
      <c r="A664" s="57"/>
      <c r="B664" s="57"/>
      <c r="C664" s="57"/>
      <c r="D664" s="60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8"/>
      <c r="AC664" s="57"/>
      <c r="AD664" s="57"/>
      <c r="AE664" s="57"/>
      <c r="AF664" s="166"/>
      <c r="AG664" s="166"/>
    </row>
    <row r="665" spans="1:33" ht="14.25" customHeight="1" x14ac:dyDescent="0.3">
      <c r="A665" s="57"/>
      <c r="B665" s="57"/>
      <c r="C665" s="57"/>
      <c r="D665" s="60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8"/>
      <c r="AC665" s="57"/>
      <c r="AD665" s="57"/>
      <c r="AE665" s="57"/>
      <c r="AF665" s="166"/>
      <c r="AG665" s="166"/>
    </row>
    <row r="666" spans="1:33" ht="14.25" customHeight="1" x14ac:dyDescent="0.3">
      <c r="A666" s="57"/>
      <c r="B666" s="57"/>
      <c r="C666" s="57"/>
      <c r="D666" s="60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8"/>
      <c r="AC666" s="57"/>
      <c r="AD666" s="57"/>
      <c r="AE666" s="57"/>
      <c r="AF666" s="166"/>
      <c r="AG666" s="166"/>
    </row>
    <row r="667" spans="1:33" ht="14.25" customHeight="1" x14ac:dyDescent="0.3">
      <c r="A667" s="57"/>
      <c r="B667" s="57"/>
      <c r="C667" s="57"/>
      <c r="D667" s="60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8"/>
      <c r="AC667" s="57"/>
      <c r="AD667" s="57"/>
      <c r="AE667" s="57"/>
      <c r="AF667" s="166"/>
      <c r="AG667" s="166"/>
    </row>
    <row r="668" spans="1:33" ht="14.25" customHeight="1" x14ac:dyDescent="0.3">
      <c r="A668" s="57"/>
      <c r="B668" s="57"/>
      <c r="C668" s="57"/>
      <c r="D668" s="60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8"/>
      <c r="AC668" s="57"/>
      <c r="AD668" s="57"/>
      <c r="AE668" s="57"/>
      <c r="AF668" s="166"/>
      <c r="AG668" s="166"/>
    </row>
    <row r="669" spans="1:33" ht="14.25" customHeight="1" x14ac:dyDescent="0.3">
      <c r="A669" s="57"/>
      <c r="B669" s="57"/>
      <c r="C669" s="57"/>
      <c r="D669" s="60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8"/>
      <c r="AC669" s="57"/>
      <c r="AD669" s="57"/>
      <c r="AE669" s="57"/>
      <c r="AF669" s="166"/>
      <c r="AG669" s="166"/>
    </row>
    <row r="670" spans="1:33" ht="14.25" customHeight="1" x14ac:dyDescent="0.3">
      <c r="A670" s="57"/>
      <c r="B670" s="57"/>
      <c r="C670" s="57"/>
      <c r="D670" s="60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8"/>
      <c r="AC670" s="57"/>
      <c r="AD670" s="57"/>
      <c r="AE670" s="57"/>
      <c r="AF670" s="166"/>
      <c r="AG670" s="166"/>
    </row>
    <row r="671" spans="1:33" ht="14.25" customHeight="1" x14ac:dyDescent="0.3">
      <c r="A671" s="57"/>
      <c r="B671" s="57"/>
      <c r="C671" s="57"/>
      <c r="D671" s="60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8"/>
      <c r="AC671" s="57"/>
      <c r="AD671" s="57"/>
      <c r="AE671" s="57"/>
      <c r="AF671" s="166"/>
      <c r="AG671" s="166"/>
    </row>
    <row r="672" spans="1:33" ht="14.25" customHeight="1" x14ac:dyDescent="0.3">
      <c r="A672" s="57"/>
      <c r="B672" s="57"/>
      <c r="C672" s="57"/>
      <c r="D672" s="60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8"/>
      <c r="AC672" s="57"/>
      <c r="AD672" s="57"/>
      <c r="AE672" s="57"/>
      <c r="AF672" s="166"/>
      <c r="AG672" s="166"/>
    </row>
    <row r="673" spans="1:33" ht="14.25" customHeight="1" x14ac:dyDescent="0.3">
      <c r="A673" s="57"/>
      <c r="B673" s="57"/>
      <c r="C673" s="57"/>
      <c r="D673" s="60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8"/>
      <c r="AC673" s="57"/>
      <c r="AD673" s="57"/>
      <c r="AE673" s="57"/>
      <c r="AF673" s="166"/>
      <c r="AG673" s="166"/>
    </row>
    <row r="674" spans="1:33" ht="14.25" customHeight="1" x14ac:dyDescent="0.3">
      <c r="A674" s="57"/>
      <c r="B674" s="57"/>
      <c r="C674" s="57"/>
      <c r="D674" s="60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8"/>
      <c r="AC674" s="57"/>
      <c r="AD674" s="57"/>
      <c r="AE674" s="57"/>
      <c r="AF674" s="166"/>
      <c r="AG674" s="166"/>
    </row>
    <row r="675" spans="1:33" ht="14.25" customHeight="1" x14ac:dyDescent="0.3">
      <c r="A675" s="57"/>
      <c r="B675" s="57"/>
      <c r="C675" s="57"/>
      <c r="D675" s="60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8"/>
      <c r="AC675" s="57"/>
      <c r="AD675" s="57"/>
      <c r="AE675" s="57"/>
      <c r="AF675" s="166"/>
      <c r="AG675" s="166"/>
    </row>
    <row r="676" spans="1:33" ht="14.25" customHeight="1" x14ac:dyDescent="0.3">
      <c r="A676" s="57"/>
      <c r="B676" s="57"/>
      <c r="C676" s="57"/>
      <c r="D676" s="60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8"/>
      <c r="AC676" s="57"/>
      <c r="AD676" s="57"/>
      <c r="AE676" s="57"/>
      <c r="AF676" s="166"/>
      <c r="AG676" s="166"/>
    </row>
    <row r="677" spans="1:33" ht="14.25" customHeight="1" x14ac:dyDescent="0.3">
      <c r="A677" s="57"/>
      <c r="B677" s="57"/>
      <c r="C677" s="57"/>
      <c r="D677" s="60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8"/>
      <c r="AC677" s="57"/>
      <c r="AD677" s="57"/>
      <c r="AE677" s="57"/>
      <c r="AF677" s="166"/>
      <c r="AG677" s="166"/>
    </row>
    <row r="678" spans="1:33" ht="14.25" customHeight="1" x14ac:dyDescent="0.3">
      <c r="A678" s="57"/>
      <c r="B678" s="57"/>
      <c r="C678" s="57"/>
      <c r="D678" s="60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8"/>
      <c r="AC678" s="57"/>
      <c r="AD678" s="57"/>
      <c r="AE678" s="57"/>
      <c r="AF678" s="166"/>
      <c r="AG678" s="166"/>
    </row>
    <row r="679" spans="1:33" ht="14.25" customHeight="1" x14ac:dyDescent="0.3">
      <c r="A679" s="57"/>
      <c r="B679" s="57"/>
      <c r="C679" s="57"/>
      <c r="D679" s="60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8"/>
      <c r="AC679" s="57"/>
      <c r="AD679" s="57"/>
      <c r="AE679" s="57"/>
      <c r="AF679" s="166"/>
      <c r="AG679" s="166"/>
    </row>
    <row r="680" spans="1:33" ht="14.25" customHeight="1" x14ac:dyDescent="0.3">
      <c r="A680" s="57"/>
      <c r="B680" s="57"/>
      <c r="C680" s="57"/>
      <c r="D680" s="60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8"/>
      <c r="AC680" s="57"/>
      <c r="AD680" s="57"/>
      <c r="AE680" s="57"/>
      <c r="AF680" s="166"/>
      <c r="AG680" s="166"/>
    </row>
    <row r="681" spans="1:33" ht="14.25" customHeight="1" x14ac:dyDescent="0.3">
      <c r="A681" s="57"/>
      <c r="B681" s="57"/>
      <c r="C681" s="57"/>
      <c r="D681" s="60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8"/>
      <c r="AC681" s="57"/>
      <c r="AD681" s="57"/>
      <c r="AE681" s="57"/>
      <c r="AF681" s="166"/>
      <c r="AG681" s="166"/>
    </row>
    <row r="682" spans="1:33" ht="14.25" customHeight="1" x14ac:dyDescent="0.3">
      <c r="A682" s="57"/>
      <c r="B682" s="57"/>
      <c r="C682" s="57"/>
      <c r="D682" s="60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8"/>
      <c r="AC682" s="57"/>
      <c r="AD682" s="57"/>
      <c r="AE682" s="57"/>
      <c r="AF682" s="166"/>
      <c r="AG682" s="166"/>
    </row>
    <row r="683" spans="1:33" ht="14.25" customHeight="1" x14ac:dyDescent="0.3">
      <c r="A683" s="57"/>
      <c r="B683" s="57"/>
      <c r="C683" s="57"/>
      <c r="D683" s="60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8"/>
      <c r="AC683" s="57"/>
      <c r="AD683" s="57"/>
      <c r="AE683" s="57"/>
      <c r="AF683" s="166"/>
      <c r="AG683" s="166"/>
    </row>
    <row r="684" spans="1:33" ht="14.25" customHeight="1" x14ac:dyDescent="0.3">
      <c r="A684" s="57"/>
      <c r="B684" s="57"/>
      <c r="C684" s="57"/>
      <c r="D684" s="60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8"/>
      <c r="AC684" s="57"/>
      <c r="AD684" s="57"/>
      <c r="AE684" s="57"/>
      <c r="AF684" s="166"/>
      <c r="AG684" s="166"/>
    </row>
    <row r="685" spans="1:33" ht="14.25" customHeight="1" x14ac:dyDescent="0.3">
      <c r="A685" s="57"/>
      <c r="B685" s="57"/>
      <c r="C685" s="57"/>
      <c r="D685" s="60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8"/>
      <c r="AC685" s="57"/>
      <c r="AD685" s="57"/>
      <c r="AE685" s="57"/>
      <c r="AF685" s="166"/>
      <c r="AG685" s="166"/>
    </row>
    <row r="686" spans="1:33" ht="14.25" customHeight="1" x14ac:dyDescent="0.3">
      <c r="A686" s="57"/>
      <c r="B686" s="57"/>
      <c r="C686" s="57"/>
      <c r="D686" s="60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8"/>
      <c r="AC686" s="57"/>
      <c r="AD686" s="57"/>
      <c r="AE686" s="57"/>
      <c r="AF686" s="166"/>
      <c r="AG686" s="166"/>
    </row>
    <row r="687" spans="1:33" ht="14.25" customHeight="1" x14ac:dyDescent="0.3">
      <c r="A687" s="57"/>
      <c r="B687" s="57"/>
      <c r="C687" s="57"/>
      <c r="D687" s="60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8"/>
      <c r="AC687" s="57"/>
      <c r="AD687" s="57"/>
      <c r="AE687" s="57"/>
      <c r="AF687" s="166"/>
      <c r="AG687" s="166"/>
    </row>
    <row r="688" spans="1:33" ht="14.25" customHeight="1" x14ac:dyDescent="0.3">
      <c r="A688" s="57"/>
      <c r="B688" s="57"/>
      <c r="C688" s="57"/>
      <c r="D688" s="60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8"/>
      <c r="AC688" s="57"/>
      <c r="AD688" s="57"/>
      <c r="AE688" s="57"/>
      <c r="AF688" s="166"/>
      <c r="AG688" s="166"/>
    </row>
    <row r="689" spans="1:33" ht="14.25" customHeight="1" x14ac:dyDescent="0.3">
      <c r="A689" s="57"/>
      <c r="B689" s="57"/>
      <c r="C689" s="57"/>
      <c r="D689" s="60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8"/>
      <c r="AC689" s="57"/>
      <c r="AD689" s="57"/>
      <c r="AE689" s="57"/>
      <c r="AF689" s="166"/>
      <c r="AG689" s="166"/>
    </row>
    <row r="690" spans="1:33" ht="14.25" customHeight="1" x14ac:dyDescent="0.3">
      <c r="A690" s="57"/>
      <c r="B690" s="57"/>
      <c r="C690" s="57"/>
      <c r="D690" s="60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8"/>
      <c r="AC690" s="57"/>
      <c r="AD690" s="57"/>
      <c r="AE690" s="57"/>
      <c r="AF690" s="166"/>
      <c r="AG690" s="166"/>
    </row>
    <row r="691" spans="1:33" ht="14.25" customHeight="1" x14ac:dyDescent="0.3">
      <c r="A691" s="57"/>
      <c r="B691" s="57"/>
      <c r="C691" s="57"/>
      <c r="D691" s="60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8"/>
      <c r="AC691" s="57"/>
      <c r="AD691" s="57"/>
      <c r="AE691" s="57"/>
      <c r="AF691" s="166"/>
      <c r="AG691" s="166"/>
    </row>
    <row r="692" spans="1:33" ht="14.25" customHeight="1" x14ac:dyDescent="0.3">
      <c r="A692" s="57"/>
      <c r="B692" s="57"/>
      <c r="C692" s="57"/>
      <c r="D692" s="60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8"/>
      <c r="AC692" s="57"/>
      <c r="AD692" s="57"/>
      <c r="AE692" s="57"/>
      <c r="AF692" s="166"/>
      <c r="AG692" s="166"/>
    </row>
    <row r="693" spans="1:33" ht="14.25" customHeight="1" x14ac:dyDescent="0.3">
      <c r="A693" s="57"/>
      <c r="B693" s="57"/>
      <c r="C693" s="57"/>
      <c r="D693" s="60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8"/>
      <c r="AC693" s="57"/>
      <c r="AD693" s="57"/>
      <c r="AE693" s="57"/>
      <c r="AF693" s="166"/>
      <c r="AG693" s="166"/>
    </row>
    <row r="694" spans="1:33" ht="14.25" customHeight="1" x14ac:dyDescent="0.3">
      <c r="A694" s="57"/>
      <c r="B694" s="57"/>
      <c r="C694" s="57"/>
      <c r="D694" s="60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8"/>
      <c r="AC694" s="57"/>
      <c r="AD694" s="57"/>
      <c r="AE694" s="57"/>
      <c r="AF694" s="166"/>
      <c r="AG694" s="166"/>
    </row>
    <row r="695" spans="1:33" ht="14.25" customHeight="1" x14ac:dyDescent="0.3">
      <c r="A695" s="57"/>
      <c r="B695" s="57"/>
      <c r="C695" s="57"/>
      <c r="D695" s="60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8"/>
      <c r="AC695" s="57"/>
      <c r="AD695" s="57"/>
      <c r="AE695" s="57"/>
      <c r="AF695" s="166"/>
      <c r="AG695" s="166"/>
    </row>
    <row r="696" spans="1:33" ht="14.25" customHeight="1" x14ac:dyDescent="0.3">
      <c r="A696" s="57"/>
      <c r="B696" s="57"/>
      <c r="C696" s="57"/>
      <c r="D696" s="60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8"/>
      <c r="AC696" s="57"/>
      <c r="AD696" s="57"/>
      <c r="AE696" s="57"/>
      <c r="AF696" s="166"/>
      <c r="AG696" s="166"/>
    </row>
    <row r="697" spans="1:33" ht="14.25" customHeight="1" x14ac:dyDescent="0.3">
      <c r="A697" s="57"/>
      <c r="B697" s="57"/>
      <c r="C697" s="57"/>
      <c r="D697" s="60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8"/>
      <c r="AC697" s="57"/>
      <c r="AD697" s="57"/>
      <c r="AE697" s="57"/>
      <c r="AF697" s="166"/>
      <c r="AG697" s="166"/>
    </row>
    <row r="698" spans="1:33" ht="14.25" customHeight="1" x14ac:dyDescent="0.3">
      <c r="A698" s="57"/>
      <c r="B698" s="57"/>
      <c r="C698" s="57"/>
      <c r="D698" s="60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8"/>
      <c r="AC698" s="57"/>
      <c r="AD698" s="57"/>
      <c r="AE698" s="57"/>
      <c r="AF698" s="166"/>
      <c r="AG698" s="166"/>
    </row>
    <row r="699" spans="1:33" ht="14.25" customHeight="1" x14ac:dyDescent="0.3">
      <c r="A699" s="57"/>
      <c r="B699" s="57"/>
      <c r="C699" s="57"/>
      <c r="D699" s="60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8"/>
      <c r="AC699" s="57"/>
      <c r="AD699" s="57"/>
      <c r="AE699" s="57"/>
      <c r="AF699" s="166"/>
      <c r="AG699" s="166"/>
    </row>
    <row r="700" spans="1:33" ht="14.25" customHeight="1" x14ac:dyDescent="0.3">
      <c r="A700" s="57"/>
      <c r="B700" s="57"/>
      <c r="C700" s="57"/>
      <c r="D700" s="60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8"/>
      <c r="AC700" s="57"/>
      <c r="AD700" s="57"/>
      <c r="AE700" s="57"/>
      <c r="AF700" s="166"/>
      <c r="AG700" s="166"/>
    </row>
    <row r="701" spans="1:33" ht="14.25" customHeight="1" x14ac:dyDescent="0.3">
      <c r="A701" s="57"/>
      <c r="B701" s="57"/>
      <c r="C701" s="57"/>
      <c r="D701" s="60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8"/>
      <c r="AC701" s="57"/>
      <c r="AD701" s="57"/>
      <c r="AE701" s="57"/>
      <c r="AF701" s="166"/>
      <c r="AG701" s="166"/>
    </row>
    <row r="702" spans="1:33" ht="14.25" customHeight="1" x14ac:dyDescent="0.3">
      <c r="A702" s="57"/>
      <c r="B702" s="57"/>
      <c r="C702" s="57"/>
      <c r="D702" s="60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8"/>
      <c r="AC702" s="57"/>
      <c r="AD702" s="57"/>
      <c r="AE702" s="57"/>
      <c r="AF702" s="166"/>
      <c r="AG702" s="166"/>
    </row>
    <row r="703" spans="1:33" ht="14.25" customHeight="1" x14ac:dyDescent="0.3">
      <c r="A703" s="57"/>
      <c r="B703" s="57"/>
      <c r="C703" s="57"/>
      <c r="D703" s="60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8"/>
      <c r="AC703" s="57"/>
      <c r="AD703" s="57"/>
      <c r="AE703" s="57"/>
      <c r="AF703" s="166"/>
      <c r="AG703" s="166"/>
    </row>
    <row r="704" spans="1:33" ht="14.25" customHeight="1" x14ac:dyDescent="0.3">
      <c r="A704" s="57"/>
      <c r="B704" s="57"/>
      <c r="C704" s="57"/>
      <c r="D704" s="60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8"/>
      <c r="AC704" s="57"/>
      <c r="AD704" s="57"/>
      <c r="AE704" s="57"/>
      <c r="AF704" s="166"/>
      <c r="AG704" s="166"/>
    </row>
    <row r="705" spans="1:33" ht="14.25" customHeight="1" x14ac:dyDescent="0.3">
      <c r="A705" s="57"/>
      <c r="B705" s="57"/>
      <c r="C705" s="57"/>
      <c r="D705" s="60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8"/>
      <c r="AC705" s="57"/>
      <c r="AD705" s="57"/>
      <c r="AE705" s="57"/>
      <c r="AF705" s="166"/>
      <c r="AG705" s="166"/>
    </row>
    <row r="706" spans="1:33" ht="14.25" customHeight="1" x14ac:dyDescent="0.3">
      <c r="A706" s="57"/>
      <c r="B706" s="57"/>
      <c r="C706" s="57"/>
      <c r="D706" s="60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8"/>
      <c r="AC706" s="57"/>
      <c r="AD706" s="57"/>
      <c r="AE706" s="57"/>
      <c r="AF706" s="166"/>
      <c r="AG706" s="166"/>
    </row>
    <row r="707" spans="1:33" ht="14.25" customHeight="1" x14ac:dyDescent="0.3">
      <c r="A707" s="57"/>
      <c r="B707" s="57"/>
      <c r="C707" s="57"/>
      <c r="D707" s="60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8"/>
      <c r="AC707" s="57"/>
      <c r="AD707" s="57"/>
      <c r="AE707" s="57"/>
      <c r="AF707" s="166"/>
      <c r="AG707" s="166"/>
    </row>
    <row r="708" spans="1:33" ht="14.25" customHeight="1" x14ac:dyDescent="0.3">
      <c r="A708" s="57"/>
      <c r="B708" s="57"/>
      <c r="C708" s="57"/>
      <c r="D708" s="60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8"/>
      <c r="AC708" s="57"/>
      <c r="AD708" s="57"/>
      <c r="AE708" s="57"/>
      <c r="AF708" s="166"/>
      <c r="AG708" s="166"/>
    </row>
    <row r="709" spans="1:33" ht="14.25" customHeight="1" x14ac:dyDescent="0.3">
      <c r="A709" s="57"/>
      <c r="B709" s="57"/>
      <c r="C709" s="57"/>
      <c r="D709" s="60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8"/>
      <c r="AC709" s="57"/>
      <c r="AD709" s="57"/>
      <c r="AE709" s="57"/>
      <c r="AF709" s="166"/>
      <c r="AG709" s="166"/>
    </row>
    <row r="710" spans="1:33" ht="14.25" customHeight="1" x14ac:dyDescent="0.3">
      <c r="A710" s="57"/>
      <c r="B710" s="57"/>
      <c r="C710" s="57"/>
      <c r="D710" s="60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8"/>
      <c r="AC710" s="57"/>
      <c r="AD710" s="57"/>
      <c r="AE710" s="57"/>
      <c r="AF710" s="166"/>
      <c r="AG710" s="166"/>
    </row>
    <row r="711" spans="1:33" ht="14.25" customHeight="1" x14ac:dyDescent="0.3">
      <c r="A711" s="57"/>
      <c r="B711" s="57"/>
      <c r="C711" s="57"/>
      <c r="D711" s="60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8"/>
      <c r="AC711" s="57"/>
      <c r="AD711" s="57"/>
      <c r="AE711" s="57"/>
      <c r="AF711" s="166"/>
      <c r="AG711" s="166"/>
    </row>
    <row r="712" spans="1:33" ht="14.25" customHeight="1" x14ac:dyDescent="0.3">
      <c r="A712" s="57"/>
      <c r="B712" s="57"/>
      <c r="C712" s="57"/>
      <c r="D712" s="60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8"/>
      <c r="AC712" s="57"/>
      <c r="AD712" s="57"/>
      <c r="AE712" s="57"/>
      <c r="AF712" s="166"/>
      <c r="AG712" s="166"/>
    </row>
    <row r="713" spans="1:33" ht="14.25" customHeight="1" x14ac:dyDescent="0.3">
      <c r="A713" s="57"/>
      <c r="B713" s="57"/>
      <c r="C713" s="57"/>
      <c r="D713" s="60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8"/>
      <c r="AC713" s="57"/>
      <c r="AD713" s="57"/>
      <c r="AE713" s="57"/>
      <c r="AF713" s="166"/>
      <c r="AG713" s="166"/>
    </row>
    <row r="714" spans="1:33" ht="14.25" customHeight="1" x14ac:dyDescent="0.3">
      <c r="A714" s="57"/>
      <c r="B714" s="57"/>
      <c r="C714" s="57"/>
      <c r="D714" s="60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8"/>
      <c r="AC714" s="57"/>
      <c r="AD714" s="57"/>
      <c r="AE714" s="57"/>
      <c r="AF714" s="166"/>
      <c r="AG714" s="166"/>
    </row>
    <row r="715" spans="1:33" ht="14.25" customHeight="1" x14ac:dyDescent="0.3">
      <c r="A715" s="57"/>
      <c r="B715" s="57"/>
      <c r="C715" s="57"/>
      <c r="D715" s="60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8"/>
      <c r="AC715" s="57"/>
      <c r="AD715" s="57"/>
      <c r="AE715" s="57"/>
      <c r="AF715" s="166"/>
      <c r="AG715" s="166"/>
    </row>
    <row r="716" spans="1:33" ht="14.25" customHeight="1" x14ac:dyDescent="0.3">
      <c r="A716" s="57"/>
      <c r="B716" s="57"/>
      <c r="C716" s="57"/>
      <c r="D716" s="60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8"/>
      <c r="AC716" s="57"/>
      <c r="AD716" s="57"/>
      <c r="AE716" s="57"/>
      <c r="AF716" s="166"/>
      <c r="AG716" s="166"/>
    </row>
    <row r="717" spans="1:33" ht="14.25" customHeight="1" x14ac:dyDescent="0.3">
      <c r="A717" s="57"/>
      <c r="B717" s="57"/>
      <c r="C717" s="57"/>
      <c r="D717" s="60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8"/>
      <c r="AC717" s="57"/>
      <c r="AD717" s="57"/>
      <c r="AE717" s="57"/>
      <c r="AF717" s="166"/>
      <c r="AG717" s="166"/>
    </row>
    <row r="718" spans="1:33" ht="14.25" customHeight="1" x14ac:dyDescent="0.3">
      <c r="A718" s="57"/>
      <c r="B718" s="57"/>
      <c r="C718" s="57"/>
      <c r="D718" s="60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8"/>
      <c r="AC718" s="57"/>
      <c r="AD718" s="57"/>
      <c r="AE718" s="57"/>
      <c r="AF718" s="166"/>
      <c r="AG718" s="166"/>
    </row>
    <row r="719" spans="1:33" ht="14.25" customHeight="1" x14ac:dyDescent="0.3">
      <c r="A719" s="57"/>
      <c r="B719" s="57"/>
      <c r="C719" s="57"/>
      <c r="D719" s="60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8"/>
      <c r="AC719" s="57"/>
      <c r="AD719" s="57"/>
      <c r="AE719" s="57"/>
      <c r="AF719" s="166"/>
      <c r="AG719" s="166"/>
    </row>
    <row r="720" spans="1:33" ht="14.25" customHeight="1" x14ac:dyDescent="0.3">
      <c r="A720" s="57"/>
      <c r="B720" s="57"/>
      <c r="C720" s="57"/>
      <c r="D720" s="60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8"/>
      <c r="AC720" s="57"/>
      <c r="AD720" s="57"/>
      <c r="AE720" s="57"/>
      <c r="AF720" s="166"/>
      <c r="AG720" s="166"/>
    </row>
    <row r="721" spans="1:33" ht="14.25" customHeight="1" x14ac:dyDescent="0.3">
      <c r="A721" s="57"/>
      <c r="B721" s="57"/>
      <c r="C721" s="57"/>
      <c r="D721" s="60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8"/>
      <c r="AC721" s="57"/>
      <c r="AD721" s="57"/>
      <c r="AE721" s="57"/>
      <c r="AF721" s="166"/>
      <c r="AG721" s="166"/>
    </row>
    <row r="722" spans="1:33" ht="14.25" customHeight="1" x14ac:dyDescent="0.3">
      <c r="A722" s="57"/>
      <c r="B722" s="57"/>
      <c r="C722" s="57"/>
      <c r="D722" s="60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8"/>
      <c r="AC722" s="57"/>
      <c r="AD722" s="57"/>
      <c r="AE722" s="57"/>
      <c r="AF722" s="166"/>
      <c r="AG722" s="166"/>
    </row>
    <row r="723" spans="1:33" ht="14.25" customHeight="1" x14ac:dyDescent="0.3">
      <c r="A723" s="57"/>
      <c r="B723" s="57"/>
      <c r="C723" s="57"/>
      <c r="D723" s="60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8"/>
      <c r="AC723" s="57"/>
      <c r="AD723" s="57"/>
      <c r="AE723" s="57"/>
      <c r="AF723" s="166"/>
      <c r="AG723" s="166"/>
    </row>
    <row r="724" spans="1:33" ht="14.25" customHeight="1" x14ac:dyDescent="0.3">
      <c r="A724" s="57"/>
      <c r="B724" s="57"/>
      <c r="C724" s="57"/>
      <c r="D724" s="60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8"/>
      <c r="AC724" s="57"/>
      <c r="AD724" s="57"/>
      <c r="AE724" s="57"/>
      <c r="AF724" s="166"/>
      <c r="AG724" s="166"/>
    </row>
    <row r="725" spans="1:33" ht="14.25" customHeight="1" x14ac:dyDescent="0.3">
      <c r="A725" s="57"/>
      <c r="B725" s="57"/>
      <c r="C725" s="57"/>
      <c r="D725" s="60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8"/>
      <c r="AC725" s="57"/>
      <c r="AD725" s="57"/>
      <c r="AE725" s="57"/>
      <c r="AF725" s="166"/>
      <c r="AG725" s="166"/>
    </row>
    <row r="726" spans="1:33" ht="14.25" customHeight="1" x14ac:dyDescent="0.3">
      <c r="A726" s="57"/>
      <c r="B726" s="57"/>
      <c r="C726" s="57"/>
      <c r="D726" s="60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8"/>
      <c r="AC726" s="57"/>
      <c r="AD726" s="57"/>
      <c r="AE726" s="57"/>
      <c r="AF726" s="166"/>
      <c r="AG726" s="166"/>
    </row>
    <row r="727" spans="1:33" ht="14.25" customHeight="1" x14ac:dyDescent="0.3">
      <c r="A727" s="57"/>
      <c r="B727" s="57"/>
      <c r="C727" s="57"/>
      <c r="D727" s="60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8"/>
      <c r="AC727" s="57"/>
      <c r="AD727" s="57"/>
      <c r="AE727" s="57"/>
      <c r="AF727" s="166"/>
      <c r="AG727" s="166"/>
    </row>
    <row r="728" spans="1:33" ht="14.25" customHeight="1" x14ac:dyDescent="0.3">
      <c r="A728" s="57"/>
      <c r="B728" s="57"/>
      <c r="C728" s="57"/>
      <c r="D728" s="60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8"/>
      <c r="AC728" s="57"/>
      <c r="AD728" s="57"/>
      <c r="AE728" s="57"/>
      <c r="AF728" s="166"/>
      <c r="AG728" s="166"/>
    </row>
    <row r="729" spans="1:33" ht="14.25" customHeight="1" x14ac:dyDescent="0.3">
      <c r="A729" s="57"/>
      <c r="B729" s="57"/>
      <c r="C729" s="57"/>
      <c r="D729" s="60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8"/>
      <c r="AC729" s="57"/>
      <c r="AD729" s="57"/>
      <c r="AE729" s="57"/>
      <c r="AF729" s="166"/>
      <c r="AG729" s="166"/>
    </row>
    <row r="730" spans="1:33" ht="14.25" customHeight="1" x14ac:dyDescent="0.3">
      <c r="A730" s="57"/>
      <c r="B730" s="57"/>
      <c r="C730" s="57"/>
      <c r="D730" s="60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8"/>
      <c r="AC730" s="57"/>
      <c r="AD730" s="57"/>
      <c r="AE730" s="57"/>
      <c r="AF730" s="166"/>
      <c r="AG730" s="166"/>
    </row>
    <row r="731" spans="1:33" ht="14.25" customHeight="1" x14ac:dyDescent="0.3">
      <c r="A731" s="57"/>
      <c r="B731" s="57"/>
      <c r="C731" s="57"/>
      <c r="D731" s="60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8"/>
      <c r="AC731" s="57"/>
      <c r="AD731" s="57"/>
      <c r="AE731" s="57"/>
      <c r="AF731" s="166"/>
      <c r="AG731" s="166"/>
    </row>
    <row r="732" spans="1:33" ht="14.25" customHeight="1" x14ac:dyDescent="0.3">
      <c r="A732" s="57"/>
      <c r="B732" s="57"/>
      <c r="C732" s="57"/>
      <c r="D732" s="60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8"/>
      <c r="AC732" s="57"/>
      <c r="AD732" s="57"/>
      <c r="AE732" s="57"/>
      <c r="AF732" s="166"/>
      <c r="AG732" s="166"/>
    </row>
    <row r="733" spans="1:33" ht="14.25" customHeight="1" x14ac:dyDescent="0.3">
      <c r="A733" s="57"/>
      <c r="B733" s="57"/>
      <c r="C733" s="57"/>
      <c r="D733" s="60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8"/>
      <c r="AC733" s="57"/>
      <c r="AD733" s="57"/>
      <c r="AE733" s="57"/>
      <c r="AF733" s="166"/>
      <c r="AG733" s="166"/>
    </row>
    <row r="734" spans="1:33" ht="14.25" customHeight="1" x14ac:dyDescent="0.3">
      <c r="A734" s="57"/>
      <c r="B734" s="57"/>
      <c r="C734" s="57"/>
      <c r="D734" s="60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8"/>
      <c r="AC734" s="57"/>
      <c r="AD734" s="57"/>
      <c r="AE734" s="57"/>
      <c r="AF734" s="166"/>
      <c r="AG734" s="166"/>
    </row>
    <row r="735" spans="1:33" ht="14.25" customHeight="1" x14ac:dyDescent="0.3">
      <c r="A735" s="57"/>
      <c r="B735" s="57"/>
      <c r="C735" s="57"/>
      <c r="D735" s="60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8"/>
      <c r="AC735" s="57"/>
      <c r="AD735" s="57"/>
      <c r="AE735" s="57"/>
      <c r="AF735" s="166"/>
      <c r="AG735" s="166"/>
    </row>
    <row r="736" spans="1:33" ht="14.25" customHeight="1" x14ac:dyDescent="0.3">
      <c r="A736" s="57"/>
      <c r="B736" s="57"/>
      <c r="C736" s="57"/>
      <c r="D736" s="60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8"/>
      <c r="AC736" s="57"/>
      <c r="AD736" s="57"/>
      <c r="AE736" s="57"/>
      <c r="AF736" s="166"/>
      <c r="AG736" s="166"/>
    </row>
    <row r="737" spans="1:33" ht="14.25" customHeight="1" x14ac:dyDescent="0.3">
      <c r="A737" s="57"/>
      <c r="B737" s="57"/>
      <c r="C737" s="57"/>
      <c r="D737" s="60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8"/>
      <c r="AC737" s="57"/>
      <c r="AD737" s="57"/>
      <c r="AE737" s="57"/>
      <c r="AF737" s="166"/>
      <c r="AG737" s="166"/>
    </row>
    <row r="738" spans="1:33" ht="14.25" customHeight="1" x14ac:dyDescent="0.3">
      <c r="A738" s="57"/>
      <c r="B738" s="57"/>
      <c r="C738" s="57"/>
      <c r="D738" s="60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8"/>
      <c r="AC738" s="57"/>
      <c r="AD738" s="57"/>
      <c r="AE738" s="57"/>
      <c r="AF738" s="166"/>
      <c r="AG738" s="166"/>
    </row>
    <row r="739" spans="1:33" ht="14.25" customHeight="1" x14ac:dyDescent="0.3">
      <c r="A739" s="57"/>
      <c r="B739" s="57"/>
      <c r="C739" s="57"/>
      <c r="D739" s="60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8"/>
      <c r="AC739" s="57"/>
      <c r="AD739" s="57"/>
      <c r="AE739" s="57"/>
      <c r="AF739" s="166"/>
      <c r="AG739" s="166"/>
    </row>
    <row r="740" spans="1:33" ht="14.25" customHeight="1" x14ac:dyDescent="0.3">
      <c r="A740" s="57"/>
      <c r="B740" s="57"/>
      <c r="C740" s="57"/>
      <c r="D740" s="60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8"/>
      <c r="AC740" s="57"/>
      <c r="AD740" s="57"/>
      <c r="AE740" s="57"/>
      <c r="AF740" s="166"/>
      <c r="AG740" s="166"/>
    </row>
    <row r="741" spans="1:33" ht="14.25" customHeight="1" x14ac:dyDescent="0.3">
      <c r="A741" s="57"/>
      <c r="B741" s="57"/>
      <c r="C741" s="57"/>
      <c r="D741" s="60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8"/>
      <c r="AC741" s="57"/>
      <c r="AD741" s="57"/>
      <c r="AE741" s="57"/>
      <c r="AF741" s="166"/>
      <c r="AG741" s="166"/>
    </row>
    <row r="742" spans="1:33" ht="14.25" customHeight="1" x14ac:dyDescent="0.3">
      <c r="A742" s="57"/>
      <c r="B742" s="57"/>
      <c r="C742" s="57"/>
      <c r="D742" s="60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8"/>
      <c r="AC742" s="57"/>
      <c r="AD742" s="57"/>
      <c r="AE742" s="57"/>
      <c r="AF742" s="166"/>
      <c r="AG742" s="166"/>
    </row>
    <row r="743" spans="1:33" ht="14.25" customHeight="1" x14ac:dyDescent="0.3">
      <c r="A743" s="57"/>
      <c r="B743" s="57"/>
      <c r="C743" s="57"/>
      <c r="D743" s="60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8"/>
      <c r="AC743" s="57"/>
      <c r="AD743" s="57"/>
      <c r="AE743" s="57"/>
      <c r="AF743" s="166"/>
      <c r="AG743" s="166"/>
    </row>
    <row r="744" spans="1:33" ht="14.25" customHeight="1" x14ac:dyDescent="0.3">
      <c r="A744" s="57"/>
      <c r="B744" s="57"/>
      <c r="C744" s="57"/>
      <c r="D744" s="60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8"/>
      <c r="AC744" s="57"/>
      <c r="AD744" s="57"/>
      <c r="AE744" s="57"/>
      <c r="AF744" s="166"/>
      <c r="AG744" s="166"/>
    </row>
    <row r="745" spans="1:33" ht="14.25" customHeight="1" x14ac:dyDescent="0.3">
      <c r="A745" s="57"/>
      <c r="B745" s="57"/>
      <c r="C745" s="57"/>
      <c r="D745" s="60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8"/>
      <c r="AC745" s="57"/>
      <c r="AD745" s="57"/>
      <c r="AE745" s="57"/>
      <c r="AF745" s="166"/>
      <c r="AG745" s="166"/>
    </row>
    <row r="746" spans="1:33" ht="14.25" customHeight="1" x14ac:dyDescent="0.3">
      <c r="A746" s="57"/>
      <c r="B746" s="57"/>
      <c r="C746" s="57"/>
      <c r="D746" s="60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8"/>
      <c r="AC746" s="57"/>
      <c r="AD746" s="57"/>
      <c r="AE746" s="57"/>
      <c r="AF746" s="166"/>
      <c r="AG746" s="166"/>
    </row>
    <row r="747" spans="1:33" ht="14.25" customHeight="1" x14ac:dyDescent="0.3">
      <c r="A747" s="57"/>
      <c r="B747" s="57"/>
      <c r="C747" s="57"/>
      <c r="D747" s="60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8"/>
      <c r="AC747" s="57"/>
      <c r="AD747" s="57"/>
      <c r="AE747" s="57"/>
      <c r="AF747" s="166"/>
      <c r="AG747" s="166"/>
    </row>
    <row r="748" spans="1:33" ht="14.25" customHeight="1" x14ac:dyDescent="0.3">
      <c r="A748" s="57"/>
      <c r="B748" s="57"/>
      <c r="C748" s="57"/>
      <c r="D748" s="60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8"/>
      <c r="AC748" s="57"/>
      <c r="AD748" s="57"/>
      <c r="AE748" s="57"/>
      <c r="AF748" s="166"/>
      <c r="AG748" s="166"/>
    </row>
    <row r="749" spans="1:33" ht="14.25" customHeight="1" x14ac:dyDescent="0.3">
      <c r="A749" s="57"/>
      <c r="B749" s="57"/>
      <c r="C749" s="57"/>
      <c r="D749" s="60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8"/>
      <c r="AC749" s="57"/>
      <c r="AD749" s="57"/>
      <c r="AE749" s="57"/>
      <c r="AF749" s="166"/>
      <c r="AG749" s="166"/>
    </row>
    <row r="750" spans="1:33" ht="14.25" customHeight="1" x14ac:dyDescent="0.3">
      <c r="A750" s="57"/>
      <c r="B750" s="57"/>
      <c r="C750" s="57"/>
      <c r="D750" s="60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8"/>
      <c r="AC750" s="57"/>
      <c r="AD750" s="57"/>
      <c r="AE750" s="57"/>
      <c r="AF750" s="166"/>
      <c r="AG750" s="166"/>
    </row>
    <row r="751" spans="1:33" ht="14.25" customHeight="1" x14ac:dyDescent="0.3">
      <c r="A751" s="57"/>
      <c r="B751" s="57"/>
      <c r="C751" s="57"/>
      <c r="D751" s="60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8"/>
      <c r="AC751" s="57"/>
      <c r="AD751" s="57"/>
      <c r="AE751" s="57"/>
      <c r="AF751" s="166"/>
      <c r="AG751" s="166"/>
    </row>
    <row r="752" spans="1:33" ht="14.25" customHeight="1" x14ac:dyDescent="0.3">
      <c r="A752" s="57"/>
      <c r="B752" s="57"/>
      <c r="C752" s="57"/>
      <c r="D752" s="60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8"/>
      <c r="AC752" s="57"/>
      <c r="AD752" s="57"/>
      <c r="AE752" s="57"/>
      <c r="AF752" s="166"/>
      <c r="AG752" s="166"/>
    </row>
    <row r="753" spans="1:33" ht="14.25" customHeight="1" x14ac:dyDescent="0.3">
      <c r="A753" s="57"/>
      <c r="B753" s="57"/>
      <c r="C753" s="57"/>
      <c r="D753" s="60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8"/>
      <c r="AC753" s="57"/>
      <c r="AD753" s="57"/>
      <c r="AE753" s="57"/>
      <c r="AF753" s="166"/>
      <c r="AG753" s="166"/>
    </row>
    <row r="754" spans="1:33" ht="14.25" customHeight="1" x14ac:dyDescent="0.3">
      <c r="A754" s="57"/>
      <c r="B754" s="57"/>
      <c r="C754" s="57"/>
      <c r="D754" s="60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8"/>
      <c r="AC754" s="57"/>
      <c r="AD754" s="57"/>
      <c r="AE754" s="57"/>
      <c r="AF754" s="166"/>
      <c r="AG754" s="166"/>
    </row>
    <row r="755" spans="1:33" ht="14.25" customHeight="1" x14ac:dyDescent="0.3">
      <c r="A755" s="57"/>
      <c r="B755" s="57"/>
      <c r="C755" s="57"/>
      <c r="D755" s="60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8"/>
      <c r="AC755" s="57"/>
      <c r="AD755" s="57"/>
      <c r="AE755" s="57"/>
      <c r="AF755" s="166"/>
      <c r="AG755" s="166"/>
    </row>
    <row r="756" spans="1:33" ht="14.25" customHeight="1" x14ac:dyDescent="0.3">
      <c r="A756" s="57"/>
      <c r="B756" s="57"/>
      <c r="C756" s="57"/>
      <c r="D756" s="60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8"/>
      <c r="AC756" s="57"/>
      <c r="AD756" s="57"/>
      <c r="AE756" s="57"/>
      <c r="AF756" s="166"/>
      <c r="AG756" s="166"/>
    </row>
    <row r="757" spans="1:33" ht="14.25" customHeight="1" x14ac:dyDescent="0.3">
      <c r="A757" s="57"/>
      <c r="B757" s="57"/>
      <c r="C757" s="57"/>
      <c r="D757" s="60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8"/>
      <c r="AC757" s="57"/>
      <c r="AD757" s="57"/>
      <c r="AE757" s="57"/>
      <c r="AF757" s="166"/>
      <c r="AG757" s="166"/>
    </row>
    <row r="758" spans="1:33" ht="14.25" customHeight="1" x14ac:dyDescent="0.3">
      <c r="A758" s="57"/>
      <c r="B758" s="57"/>
      <c r="C758" s="57"/>
      <c r="D758" s="60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8"/>
      <c r="AC758" s="57"/>
      <c r="AD758" s="57"/>
      <c r="AE758" s="57"/>
      <c r="AF758" s="166"/>
      <c r="AG758" s="166"/>
    </row>
    <row r="759" spans="1:33" ht="14.25" customHeight="1" x14ac:dyDescent="0.3">
      <c r="A759" s="57"/>
      <c r="B759" s="57"/>
      <c r="C759" s="57"/>
      <c r="D759" s="60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8"/>
      <c r="AC759" s="57"/>
      <c r="AD759" s="57"/>
      <c r="AE759" s="57"/>
      <c r="AF759" s="166"/>
      <c r="AG759" s="166"/>
    </row>
    <row r="760" spans="1:33" ht="14.25" customHeight="1" x14ac:dyDescent="0.3">
      <c r="A760" s="57"/>
      <c r="B760" s="57"/>
      <c r="C760" s="57"/>
      <c r="D760" s="60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8"/>
      <c r="AC760" s="57"/>
      <c r="AD760" s="57"/>
      <c r="AE760" s="57"/>
      <c r="AF760" s="166"/>
      <c r="AG760" s="166"/>
    </row>
    <row r="761" spans="1:33" ht="14.25" customHeight="1" x14ac:dyDescent="0.3">
      <c r="A761" s="57"/>
      <c r="B761" s="57"/>
      <c r="C761" s="57"/>
      <c r="D761" s="60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8"/>
      <c r="AC761" s="57"/>
      <c r="AD761" s="57"/>
      <c r="AE761" s="57"/>
      <c r="AF761" s="166"/>
      <c r="AG761" s="166"/>
    </row>
    <row r="762" spans="1:33" ht="14.25" customHeight="1" x14ac:dyDescent="0.3">
      <c r="A762" s="57"/>
      <c r="B762" s="57"/>
      <c r="C762" s="57"/>
      <c r="D762" s="60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8"/>
      <c r="AC762" s="57"/>
      <c r="AD762" s="57"/>
      <c r="AE762" s="57"/>
      <c r="AF762" s="166"/>
      <c r="AG762" s="166"/>
    </row>
    <row r="763" spans="1:33" ht="14.25" customHeight="1" x14ac:dyDescent="0.3">
      <c r="A763" s="57"/>
      <c r="B763" s="57"/>
      <c r="C763" s="57"/>
      <c r="D763" s="60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8"/>
      <c r="AC763" s="57"/>
      <c r="AD763" s="57"/>
      <c r="AE763" s="57"/>
      <c r="AF763" s="166"/>
      <c r="AG763" s="166"/>
    </row>
    <row r="764" spans="1:33" ht="14.25" customHeight="1" x14ac:dyDescent="0.3">
      <c r="A764" s="57"/>
      <c r="B764" s="57"/>
      <c r="C764" s="57"/>
      <c r="D764" s="60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8"/>
      <c r="AC764" s="57"/>
      <c r="AD764" s="57"/>
      <c r="AE764" s="57"/>
      <c r="AF764" s="166"/>
      <c r="AG764" s="166"/>
    </row>
    <row r="765" spans="1:33" ht="14.25" customHeight="1" x14ac:dyDescent="0.3">
      <c r="A765" s="57"/>
      <c r="B765" s="57"/>
      <c r="C765" s="57"/>
      <c r="D765" s="60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8"/>
      <c r="AC765" s="57"/>
      <c r="AD765" s="57"/>
      <c r="AE765" s="57"/>
      <c r="AF765" s="166"/>
      <c r="AG765" s="166"/>
    </row>
    <row r="766" spans="1:33" ht="14.25" customHeight="1" x14ac:dyDescent="0.3">
      <c r="A766" s="57"/>
      <c r="B766" s="57"/>
      <c r="C766" s="57"/>
      <c r="D766" s="60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8"/>
      <c r="AC766" s="57"/>
      <c r="AD766" s="57"/>
      <c r="AE766" s="57"/>
      <c r="AF766" s="166"/>
      <c r="AG766" s="166"/>
    </row>
    <row r="767" spans="1:33" ht="14.25" customHeight="1" x14ac:dyDescent="0.3">
      <c r="A767" s="57"/>
      <c r="B767" s="57"/>
      <c r="C767" s="57"/>
      <c r="D767" s="60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8"/>
      <c r="AC767" s="57"/>
      <c r="AD767" s="57"/>
      <c r="AE767" s="57"/>
      <c r="AF767" s="166"/>
      <c r="AG767" s="166"/>
    </row>
    <row r="768" spans="1:33" ht="14.25" customHeight="1" x14ac:dyDescent="0.3">
      <c r="A768" s="57"/>
      <c r="B768" s="57"/>
      <c r="C768" s="57"/>
      <c r="D768" s="60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8"/>
      <c r="AC768" s="57"/>
      <c r="AD768" s="57"/>
      <c r="AE768" s="57"/>
      <c r="AF768" s="166"/>
      <c r="AG768" s="166"/>
    </row>
    <row r="769" spans="1:33" ht="14.25" customHeight="1" x14ac:dyDescent="0.3">
      <c r="A769" s="57"/>
      <c r="B769" s="57"/>
      <c r="C769" s="57"/>
      <c r="D769" s="60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8"/>
      <c r="AC769" s="57"/>
      <c r="AD769" s="57"/>
      <c r="AE769" s="57"/>
      <c r="AF769" s="166"/>
      <c r="AG769" s="166"/>
    </row>
    <row r="770" spans="1:33" ht="14.25" customHeight="1" x14ac:dyDescent="0.3">
      <c r="A770" s="57"/>
      <c r="B770" s="57"/>
      <c r="C770" s="57"/>
      <c r="D770" s="60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8"/>
      <c r="AC770" s="57"/>
      <c r="AD770" s="57"/>
      <c r="AE770" s="57"/>
      <c r="AF770" s="166"/>
      <c r="AG770" s="166"/>
    </row>
    <row r="771" spans="1:33" ht="14.25" customHeight="1" x14ac:dyDescent="0.3">
      <c r="A771" s="57"/>
      <c r="B771" s="57"/>
      <c r="C771" s="57"/>
      <c r="D771" s="60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8"/>
      <c r="AC771" s="57"/>
      <c r="AD771" s="57"/>
      <c r="AE771" s="57"/>
      <c r="AF771" s="166"/>
      <c r="AG771" s="166"/>
    </row>
    <row r="772" spans="1:33" ht="14.25" customHeight="1" x14ac:dyDescent="0.3">
      <c r="A772" s="57"/>
      <c r="B772" s="57"/>
      <c r="C772" s="57"/>
      <c r="D772" s="60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8"/>
      <c r="AC772" s="57"/>
      <c r="AD772" s="57"/>
      <c r="AE772" s="57"/>
      <c r="AF772" s="166"/>
      <c r="AG772" s="166"/>
    </row>
    <row r="773" spans="1:33" ht="14.25" customHeight="1" x14ac:dyDescent="0.3">
      <c r="A773" s="57"/>
      <c r="B773" s="57"/>
      <c r="C773" s="57"/>
      <c r="D773" s="60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8"/>
      <c r="AC773" s="57"/>
      <c r="AD773" s="57"/>
      <c r="AE773" s="57"/>
      <c r="AF773" s="166"/>
      <c r="AG773" s="166"/>
    </row>
    <row r="774" spans="1:33" ht="14.25" customHeight="1" x14ac:dyDescent="0.3">
      <c r="A774" s="57"/>
      <c r="B774" s="57"/>
      <c r="C774" s="57"/>
      <c r="D774" s="60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8"/>
      <c r="AC774" s="57"/>
      <c r="AD774" s="57"/>
      <c r="AE774" s="57"/>
      <c r="AF774" s="166"/>
      <c r="AG774" s="166"/>
    </row>
    <row r="775" spans="1:33" ht="14.25" customHeight="1" x14ac:dyDescent="0.3">
      <c r="A775" s="57"/>
      <c r="B775" s="57"/>
      <c r="C775" s="57"/>
      <c r="D775" s="60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8"/>
      <c r="AC775" s="57"/>
      <c r="AD775" s="57"/>
      <c r="AE775" s="57"/>
      <c r="AF775" s="166"/>
      <c r="AG775" s="166"/>
    </row>
    <row r="776" spans="1:33" ht="14.25" customHeight="1" x14ac:dyDescent="0.3">
      <c r="A776" s="57"/>
      <c r="B776" s="57"/>
      <c r="C776" s="57"/>
      <c r="D776" s="60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8"/>
      <c r="AC776" s="57"/>
      <c r="AD776" s="57"/>
      <c r="AE776" s="57"/>
      <c r="AF776" s="166"/>
      <c r="AG776" s="166"/>
    </row>
    <row r="777" spans="1:33" ht="14.25" customHeight="1" x14ac:dyDescent="0.3">
      <c r="A777" s="57"/>
      <c r="B777" s="57"/>
      <c r="C777" s="57"/>
      <c r="D777" s="60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8"/>
      <c r="AC777" s="57"/>
      <c r="AD777" s="57"/>
      <c r="AE777" s="57"/>
      <c r="AF777" s="166"/>
      <c r="AG777" s="166"/>
    </row>
    <row r="778" spans="1:33" ht="14.25" customHeight="1" x14ac:dyDescent="0.3">
      <c r="A778" s="57"/>
      <c r="B778" s="57"/>
      <c r="C778" s="57"/>
      <c r="D778" s="60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8"/>
      <c r="AC778" s="57"/>
      <c r="AD778" s="57"/>
      <c r="AE778" s="57"/>
      <c r="AF778" s="166"/>
      <c r="AG778" s="166"/>
    </row>
    <row r="779" spans="1:33" ht="14.25" customHeight="1" x14ac:dyDescent="0.3">
      <c r="A779" s="57"/>
      <c r="B779" s="57"/>
      <c r="C779" s="57"/>
      <c r="D779" s="60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8"/>
      <c r="AC779" s="57"/>
      <c r="AD779" s="57"/>
      <c r="AE779" s="57"/>
      <c r="AF779" s="166"/>
      <c r="AG779" s="166"/>
    </row>
    <row r="780" spans="1:33" ht="14.25" customHeight="1" x14ac:dyDescent="0.3">
      <c r="A780" s="57"/>
      <c r="B780" s="57"/>
      <c r="C780" s="57"/>
      <c r="D780" s="60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8"/>
      <c r="AC780" s="57"/>
      <c r="AD780" s="57"/>
      <c r="AE780" s="57"/>
      <c r="AF780" s="166"/>
      <c r="AG780" s="166"/>
    </row>
    <row r="781" spans="1:33" ht="14.25" customHeight="1" x14ac:dyDescent="0.3">
      <c r="A781" s="57"/>
      <c r="B781" s="57"/>
      <c r="C781" s="57"/>
      <c r="D781" s="60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8"/>
      <c r="AC781" s="57"/>
      <c r="AD781" s="57"/>
      <c r="AE781" s="57"/>
      <c r="AF781" s="166"/>
      <c r="AG781" s="166"/>
    </row>
    <row r="782" spans="1:33" ht="14.25" customHeight="1" x14ac:dyDescent="0.3">
      <c r="A782" s="57"/>
      <c r="B782" s="57"/>
      <c r="C782" s="57"/>
      <c r="D782" s="60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8"/>
      <c r="AC782" s="57"/>
      <c r="AD782" s="57"/>
      <c r="AE782" s="57"/>
      <c r="AF782" s="166"/>
      <c r="AG782" s="166"/>
    </row>
    <row r="783" spans="1:33" ht="14.25" customHeight="1" x14ac:dyDescent="0.3">
      <c r="A783" s="57"/>
      <c r="B783" s="57"/>
      <c r="C783" s="57"/>
      <c r="D783" s="60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8"/>
      <c r="AC783" s="57"/>
      <c r="AD783" s="57"/>
      <c r="AE783" s="57"/>
      <c r="AF783" s="166"/>
      <c r="AG783" s="166"/>
    </row>
    <row r="784" spans="1:33" ht="14.25" customHeight="1" x14ac:dyDescent="0.3">
      <c r="A784" s="57"/>
      <c r="B784" s="57"/>
      <c r="C784" s="57"/>
      <c r="D784" s="60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8"/>
      <c r="AC784" s="57"/>
      <c r="AD784" s="57"/>
      <c r="AE784" s="57"/>
      <c r="AF784" s="166"/>
      <c r="AG784" s="166"/>
    </row>
    <row r="785" spans="1:33" ht="14.25" customHeight="1" x14ac:dyDescent="0.3">
      <c r="A785" s="57"/>
      <c r="B785" s="57"/>
      <c r="C785" s="57"/>
      <c r="D785" s="60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8"/>
      <c r="AC785" s="57"/>
      <c r="AD785" s="57"/>
      <c r="AE785" s="57"/>
      <c r="AF785" s="166"/>
      <c r="AG785" s="166"/>
    </row>
    <row r="786" spans="1:33" ht="14.25" customHeight="1" x14ac:dyDescent="0.3">
      <c r="A786" s="57"/>
      <c r="B786" s="57"/>
      <c r="C786" s="57"/>
      <c r="D786" s="60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8"/>
      <c r="AC786" s="57"/>
      <c r="AD786" s="57"/>
      <c r="AE786" s="57"/>
      <c r="AF786" s="166"/>
      <c r="AG786" s="166"/>
    </row>
    <row r="787" spans="1:33" ht="14.25" customHeight="1" x14ac:dyDescent="0.3">
      <c r="A787" s="57"/>
      <c r="B787" s="57"/>
      <c r="C787" s="57"/>
      <c r="D787" s="60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8"/>
      <c r="AC787" s="57"/>
      <c r="AD787" s="57"/>
      <c r="AE787" s="57"/>
      <c r="AF787" s="166"/>
      <c r="AG787" s="166"/>
    </row>
    <row r="788" spans="1:33" ht="14.25" customHeight="1" x14ac:dyDescent="0.3">
      <c r="A788" s="57"/>
      <c r="B788" s="57"/>
      <c r="C788" s="57"/>
      <c r="D788" s="60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8"/>
      <c r="AC788" s="57"/>
      <c r="AD788" s="57"/>
      <c r="AE788" s="57"/>
      <c r="AF788" s="166"/>
      <c r="AG788" s="166"/>
    </row>
    <row r="789" spans="1:33" ht="14.25" customHeight="1" x14ac:dyDescent="0.3">
      <c r="A789" s="57"/>
      <c r="B789" s="57"/>
      <c r="C789" s="57"/>
      <c r="D789" s="60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8"/>
      <c r="AC789" s="57"/>
      <c r="AD789" s="57"/>
      <c r="AE789" s="57"/>
      <c r="AF789" s="166"/>
      <c r="AG789" s="166"/>
    </row>
    <row r="790" spans="1:33" ht="14.25" customHeight="1" x14ac:dyDescent="0.3">
      <c r="A790" s="57"/>
      <c r="B790" s="57"/>
      <c r="C790" s="57"/>
      <c r="D790" s="60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8"/>
      <c r="AC790" s="57"/>
      <c r="AD790" s="57"/>
      <c r="AE790" s="57"/>
      <c r="AF790" s="166"/>
      <c r="AG790" s="166"/>
    </row>
    <row r="791" spans="1:33" ht="14.25" customHeight="1" x14ac:dyDescent="0.3">
      <c r="A791" s="57"/>
      <c r="B791" s="57"/>
      <c r="C791" s="57"/>
      <c r="D791" s="60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8"/>
      <c r="AC791" s="57"/>
      <c r="AD791" s="57"/>
      <c r="AE791" s="57"/>
      <c r="AF791" s="166"/>
      <c r="AG791" s="166"/>
    </row>
    <row r="792" spans="1:33" ht="14.25" customHeight="1" x14ac:dyDescent="0.3">
      <c r="A792" s="57"/>
      <c r="B792" s="57"/>
      <c r="C792" s="57"/>
      <c r="D792" s="60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8"/>
      <c r="AC792" s="57"/>
      <c r="AD792" s="57"/>
      <c r="AE792" s="57"/>
      <c r="AF792" s="166"/>
      <c r="AG792" s="166"/>
    </row>
    <row r="793" spans="1:33" ht="14.25" customHeight="1" x14ac:dyDescent="0.3">
      <c r="A793" s="57"/>
      <c r="B793" s="57"/>
      <c r="C793" s="57"/>
      <c r="D793" s="60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8"/>
      <c r="AC793" s="57"/>
      <c r="AD793" s="57"/>
      <c r="AE793" s="57"/>
      <c r="AF793" s="166"/>
      <c r="AG793" s="166"/>
    </row>
    <row r="794" spans="1:33" ht="14.25" customHeight="1" x14ac:dyDescent="0.3">
      <c r="A794" s="57"/>
      <c r="B794" s="57"/>
      <c r="C794" s="57"/>
      <c r="D794" s="60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8"/>
      <c r="AC794" s="57"/>
      <c r="AD794" s="57"/>
      <c r="AE794" s="57"/>
      <c r="AF794" s="166"/>
      <c r="AG794" s="166"/>
    </row>
    <row r="795" spans="1:33" ht="14.25" customHeight="1" x14ac:dyDescent="0.3">
      <c r="A795" s="57"/>
      <c r="B795" s="57"/>
      <c r="C795" s="57"/>
      <c r="D795" s="60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8"/>
      <c r="AC795" s="57"/>
      <c r="AD795" s="57"/>
      <c r="AE795" s="57"/>
      <c r="AF795" s="166"/>
      <c r="AG795" s="166"/>
    </row>
    <row r="796" spans="1:33" ht="14.25" customHeight="1" x14ac:dyDescent="0.3">
      <c r="A796" s="57"/>
      <c r="B796" s="57"/>
      <c r="C796" s="57"/>
      <c r="D796" s="60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8"/>
      <c r="AC796" s="57"/>
      <c r="AD796" s="57"/>
      <c r="AE796" s="57"/>
      <c r="AF796" s="166"/>
      <c r="AG796" s="166"/>
    </row>
    <row r="797" spans="1:33" ht="14.25" customHeight="1" x14ac:dyDescent="0.3">
      <c r="A797" s="57"/>
      <c r="B797" s="57"/>
      <c r="C797" s="57"/>
      <c r="D797" s="60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8"/>
      <c r="AC797" s="57"/>
      <c r="AD797" s="57"/>
      <c r="AE797" s="57"/>
      <c r="AF797" s="166"/>
      <c r="AG797" s="166"/>
    </row>
    <row r="798" spans="1:33" ht="14.25" customHeight="1" x14ac:dyDescent="0.3">
      <c r="A798" s="57"/>
      <c r="B798" s="57"/>
      <c r="C798" s="57"/>
      <c r="D798" s="60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8"/>
      <c r="AC798" s="57"/>
      <c r="AD798" s="57"/>
      <c r="AE798" s="57"/>
      <c r="AF798" s="166"/>
      <c r="AG798" s="166"/>
    </row>
    <row r="799" spans="1:33" ht="14.25" customHeight="1" x14ac:dyDescent="0.3">
      <c r="A799" s="57"/>
      <c r="B799" s="57"/>
      <c r="C799" s="57"/>
      <c r="D799" s="60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8"/>
      <c r="AC799" s="57"/>
      <c r="AD799" s="57"/>
      <c r="AE799" s="57"/>
      <c r="AF799" s="166"/>
      <c r="AG799" s="166"/>
    </row>
    <row r="800" spans="1:33" ht="14.25" customHeight="1" x14ac:dyDescent="0.3">
      <c r="A800" s="57"/>
      <c r="B800" s="57"/>
      <c r="C800" s="57"/>
      <c r="D800" s="60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8"/>
      <c r="AC800" s="57"/>
      <c r="AD800" s="57"/>
      <c r="AE800" s="57"/>
      <c r="AF800" s="166"/>
      <c r="AG800" s="166"/>
    </row>
    <row r="801" spans="1:33" ht="14.25" customHeight="1" x14ac:dyDescent="0.3">
      <c r="A801" s="57"/>
      <c r="B801" s="57"/>
      <c r="C801" s="57"/>
      <c r="D801" s="60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8"/>
      <c r="AC801" s="57"/>
      <c r="AD801" s="57"/>
      <c r="AE801" s="57"/>
      <c r="AF801" s="166"/>
      <c r="AG801" s="166"/>
    </row>
    <row r="802" spans="1:33" ht="14.25" customHeight="1" x14ac:dyDescent="0.3">
      <c r="A802" s="57"/>
      <c r="B802" s="57"/>
      <c r="C802" s="57"/>
      <c r="D802" s="60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8"/>
      <c r="AC802" s="57"/>
      <c r="AD802" s="57"/>
      <c r="AE802" s="57"/>
      <c r="AF802" s="166"/>
      <c r="AG802" s="166"/>
    </row>
    <row r="803" spans="1:33" ht="14.25" customHeight="1" x14ac:dyDescent="0.3">
      <c r="A803" s="57"/>
      <c r="B803" s="57"/>
      <c r="C803" s="57"/>
      <c r="D803" s="60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8"/>
      <c r="AC803" s="57"/>
      <c r="AD803" s="57"/>
      <c r="AE803" s="57"/>
      <c r="AF803" s="166"/>
      <c r="AG803" s="166"/>
    </row>
    <row r="804" spans="1:33" ht="14.25" customHeight="1" x14ac:dyDescent="0.3">
      <c r="A804" s="57"/>
      <c r="B804" s="57"/>
      <c r="C804" s="57"/>
      <c r="D804" s="60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8"/>
      <c r="AC804" s="57"/>
      <c r="AD804" s="57"/>
      <c r="AE804" s="57"/>
      <c r="AF804" s="166"/>
      <c r="AG804" s="166"/>
    </row>
    <row r="805" spans="1:33" ht="14.25" customHeight="1" x14ac:dyDescent="0.3">
      <c r="A805" s="57"/>
      <c r="B805" s="57"/>
      <c r="C805" s="57"/>
      <c r="D805" s="60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8"/>
      <c r="AC805" s="57"/>
      <c r="AD805" s="57"/>
      <c r="AE805" s="57"/>
      <c r="AF805" s="166"/>
      <c r="AG805" s="166"/>
    </row>
    <row r="806" spans="1:33" ht="14.25" customHeight="1" x14ac:dyDescent="0.3">
      <c r="A806" s="57"/>
      <c r="B806" s="57"/>
      <c r="C806" s="57"/>
      <c r="D806" s="60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8"/>
      <c r="AC806" s="57"/>
      <c r="AD806" s="57"/>
      <c r="AE806" s="57"/>
      <c r="AF806" s="166"/>
      <c r="AG806" s="166"/>
    </row>
    <row r="807" spans="1:33" ht="14.25" customHeight="1" x14ac:dyDescent="0.3">
      <c r="A807" s="57"/>
      <c r="B807" s="57"/>
      <c r="C807" s="57"/>
      <c r="D807" s="60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8"/>
      <c r="AC807" s="57"/>
      <c r="AD807" s="57"/>
      <c r="AE807" s="57"/>
      <c r="AF807" s="166"/>
      <c r="AG807" s="166"/>
    </row>
    <row r="808" spans="1:33" ht="14.25" customHeight="1" x14ac:dyDescent="0.3">
      <c r="A808" s="57"/>
      <c r="B808" s="57"/>
      <c r="C808" s="57"/>
      <c r="D808" s="60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8"/>
      <c r="AC808" s="57"/>
      <c r="AD808" s="57"/>
      <c r="AE808" s="57"/>
      <c r="AF808" s="166"/>
      <c r="AG808" s="166"/>
    </row>
    <row r="809" spans="1:33" ht="14.25" customHeight="1" x14ac:dyDescent="0.3">
      <c r="A809" s="57"/>
      <c r="B809" s="57"/>
      <c r="C809" s="57"/>
      <c r="D809" s="60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8"/>
      <c r="AC809" s="57"/>
      <c r="AD809" s="57"/>
      <c r="AE809" s="57"/>
      <c r="AF809" s="166"/>
      <c r="AG809" s="166"/>
    </row>
    <row r="810" spans="1:33" ht="14.25" customHeight="1" x14ac:dyDescent="0.3">
      <c r="A810" s="57"/>
      <c r="B810" s="57"/>
      <c r="C810" s="57"/>
      <c r="D810" s="60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8"/>
      <c r="AC810" s="57"/>
      <c r="AD810" s="57"/>
      <c r="AE810" s="57"/>
      <c r="AF810" s="166"/>
      <c r="AG810" s="166"/>
    </row>
    <row r="811" spans="1:33" ht="14.25" customHeight="1" x14ac:dyDescent="0.3">
      <c r="A811" s="57"/>
      <c r="B811" s="57"/>
      <c r="C811" s="57"/>
      <c r="D811" s="60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8"/>
      <c r="AC811" s="57"/>
      <c r="AD811" s="57"/>
      <c r="AE811" s="57"/>
      <c r="AF811" s="166"/>
      <c r="AG811" s="166"/>
    </row>
    <row r="812" spans="1:33" ht="14.25" customHeight="1" x14ac:dyDescent="0.3">
      <c r="A812" s="57"/>
      <c r="B812" s="57"/>
      <c r="C812" s="57"/>
      <c r="D812" s="60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8"/>
      <c r="AC812" s="57"/>
      <c r="AD812" s="57"/>
      <c r="AE812" s="57"/>
      <c r="AF812" s="166"/>
      <c r="AG812" s="166"/>
    </row>
    <row r="813" spans="1:33" ht="14.25" customHeight="1" x14ac:dyDescent="0.3">
      <c r="A813" s="57"/>
      <c r="B813" s="57"/>
      <c r="C813" s="57"/>
      <c r="D813" s="60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8"/>
      <c r="AC813" s="57"/>
      <c r="AD813" s="57"/>
      <c r="AE813" s="57"/>
      <c r="AF813" s="166"/>
      <c r="AG813" s="166"/>
    </row>
    <row r="814" spans="1:33" ht="14.25" customHeight="1" x14ac:dyDescent="0.3">
      <c r="A814" s="57"/>
      <c r="B814" s="57"/>
      <c r="C814" s="57"/>
      <c r="D814" s="60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8"/>
      <c r="AC814" s="57"/>
      <c r="AD814" s="57"/>
      <c r="AE814" s="57"/>
      <c r="AF814" s="166"/>
      <c r="AG814" s="166"/>
    </row>
    <row r="815" spans="1:33" ht="14.25" customHeight="1" x14ac:dyDescent="0.3">
      <c r="A815" s="57"/>
      <c r="B815" s="57"/>
      <c r="C815" s="57"/>
      <c r="D815" s="60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8"/>
      <c r="AC815" s="57"/>
      <c r="AD815" s="57"/>
      <c r="AE815" s="57"/>
      <c r="AF815" s="166"/>
      <c r="AG815" s="166"/>
    </row>
    <row r="816" spans="1:33" ht="14.25" customHeight="1" x14ac:dyDescent="0.3">
      <c r="A816" s="57"/>
      <c r="B816" s="57"/>
      <c r="C816" s="57"/>
      <c r="D816" s="60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8"/>
      <c r="AC816" s="57"/>
      <c r="AD816" s="57"/>
      <c r="AE816" s="57"/>
      <c r="AF816" s="166"/>
      <c r="AG816" s="166"/>
    </row>
    <row r="817" spans="1:33" ht="14.25" customHeight="1" x14ac:dyDescent="0.3">
      <c r="A817" s="57"/>
      <c r="B817" s="57"/>
      <c r="C817" s="57"/>
      <c r="D817" s="60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8"/>
      <c r="AC817" s="57"/>
      <c r="AD817" s="57"/>
      <c r="AE817" s="57"/>
      <c r="AF817" s="166"/>
      <c r="AG817" s="166"/>
    </row>
    <row r="818" spans="1:33" ht="14.25" customHeight="1" x14ac:dyDescent="0.3">
      <c r="A818" s="57"/>
      <c r="B818" s="57"/>
      <c r="C818" s="57"/>
      <c r="D818" s="60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8"/>
      <c r="AC818" s="57"/>
      <c r="AD818" s="57"/>
      <c r="AE818" s="57"/>
      <c r="AF818" s="166"/>
      <c r="AG818" s="166"/>
    </row>
    <row r="819" spans="1:33" ht="14.25" customHeight="1" x14ac:dyDescent="0.3">
      <c r="A819" s="57"/>
      <c r="B819" s="57"/>
      <c r="C819" s="57"/>
      <c r="D819" s="60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8"/>
      <c r="AC819" s="57"/>
      <c r="AD819" s="57"/>
      <c r="AE819" s="57"/>
      <c r="AF819" s="166"/>
      <c r="AG819" s="166"/>
    </row>
    <row r="820" spans="1:33" ht="14.25" customHeight="1" x14ac:dyDescent="0.3">
      <c r="A820" s="57"/>
      <c r="B820" s="57"/>
      <c r="C820" s="57"/>
      <c r="D820" s="60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8"/>
      <c r="AC820" s="57"/>
      <c r="AD820" s="57"/>
      <c r="AE820" s="57"/>
      <c r="AF820" s="166"/>
      <c r="AG820" s="166"/>
    </row>
    <row r="821" spans="1:33" ht="14.25" customHeight="1" x14ac:dyDescent="0.3">
      <c r="A821" s="57"/>
      <c r="B821" s="57"/>
      <c r="C821" s="57"/>
      <c r="D821" s="60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8"/>
      <c r="AC821" s="57"/>
      <c r="AD821" s="57"/>
      <c r="AE821" s="57"/>
      <c r="AF821" s="166"/>
      <c r="AG821" s="166"/>
    </row>
    <row r="822" spans="1:33" ht="14.25" customHeight="1" x14ac:dyDescent="0.3">
      <c r="A822" s="57"/>
      <c r="B822" s="57"/>
      <c r="C822" s="57"/>
      <c r="D822" s="60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8"/>
      <c r="AC822" s="57"/>
      <c r="AD822" s="57"/>
      <c r="AE822" s="57"/>
      <c r="AF822" s="166"/>
      <c r="AG822" s="166"/>
    </row>
    <row r="823" spans="1:33" ht="14.25" customHeight="1" x14ac:dyDescent="0.3">
      <c r="A823" s="57"/>
      <c r="B823" s="57"/>
      <c r="C823" s="57"/>
      <c r="D823" s="60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8"/>
      <c r="AC823" s="57"/>
      <c r="AD823" s="57"/>
      <c r="AE823" s="57"/>
      <c r="AF823" s="166"/>
      <c r="AG823" s="166"/>
    </row>
    <row r="824" spans="1:33" ht="14.25" customHeight="1" x14ac:dyDescent="0.3">
      <c r="A824" s="57"/>
      <c r="B824" s="57"/>
      <c r="C824" s="57"/>
      <c r="D824" s="60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8"/>
      <c r="AC824" s="57"/>
      <c r="AD824" s="57"/>
      <c r="AE824" s="57"/>
      <c r="AF824" s="166"/>
      <c r="AG824" s="166"/>
    </row>
    <row r="825" spans="1:33" ht="14.25" customHeight="1" x14ac:dyDescent="0.3">
      <c r="A825" s="57"/>
      <c r="B825" s="57"/>
      <c r="C825" s="57"/>
      <c r="D825" s="60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8"/>
      <c r="AC825" s="57"/>
      <c r="AD825" s="57"/>
      <c r="AE825" s="57"/>
      <c r="AF825" s="166"/>
      <c r="AG825" s="166"/>
    </row>
    <row r="826" spans="1:33" ht="14.25" customHeight="1" x14ac:dyDescent="0.3">
      <c r="A826" s="57"/>
      <c r="B826" s="57"/>
      <c r="C826" s="57"/>
      <c r="D826" s="60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8"/>
      <c r="AC826" s="57"/>
      <c r="AD826" s="57"/>
      <c r="AE826" s="57"/>
      <c r="AF826" s="166"/>
      <c r="AG826" s="166"/>
    </row>
    <row r="827" spans="1:33" ht="14.25" customHeight="1" x14ac:dyDescent="0.3">
      <c r="A827" s="57"/>
      <c r="B827" s="57"/>
      <c r="C827" s="57"/>
      <c r="D827" s="60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8"/>
      <c r="AC827" s="57"/>
      <c r="AD827" s="57"/>
      <c r="AE827" s="57"/>
      <c r="AF827" s="166"/>
      <c r="AG827" s="166"/>
    </row>
    <row r="828" spans="1:33" ht="14.25" customHeight="1" x14ac:dyDescent="0.3">
      <c r="A828" s="57"/>
      <c r="B828" s="57"/>
      <c r="C828" s="57"/>
      <c r="D828" s="60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8"/>
      <c r="AC828" s="57"/>
      <c r="AD828" s="57"/>
      <c r="AE828" s="57"/>
      <c r="AF828" s="166"/>
      <c r="AG828" s="166"/>
    </row>
    <row r="829" spans="1:33" ht="14.25" customHeight="1" x14ac:dyDescent="0.3">
      <c r="A829" s="57"/>
      <c r="B829" s="57"/>
      <c r="C829" s="57"/>
      <c r="D829" s="60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8"/>
      <c r="AC829" s="57"/>
      <c r="AD829" s="57"/>
      <c r="AE829" s="57"/>
      <c r="AF829" s="166"/>
      <c r="AG829" s="166"/>
    </row>
    <row r="830" spans="1:33" ht="14.25" customHeight="1" x14ac:dyDescent="0.3">
      <c r="A830" s="57"/>
      <c r="B830" s="57"/>
      <c r="C830" s="57"/>
      <c r="D830" s="60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8"/>
      <c r="AC830" s="57"/>
      <c r="AD830" s="57"/>
      <c r="AE830" s="57"/>
      <c r="AF830" s="166"/>
      <c r="AG830" s="166"/>
    </row>
    <row r="831" spans="1:33" ht="14.25" customHeight="1" x14ac:dyDescent="0.3">
      <c r="A831" s="57"/>
      <c r="B831" s="57"/>
      <c r="C831" s="57"/>
      <c r="D831" s="60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8"/>
      <c r="AC831" s="57"/>
      <c r="AD831" s="57"/>
      <c r="AE831" s="57"/>
      <c r="AF831" s="166"/>
      <c r="AG831" s="166"/>
    </row>
    <row r="832" spans="1:33" ht="14.25" customHeight="1" x14ac:dyDescent="0.3">
      <c r="A832" s="57"/>
      <c r="B832" s="57"/>
      <c r="C832" s="57"/>
      <c r="D832" s="60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8"/>
      <c r="AC832" s="57"/>
      <c r="AD832" s="57"/>
      <c r="AE832" s="57"/>
      <c r="AF832" s="166"/>
      <c r="AG832" s="166"/>
    </row>
    <row r="833" spans="1:33" ht="14.25" customHeight="1" x14ac:dyDescent="0.3">
      <c r="A833" s="57"/>
      <c r="B833" s="57"/>
      <c r="C833" s="57"/>
      <c r="D833" s="60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8"/>
      <c r="AC833" s="57"/>
      <c r="AD833" s="57"/>
      <c r="AE833" s="57"/>
      <c r="AF833" s="166"/>
      <c r="AG833" s="166"/>
    </row>
    <row r="834" spans="1:33" ht="14.25" customHeight="1" x14ac:dyDescent="0.3">
      <c r="A834" s="57"/>
      <c r="B834" s="57"/>
      <c r="C834" s="57"/>
      <c r="D834" s="60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8"/>
      <c r="AC834" s="57"/>
      <c r="AD834" s="57"/>
      <c r="AE834" s="57"/>
      <c r="AF834" s="166"/>
      <c r="AG834" s="166"/>
    </row>
    <row r="835" spans="1:33" ht="14.25" customHeight="1" x14ac:dyDescent="0.3">
      <c r="A835" s="57"/>
      <c r="B835" s="57"/>
      <c r="C835" s="57"/>
      <c r="D835" s="60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8"/>
      <c r="AC835" s="57"/>
      <c r="AD835" s="57"/>
      <c r="AE835" s="57"/>
      <c r="AF835" s="166"/>
      <c r="AG835" s="166"/>
    </row>
    <row r="836" spans="1:33" ht="14.25" customHeight="1" x14ac:dyDescent="0.3">
      <c r="A836" s="57"/>
      <c r="B836" s="57"/>
      <c r="C836" s="57"/>
      <c r="D836" s="60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8"/>
      <c r="AC836" s="57"/>
      <c r="AD836" s="57"/>
      <c r="AE836" s="57"/>
      <c r="AF836" s="166"/>
      <c r="AG836" s="166"/>
    </row>
    <row r="837" spans="1:33" ht="14.25" customHeight="1" x14ac:dyDescent="0.3">
      <c r="A837" s="57"/>
      <c r="B837" s="57"/>
      <c r="C837" s="57"/>
      <c r="D837" s="60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8"/>
      <c r="AC837" s="57"/>
      <c r="AD837" s="57"/>
      <c r="AE837" s="57"/>
      <c r="AF837" s="166"/>
      <c r="AG837" s="166"/>
    </row>
    <row r="838" spans="1:33" ht="14.25" customHeight="1" x14ac:dyDescent="0.3">
      <c r="A838" s="57"/>
      <c r="B838" s="57"/>
      <c r="C838" s="57"/>
      <c r="D838" s="60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8"/>
      <c r="AC838" s="57"/>
      <c r="AD838" s="57"/>
      <c r="AE838" s="57"/>
      <c r="AF838" s="166"/>
      <c r="AG838" s="166"/>
    </row>
    <row r="839" spans="1:33" ht="14.25" customHeight="1" x14ac:dyDescent="0.3">
      <c r="A839" s="57"/>
      <c r="B839" s="57"/>
      <c r="C839" s="57"/>
      <c r="D839" s="60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8"/>
      <c r="AC839" s="57"/>
      <c r="AD839" s="57"/>
      <c r="AE839" s="57"/>
      <c r="AF839" s="166"/>
      <c r="AG839" s="166"/>
    </row>
    <row r="840" spans="1:33" ht="14.25" customHeight="1" x14ac:dyDescent="0.3">
      <c r="A840" s="57"/>
      <c r="B840" s="57"/>
      <c r="C840" s="57"/>
      <c r="D840" s="60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8"/>
      <c r="AC840" s="57"/>
      <c r="AD840" s="57"/>
      <c r="AE840" s="57"/>
      <c r="AF840" s="166"/>
      <c r="AG840" s="166"/>
    </row>
    <row r="841" spans="1:33" ht="14.25" customHeight="1" x14ac:dyDescent="0.3">
      <c r="A841" s="57"/>
      <c r="B841" s="57"/>
      <c r="C841" s="57"/>
      <c r="D841" s="60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8"/>
      <c r="AC841" s="57"/>
      <c r="AD841" s="57"/>
      <c r="AE841" s="57"/>
      <c r="AF841" s="166"/>
      <c r="AG841" s="166"/>
    </row>
    <row r="842" spans="1:33" ht="14.25" customHeight="1" x14ac:dyDescent="0.3">
      <c r="A842" s="57"/>
      <c r="B842" s="57"/>
      <c r="C842" s="57"/>
      <c r="D842" s="60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8"/>
      <c r="AC842" s="57"/>
      <c r="AD842" s="57"/>
      <c r="AE842" s="57"/>
      <c r="AF842" s="166"/>
      <c r="AG842" s="166"/>
    </row>
    <row r="843" spans="1:33" ht="14.25" customHeight="1" x14ac:dyDescent="0.3">
      <c r="A843" s="57"/>
      <c r="B843" s="57"/>
      <c r="C843" s="57"/>
      <c r="D843" s="60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8"/>
      <c r="AC843" s="57"/>
      <c r="AD843" s="57"/>
      <c r="AE843" s="57"/>
      <c r="AF843" s="166"/>
      <c r="AG843" s="166"/>
    </row>
    <row r="844" spans="1:33" ht="14.25" customHeight="1" x14ac:dyDescent="0.3">
      <c r="A844" s="57"/>
      <c r="B844" s="57"/>
      <c r="C844" s="57"/>
      <c r="D844" s="60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8"/>
      <c r="AC844" s="57"/>
      <c r="AD844" s="57"/>
      <c r="AE844" s="57"/>
      <c r="AF844" s="166"/>
      <c r="AG844" s="166"/>
    </row>
    <row r="845" spans="1:33" ht="14.25" customHeight="1" x14ac:dyDescent="0.3">
      <c r="A845" s="57"/>
      <c r="B845" s="57"/>
      <c r="C845" s="57"/>
      <c r="D845" s="60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8"/>
      <c r="AC845" s="57"/>
      <c r="AD845" s="57"/>
      <c r="AE845" s="57"/>
      <c r="AF845" s="166"/>
      <c r="AG845" s="166"/>
    </row>
    <row r="846" spans="1:33" ht="14.25" customHeight="1" x14ac:dyDescent="0.3">
      <c r="A846" s="57"/>
      <c r="B846" s="57"/>
      <c r="C846" s="57"/>
      <c r="D846" s="60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8"/>
      <c r="AC846" s="57"/>
      <c r="AD846" s="57"/>
      <c r="AE846" s="57"/>
      <c r="AF846" s="166"/>
      <c r="AG846" s="166"/>
    </row>
    <row r="847" spans="1:33" ht="14.25" customHeight="1" x14ac:dyDescent="0.3">
      <c r="A847" s="57"/>
      <c r="B847" s="57"/>
      <c r="C847" s="57"/>
      <c r="D847" s="60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8"/>
      <c r="AC847" s="57"/>
      <c r="AD847" s="57"/>
      <c r="AE847" s="57"/>
      <c r="AF847" s="166"/>
      <c r="AG847" s="166"/>
    </row>
    <row r="848" spans="1:33" ht="14.25" customHeight="1" x14ac:dyDescent="0.3">
      <c r="A848" s="57"/>
      <c r="B848" s="57"/>
      <c r="C848" s="57"/>
      <c r="D848" s="60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8"/>
      <c r="AC848" s="57"/>
      <c r="AD848" s="57"/>
      <c r="AE848" s="57"/>
      <c r="AF848" s="166"/>
      <c r="AG848" s="166"/>
    </row>
    <row r="849" spans="1:33" ht="14.25" customHeight="1" x14ac:dyDescent="0.3">
      <c r="A849" s="57"/>
      <c r="B849" s="57"/>
      <c r="C849" s="57"/>
      <c r="D849" s="60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8"/>
      <c r="AC849" s="57"/>
      <c r="AD849" s="57"/>
      <c r="AE849" s="57"/>
      <c r="AF849" s="166"/>
      <c r="AG849" s="166"/>
    </row>
    <row r="850" spans="1:33" ht="14.25" customHeight="1" x14ac:dyDescent="0.3">
      <c r="A850" s="57"/>
      <c r="B850" s="57"/>
      <c r="C850" s="57"/>
      <c r="D850" s="60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8"/>
      <c r="AC850" s="57"/>
      <c r="AD850" s="57"/>
      <c r="AE850" s="57"/>
      <c r="AF850" s="166"/>
      <c r="AG850" s="166"/>
    </row>
    <row r="851" spans="1:33" ht="14.25" customHeight="1" x14ac:dyDescent="0.3">
      <c r="A851" s="57"/>
      <c r="B851" s="57"/>
      <c r="C851" s="57"/>
      <c r="D851" s="60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8"/>
      <c r="AC851" s="57"/>
      <c r="AD851" s="57"/>
      <c r="AE851" s="57"/>
      <c r="AF851" s="166"/>
      <c r="AG851" s="166"/>
    </row>
    <row r="852" spans="1:33" ht="14.25" customHeight="1" x14ac:dyDescent="0.3">
      <c r="A852" s="57"/>
      <c r="B852" s="57"/>
      <c r="C852" s="57"/>
      <c r="D852" s="60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8"/>
      <c r="AC852" s="57"/>
      <c r="AD852" s="57"/>
      <c r="AE852" s="57"/>
      <c r="AF852" s="166"/>
      <c r="AG852" s="166"/>
    </row>
    <row r="853" spans="1:33" ht="14.25" customHeight="1" x14ac:dyDescent="0.3">
      <c r="A853" s="57"/>
      <c r="B853" s="57"/>
      <c r="C853" s="57"/>
      <c r="D853" s="60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8"/>
      <c r="AC853" s="57"/>
      <c r="AD853" s="57"/>
      <c r="AE853" s="57"/>
      <c r="AF853" s="166"/>
      <c r="AG853" s="166"/>
    </row>
    <row r="854" spans="1:33" ht="14.25" customHeight="1" x14ac:dyDescent="0.3">
      <c r="A854" s="57"/>
      <c r="B854" s="57"/>
      <c r="C854" s="57"/>
      <c r="D854" s="60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8"/>
      <c r="AC854" s="57"/>
      <c r="AD854" s="57"/>
      <c r="AE854" s="57"/>
      <c r="AF854" s="166"/>
      <c r="AG854" s="166"/>
    </row>
    <row r="855" spans="1:33" ht="14.25" customHeight="1" x14ac:dyDescent="0.3">
      <c r="A855" s="57"/>
      <c r="B855" s="57"/>
      <c r="C855" s="57"/>
      <c r="D855" s="60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8"/>
      <c r="AC855" s="57"/>
      <c r="AD855" s="57"/>
      <c r="AE855" s="57"/>
      <c r="AF855" s="166"/>
      <c r="AG855" s="166"/>
    </row>
    <row r="856" spans="1:33" ht="14.25" customHeight="1" x14ac:dyDescent="0.3">
      <c r="A856" s="57"/>
      <c r="B856" s="57"/>
      <c r="C856" s="57"/>
      <c r="D856" s="60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8"/>
      <c r="AC856" s="57"/>
      <c r="AD856" s="57"/>
      <c r="AE856" s="57"/>
      <c r="AF856" s="166"/>
      <c r="AG856" s="166"/>
    </row>
    <row r="857" spans="1:33" ht="14.25" customHeight="1" x14ac:dyDescent="0.3">
      <c r="A857" s="57"/>
      <c r="B857" s="57"/>
      <c r="C857" s="57"/>
      <c r="D857" s="60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8"/>
      <c r="AC857" s="57"/>
      <c r="AD857" s="57"/>
      <c r="AE857" s="57"/>
      <c r="AF857" s="166"/>
      <c r="AG857" s="166"/>
    </row>
    <row r="858" spans="1:33" ht="14.25" customHeight="1" x14ac:dyDescent="0.3">
      <c r="A858" s="57"/>
      <c r="B858" s="57"/>
      <c r="C858" s="57"/>
      <c r="D858" s="60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8"/>
      <c r="AC858" s="57"/>
      <c r="AD858" s="57"/>
      <c r="AE858" s="57"/>
      <c r="AF858" s="166"/>
      <c r="AG858" s="166"/>
    </row>
    <row r="859" spans="1:33" ht="14.25" customHeight="1" x14ac:dyDescent="0.3">
      <c r="A859" s="57"/>
      <c r="B859" s="57"/>
      <c r="C859" s="57"/>
      <c r="D859" s="60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8"/>
      <c r="AC859" s="57"/>
      <c r="AD859" s="57"/>
      <c r="AE859" s="57"/>
      <c r="AF859" s="166"/>
      <c r="AG859" s="166"/>
    </row>
    <row r="860" spans="1:33" ht="14.25" customHeight="1" x14ac:dyDescent="0.3">
      <c r="A860" s="57"/>
      <c r="B860" s="57"/>
      <c r="C860" s="57"/>
      <c r="D860" s="60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8"/>
      <c r="AC860" s="57"/>
      <c r="AD860" s="57"/>
      <c r="AE860" s="57"/>
      <c r="AF860" s="166"/>
      <c r="AG860" s="166"/>
    </row>
    <row r="861" spans="1:33" ht="14.25" customHeight="1" x14ac:dyDescent="0.3">
      <c r="A861" s="57"/>
      <c r="B861" s="57"/>
      <c r="C861" s="57"/>
      <c r="D861" s="60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8"/>
      <c r="AC861" s="57"/>
      <c r="AD861" s="57"/>
      <c r="AE861" s="57"/>
      <c r="AF861" s="166"/>
      <c r="AG861" s="166"/>
    </row>
    <row r="862" spans="1:33" ht="14.25" customHeight="1" x14ac:dyDescent="0.3">
      <c r="A862" s="57"/>
      <c r="B862" s="57"/>
      <c r="C862" s="57"/>
      <c r="D862" s="60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8"/>
      <c r="AC862" s="57"/>
      <c r="AD862" s="57"/>
      <c r="AE862" s="57"/>
      <c r="AF862" s="166"/>
      <c r="AG862" s="166"/>
    </row>
    <row r="863" spans="1:33" ht="14.25" customHeight="1" x14ac:dyDescent="0.3">
      <c r="A863" s="57"/>
      <c r="B863" s="57"/>
      <c r="C863" s="57"/>
      <c r="D863" s="60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8"/>
      <c r="AC863" s="57"/>
      <c r="AD863" s="57"/>
      <c r="AE863" s="57"/>
      <c r="AF863" s="166"/>
      <c r="AG863" s="166"/>
    </row>
    <row r="864" spans="1:33" ht="14.25" customHeight="1" x14ac:dyDescent="0.3">
      <c r="A864" s="57"/>
      <c r="B864" s="57"/>
      <c r="C864" s="57"/>
      <c r="D864" s="60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8"/>
      <c r="AC864" s="57"/>
      <c r="AD864" s="57"/>
      <c r="AE864" s="57"/>
      <c r="AF864" s="166"/>
      <c r="AG864" s="166"/>
    </row>
    <row r="865" spans="1:33" ht="14.25" customHeight="1" x14ac:dyDescent="0.3">
      <c r="A865" s="57"/>
      <c r="B865" s="57"/>
      <c r="C865" s="57"/>
      <c r="D865" s="60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8"/>
      <c r="AC865" s="57"/>
      <c r="AD865" s="57"/>
      <c r="AE865" s="57"/>
      <c r="AF865" s="166"/>
      <c r="AG865" s="166"/>
    </row>
    <row r="866" spans="1:33" ht="14.25" customHeight="1" x14ac:dyDescent="0.3">
      <c r="A866" s="57"/>
      <c r="B866" s="57"/>
      <c r="C866" s="57"/>
      <c r="D866" s="60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8"/>
      <c r="AC866" s="57"/>
      <c r="AD866" s="57"/>
      <c r="AE866" s="57"/>
      <c r="AF866" s="166"/>
      <c r="AG866" s="166"/>
    </row>
    <row r="867" spans="1:33" ht="14.25" customHeight="1" x14ac:dyDescent="0.3">
      <c r="A867" s="57"/>
      <c r="B867" s="57"/>
      <c r="C867" s="57"/>
      <c r="D867" s="60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8"/>
      <c r="AC867" s="57"/>
      <c r="AD867" s="57"/>
      <c r="AE867" s="57"/>
      <c r="AF867" s="166"/>
      <c r="AG867" s="166"/>
    </row>
    <row r="868" spans="1:33" ht="14.25" customHeight="1" x14ac:dyDescent="0.3">
      <c r="A868" s="57"/>
      <c r="B868" s="57"/>
      <c r="C868" s="57"/>
      <c r="D868" s="60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8"/>
      <c r="AC868" s="57"/>
      <c r="AD868" s="57"/>
      <c r="AE868" s="57"/>
      <c r="AF868" s="166"/>
      <c r="AG868" s="166"/>
    </row>
    <row r="869" spans="1:33" ht="14.25" customHeight="1" x14ac:dyDescent="0.3">
      <c r="A869" s="57"/>
      <c r="B869" s="57"/>
      <c r="C869" s="57"/>
      <c r="D869" s="60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8"/>
      <c r="AC869" s="57"/>
      <c r="AD869" s="57"/>
      <c r="AE869" s="57"/>
      <c r="AF869" s="166"/>
      <c r="AG869" s="166"/>
    </row>
    <row r="870" spans="1:33" ht="14.25" customHeight="1" x14ac:dyDescent="0.3">
      <c r="A870" s="57"/>
      <c r="B870" s="57"/>
      <c r="C870" s="57"/>
      <c r="D870" s="60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8"/>
      <c r="AC870" s="57"/>
      <c r="AD870" s="57"/>
      <c r="AE870" s="57"/>
      <c r="AF870" s="166"/>
      <c r="AG870" s="166"/>
    </row>
    <row r="871" spans="1:33" ht="14.25" customHeight="1" x14ac:dyDescent="0.3">
      <c r="A871" s="57"/>
      <c r="B871" s="57"/>
      <c r="C871" s="57"/>
      <c r="D871" s="60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8"/>
      <c r="AC871" s="57"/>
      <c r="AD871" s="57"/>
      <c r="AE871" s="57"/>
      <c r="AF871" s="166"/>
      <c r="AG871" s="166"/>
    </row>
    <row r="872" spans="1:33" ht="14.25" customHeight="1" x14ac:dyDescent="0.3">
      <c r="A872" s="57"/>
      <c r="B872" s="57"/>
      <c r="C872" s="57"/>
      <c r="D872" s="60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8"/>
      <c r="AC872" s="57"/>
      <c r="AD872" s="57"/>
      <c r="AE872" s="57"/>
      <c r="AF872" s="166"/>
      <c r="AG872" s="166"/>
    </row>
    <row r="873" spans="1:33" ht="14.25" customHeight="1" x14ac:dyDescent="0.3">
      <c r="A873" s="57"/>
      <c r="B873" s="57"/>
      <c r="C873" s="57"/>
      <c r="D873" s="60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8"/>
      <c r="AC873" s="57"/>
      <c r="AD873" s="57"/>
      <c r="AE873" s="57"/>
      <c r="AF873" s="166"/>
      <c r="AG873" s="166"/>
    </row>
    <row r="874" spans="1:33" ht="14.25" customHeight="1" x14ac:dyDescent="0.3">
      <c r="A874" s="57"/>
      <c r="B874" s="57"/>
      <c r="C874" s="57"/>
      <c r="D874" s="60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8"/>
      <c r="AC874" s="57"/>
      <c r="AD874" s="57"/>
      <c r="AE874" s="57"/>
      <c r="AF874" s="166"/>
      <c r="AG874" s="166"/>
    </row>
    <row r="875" spans="1:33" ht="14.25" customHeight="1" x14ac:dyDescent="0.3">
      <c r="A875" s="57"/>
      <c r="B875" s="57"/>
      <c r="C875" s="57"/>
      <c r="D875" s="60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8"/>
      <c r="AC875" s="57"/>
      <c r="AD875" s="57"/>
      <c r="AE875" s="57"/>
      <c r="AF875" s="166"/>
      <c r="AG875" s="166"/>
    </row>
    <row r="876" spans="1:33" ht="14.25" customHeight="1" x14ac:dyDescent="0.3">
      <c r="A876" s="57"/>
      <c r="B876" s="57"/>
      <c r="C876" s="57"/>
      <c r="D876" s="60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8"/>
      <c r="AC876" s="57"/>
      <c r="AD876" s="57"/>
      <c r="AE876" s="57"/>
      <c r="AF876" s="166"/>
      <c r="AG876" s="166"/>
    </row>
    <row r="877" spans="1:33" ht="14.25" customHeight="1" x14ac:dyDescent="0.3">
      <c r="A877" s="57"/>
      <c r="B877" s="57"/>
      <c r="C877" s="57"/>
      <c r="D877" s="60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8"/>
      <c r="AC877" s="57"/>
      <c r="AD877" s="57"/>
      <c r="AE877" s="57"/>
      <c r="AF877" s="166"/>
      <c r="AG877" s="166"/>
    </row>
    <row r="878" spans="1:33" ht="14.25" customHeight="1" x14ac:dyDescent="0.3">
      <c r="A878" s="57"/>
      <c r="B878" s="57"/>
      <c r="C878" s="57"/>
      <c r="D878" s="60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8"/>
      <c r="AC878" s="57"/>
      <c r="AD878" s="57"/>
      <c r="AE878" s="57"/>
      <c r="AF878" s="166"/>
      <c r="AG878" s="166"/>
    </row>
    <row r="879" spans="1:33" ht="14.25" customHeight="1" x14ac:dyDescent="0.3">
      <c r="A879" s="57"/>
      <c r="B879" s="57"/>
      <c r="C879" s="57"/>
      <c r="D879" s="60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8"/>
      <c r="AC879" s="57"/>
      <c r="AD879" s="57"/>
      <c r="AE879" s="57"/>
      <c r="AF879" s="166"/>
      <c r="AG879" s="166"/>
    </row>
    <row r="880" spans="1:33" ht="14.25" customHeight="1" x14ac:dyDescent="0.3">
      <c r="A880" s="57"/>
      <c r="B880" s="57"/>
      <c r="C880" s="57"/>
      <c r="D880" s="60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8"/>
      <c r="AC880" s="57"/>
      <c r="AD880" s="57"/>
      <c r="AE880" s="57"/>
      <c r="AF880" s="166"/>
      <c r="AG880" s="166"/>
    </row>
    <row r="881" spans="1:33" ht="14.25" customHeight="1" x14ac:dyDescent="0.3">
      <c r="A881" s="57"/>
      <c r="B881" s="57"/>
      <c r="C881" s="57"/>
      <c r="D881" s="60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8"/>
      <c r="AC881" s="57"/>
      <c r="AD881" s="57"/>
      <c r="AE881" s="57"/>
      <c r="AF881" s="166"/>
      <c r="AG881" s="166"/>
    </row>
    <row r="882" spans="1:33" ht="14.25" customHeight="1" x14ac:dyDescent="0.3">
      <c r="A882" s="57"/>
      <c r="B882" s="57"/>
      <c r="C882" s="57"/>
      <c r="D882" s="60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8"/>
      <c r="AC882" s="57"/>
      <c r="AD882" s="57"/>
      <c r="AE882" s="57"/>
      <c r="AF882" s="166"/>
      <c r="AG882" s="166"/>
    </row>
    <row r="883" spans="1:33" ht="14.25" customHeight="1" x14ac:dyDescent="0.3">
      <c r="A883" s="57"/>
      <c r="B883" s="57"/>
      <c r="C883" s="57"/>
      <c r="D883" s="60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8"/>
      <c r="AC883" s="57"/>
      <c r="AD883" s="57"/>
      <c r="AE883" s="57"/>
      <c r="AF883" s="166"/>
      <c r="AG883" s="166"/>
    </row>
    <row r="884" spans="1:33" ht="14.25" customHeight="1" x14ac:dyDescent="0.3">
      <c r="A884" s="57"/>
      <c r="B884" s="57"/>
      <c r="C884" s="57"/>
      <c r="D884" s="60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8"/>
      <c r="AC884" s="57"/>
      <c r="AD884" s="57"/>
      <c r="AE884" s="57"/>
      <c r="AF884" s="166"/>
      <c r="AG884" s="166"/>
    </row>
    <row r="885" spans="1:33" ht="14.25" customHeight="1" x14ac:dyDescent="0.3">
      <c r="A885" s="57"/>
      <c r="B885" s="57"/>
      <c r="C885" s="57"/>
      <c r="D885" s="60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8"/>
      <c r="AC885" s="57"/>
      <c r="AD885" s="57"/>
      <c r="AE885" s="57"/>
      <c r="AF885" s="166"/>
      <c r="AG885" s="166"/>
    </row>
    <row r="886" spans="1:33" ht="14.25" customHeight="1" x14ac:dyDescent="0.3">
      <c r="A886" s="57"/>
      <c r="B886" s="57"/>
      <c r="C886" s="57"/>
      <c r="D886" s="60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8"/>
      <c r="AC886" s="57"/>
      <c r="AD886" s="57"/>
      <c r="AE886" s="57"/>
      <c r="AF886" s="166"/>
      <c r="AG886" s="166"/>
    </row>
    <row r="887" spans="1:33" ht="14.25" customHeight="1" x14ac:dyDescent="0.3">
      <c r="A887" s="57"/>
      <c r="B887" s="57"/>
      <c r="C887" s="57"/>
      <c r="D887" s="60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8"/>
      <c r="AC887" s="57"/>
      <c r="AD887" s="57"/>
      <c r="AE887" s="57"/>
      <c r="AF887" s="166"/>
      <c r="AG887" s="166"/>
    </row>
    <row r="888" spans="1:33" ht="14.25" customHeight="1" x14ac:dyDescent="0.3">
      <c r="A888" s="57"/>
      <c r="B888" s="57"/>
      <c r="C888" s="57"/>
      <c r="D888" s="60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8"/>
      <c r="AC888" s="57"/>
      <c r="AD888" s="57"/>
      <c r="AE888" s="57"/>
      <c r="AF888" s="166"/>
      <c r="AG888" s="166"/>
    </row>
    <row r="889" spans="1:33" ht="14.25" customHeight="1" x14ac:dyDescent="0.3">
      <c r="A889" s="57"/>
      <c r="B889" s="57"/>
      <c r="C889" s="57"/>
      <c r="D889" s="60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8"/>
      <c r="AC889" s="57"/>
      <c r="AD889" s="57"/>
      <c r="AE889" s="57"/>
      <c r="AF889" s="166"/>
      <c r="AG889" s="166"/>
    </row>
    <row r="890" spans="1:33" ht="14.25" customHeight="1" x14ac:dyDescent="0.3">
      <c r="A890" s="57"/>
      <c r="B890" s="57"/>
      <c r="C890" s="57"/>
      <c r="D890" s="60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8"/>
      <c r="AC890" s="57"/>
      <c r="AD890" s="57"/>
      <c r="AE890" s="57"/>
      <c r="AF890" s="166"/>
      <c r="AG890" s="166"/>
    </row>
    <row r="891" spans="1:33" ht="14.25" customHeight="1" x14ac:dyDescent="0.3">
      <c r="A891" s="57"/>
      <c r="B891" s="57"/>
      <c r="C891" s="57"/>
      <c r="D891" s="60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8"/>
      <c r="AC891" s="57"/>
      <c r="AD891" s="57"/>
      <c r="AE891" s="57"/>
      <c r="AF891" s="166"/>
      <c r="AG891" s="166"/>
    </row>
    <row r="892" spans="1:33" ht="14.25" customHeight="1" x14ac:dyDescent="0.3">
      <c r="A892" s="57"/>
      <c r="B892" s="57"/>
      <c r="C892" s="57"/>
      <c r="D892" s="60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8"/>
      <c r="AC892" s="57"/>
      <c r="AD892" s="57"/>
      <c r="AE892" s="57"/>
      <c r="AF892" s="166"/>
      <c r="AG892" s="166"/>
    </row>
    <row r="893" spans="1:33" ht="14.25" customHeight="1" x14ac:dyDescent="0.3">
      <c r="A893" s="57"/>
      <c r="B893" s="57"/>
      <c r="C893" s="57"/>
      <c r="D893" s="60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8"/>
      <c r="AC893" s="57"/>
      <c r="AD893" s="57"/>
      <c r="AE893" s="57"/>
      <c r="AF893" s="166"/>
      <c r="AG893" s="166"/>
    </row>
    <row r="894" spans="1:33" ht="14.25" customHeight="1" x14ac:dyDescent="0.3">
      <c r="A894" s="57"/>
      <c r="B894" s="57"/>
      <c r="C894" s="57"/>
      <c r="D894" s="60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8"/>
      <c r="AC894" s="57"/>
      <c r="AD894" s="57"/>
      <c r="AE894" s="57"/>
      <c r="AF894" s="166"/>
      <c r="AG894" s="166"/>
    </row>
    <row r="895" spans="1:33" ht="14.25" customHeight="1" x14ac:dyDescent="0.3">
      <c r="A895" s="57"/>
      <c r="B895" s="57"/>
      <c r="C895" s="57"/>
      <c r="D895" s="60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8"/>
      <c r="AC895" s="57"/>
      <c r="AD895" s="57"/>
      <c r="AE895" s="57"/>
      <c r="AF895" s="166"/>
      <c r="AG895" s="166"/>
    </row>
    <row r="896" spans="1:33" ht="14.25" customHeight="1" x14ac:dyDescent="0.3">
      <c r="A896" s="57"/>
      <c r="B896" s="57"/>
      <c r="C896" s="57"/>
      <c r="D896" s="60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8"/>
      <c r="AC896" s="57"/>
      <c r="AD896" s="57"/>
      <c r="AE896" s="57"/>
      <c r="AF896" s="166"/>
      <c r="AG896" s="166"/>
    </row>
    <row r="897" spans="1:33" ht="14.25" customHeight="1" x14ac:dyDescent="0.3">
      <c r="A897" s="57"/>
      <c r="B897" s="57"/>
      <c r="C897" s="57"/>
      <c r="D897" s="60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8"/>
      <c r="AC897" s="57"/>
      <c r="AD897" s="57"/>
      <c r="AE897" s="57"/>
      <c r="AF897" s="166"/>
      <c r="AG897" s="166"/>
    </row>
    <row r="898" spans="1:33" ht="14.25" customHeight="1" x14ac:dyDescent="0.3">
      <c r="A898" s="57"/>
      <c r="B898" s="57"/>
      <c r="C898" s="57"/>
      <c r="D898" s="60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8"/>
      <c r="AC898" s="57"/>
      <c r="AD898" s="57"/>
      <c r="AE898" s="57"/>
      <c r="AF898" s="166"/>
      <c r="AG898" s="166"/>
    </row>
    <row r="899" spans="1:33" ht="14.25" customHeight="1" x14ac:dyDescent="0.3">
      <c r="A899" s="57"/>
      <c r="B899" s="57"/>
      <c r="C899" s="57"/>
      <c r="D899" s="60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8"/>
      <c r="AC899" s="57"/>
      <c r="AD899" s="57"/>
      <c r="AE899" s="57"/>
      <c r="AF899" s="166"/>
      <c r="AG899" s="166"/>
    </row>
    <row r="900" spans="1:33" ht="14.25" customHeight="1" x14ac:dyDescent="0.3">
      <c r="A900" s="57"/>
      <c r="B900" s="57"/>
      <c r="C900" s="57"/>
      <c r="D900" s="60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8"/>
      <c r="AC900" s="57"/>
      <c r="AD900" s="57"/>
      <c r="AE900" s="57"/>
      <c r="AF900" s="166"/>
      <c r="AG900" s="166"/>
    </row>
    <row r="901" spans="1:33" ht="14.25" customHeight="1" x14ac:dyDescent="0.3">
      <c r="A901" s="57"/>
      <c r="B901" s="57"/>
      <c r="C901" s="57"/>
      <c r="D901" s="60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8"/>
      <c r="AC901" s="57"/>
      <c r="AD901" s="57"/>
      <c r="AE901" s="57"/>
      <c r="AF901" s="166"/>
      <c r="AG901" s="166"/>
    </row>
    <row r="902" spans="1:33" ht="14.25" customHeight="1" x14ac:dyDescent="0.3">
      <c r="A902" s="57"/>
      <c r="B902" s="57"/>
      <c r="C902" s="57"/>
      <c r="D902" s="60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8"/>
      <c r="AC902" s="57"/>
      <c r="AD902" s="57"/>
      <c r="AE902" s="57"/>
      <c r="AF902" s="166"/>
      <c r="AG902" s="166"/>
    </row>
    <row r="903" spans="1:33" ht="14.25" customHeight="1" x14ac:dyDescent="0.3">
      <c r="A903" s="57"/>
      <c r="B903" s="57"/>
      <c r="C903" s="57"/>
      <c r="D903" s="60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8"/>
      <c r="AC903" s="57"/>
      <c r="AD903" s="57"/>
      <c r="AE903" s="57"/>
      <c r="AF903" s="166"/>
      <c r="AG903" s="166"/>
    </row>
    <row r="904" spans="1:33" ht="14.25" customHeight="1" x14ac:dyDescent="0.3">
      <c r="A904" s="57"/>
      <c r="B904" s="57"/>
      <c r="C904" s="57"/>
      <c r="D904" s="60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8"/>
      <c r="AC904" s="57"/>
      <c r="AD904" s="57"/>
      <c r="AE904" s="57"/>
      <c r="AF904" s="166"/>
      <c r="AG904" s="166"/>
    </row>
    <row r="905" spans="1:33" ht="14.25" customHeight="1" x14ac:dyDescent="0.3">
      <c r="A905" s="57"/>
      <c r="B905" s="57"/>
      <c r="C905" s="57"/>
      <c r="D905" s="60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8"/>
      <c r="AC905" s="57"/>
      <c r="AD905" s="57"/>
      <c r="AE905" s="57"/>
      <c r="AF905" s="166"/>
      <c r="AG905" s="166"/>
    </row>
    <row r="906" spans="1:33" ht="14.25" customHeight="1" x14ac:dyDescent="0.3">
      <c r="A906" s="57"/>
      <c r="B906" s="57"/>
      <c r="C906" s="57"/>
      <c r="D906" s="60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8"/>
      <c r="AC906" s="57"/>
      <c r="AD906" s="57"/>
      <c r="AE906" s="57"/>
      <c r="AF906" s="166"/>
      <c r="AG906" s="166"/>
    </row>
    <row r="907" spans="1:33" ht="14.25" customHeight="1" x14ac:dyDescent="0.3">
      <c r="A907" s="57"/>
      <c r="B907" s="57"/>
      <c r="C907" s="57"/>
      <c r="D907" s="60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8"/>
      <c r="AC907" s="57"/>
      <c r="AD907" s="57"/>
      <c r="AE907" s="57"/>
      <c r="AF907" s="166"/>
      <c r="AG907" s="166"/>
    </row>
    <row r="908" spans="1:33" ht="14.25" customHeight="1" x14ac:dyDescent="0.3">
      <c r="A908" s="57"/>
      <c r="B908" s="57"/>
      <c r="C908" s="57"/>
      <c r="D908" s="60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8"/>
      <c r="AC908" s="57"/>
      <c r="AD908" s="57"/>
      <c r="AE908" s="57"/>
      <c r="AF908" s="166"/>
      <c r="AG908" s="166"/>
    </row>
    <row r="909" spans="1:33" ht="14.25" customHeight="1" x14ac:dyDescent="0.3">
      <c r="A909" s="57"/>
      <c r="B909" s="57"/>
      <c r="C909" s="57"/>
      <c r="D909" s="60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8"/>
      <c r="AC909" s="57"/>
      <c r="AD909" s="57"/>
      <c r="AE909" s="57"/>
      <c r="AF909" s="166"/>
      <c r="AG909" s="166"/>
    </row>
    <row r="910" spans="1:33" ht="14.25" customHeight="1" x14ac:dyDescent="0.3">
      <c r="A910" s="57"/>
      <c r="B910" s="57"/>
      <c r="C910" s="57"/>
      <c r="D910" s="60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8"/>
      <c r="AC910" s="57"/>
      <c r="AD910" s="57"/>
      <c r="AE910" s="57"/>
      <c r="AF910" s="166"/>
      <c r="AG910" s="166"/>
    </row>
    <row r="911" spans="1:33" ht="14.25" customHeight="1" x14ac:dyDescent="0.3">
      <c r="A911" s="57"/>
      <c r="B911" s="57"/>
      <c r="C911" s="57"/>
      <c r="D911" s="60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8"/>
      <c r="AC911" s="57"/>
      <c r="AD911" s="57"/>
      <c r="AE911" s="57"/>
      <c r="AF911" s="166"/>
      <c r="AG911" s="166"/>
    </row>
    <row r="912" spans="1:33" ht="14.25" customHeight="1" x14ac:dyDescent="0.3">
      <c r="A912" s="57"/>
      <c r="B912" s="57"/>
      <c r="C912" s="57"/>
      <c r="D912" s="60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8"/>
      <c r="AC912" s="57"/>
      <c r="AD912" s="57"/>
      <c r="AE912" s="57"/>
      <c r="AF912" s="166"/>
      <c r="AG912" s="166"/>
    </row>
    <row r="913" spans="1:33" ht="14.25" customHeight="1" x14ac:dyDescent="0.3">
      <c r="A913" s="57"/>
      <c r="B913" s="57"/>
      <c r="C913" s="57"/>
      <c r="D913" s="60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8"/>
      <c r="AC913" s="57"/>
      <c r="AD913" s="57"/>
      <c r="AE913" s="57"/>
      <c r="AF913" s="166"/>
      <c r="AG913" s="166"/>
    </row>
    <row r="914" spans="1:33" ht="14.25" customHeight="1" x14ac:dyDescent="0.3">
      <c r="A914" s="57"/>
      <c r="B914" s="57"/>
      <c r="C914" s="57"/>
      <c r="D914" s="60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8"/>
      <c r="AC914" s="57"/>
      <c r="AD914" s="57"/>
      <c r="AE914" s="57"/>
      <c r="AF914" s="166"/>
      <c r="AG914" s="166"/>
    </row>
    <row r="915" spans="1:33" ht="14.25" customHeight="1" x14ac:dyDescent="0.3">
      <c r="A915" s="57"/>
      <c r="B915" s="57"/>
      <c r="C915" s="57"/>
      <c r="D915" s="60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8"/>
      <c r="AC915" s="57"/>
      <c r="AD915" s="57"/>
      <c r="AE915" s="57"/>
      <c r="AF915" s="166"/>
      <c r="AG915" s="166"/>
    </row>
    <row r="916" spans="1:33" ht="14.25" customHeight="1" x14ac:dyDescent="0.3">
      <c r="A916" s="57"/>
      <c r="B916" s="57"/>
      <c r="C916" s="57"/>
      <c r="D916" s="60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8"/>
      <c r="AC916" s="57"/>
      <c r="AD916" s="57"/>
      <c r="AE916" s="57"/>
      <c r="AF916" s="166"/>
      <c r="AG916" s="166"/>
    </row>
    <row r="917" spans="1:33" ht="14.25" customHeight="1" x14ac:dyDescent="0.3">
      <c r="A917" s="57"/>
      <c r="B917" s="57"/>
      <c r="C917" s="57"/>
      <c r="D917" s="60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8"/>
      <c r="AC917" s="57"/>
      <c r="AD917" s="57"/>
      <c r="AE917" s="57"/>
      <c r="AF917" s="166"/>
      <c r="AG917" s="166"/>
    </row>
    <row r="918" spans="1:33" ht="14.25" customHeight="1" x14ac:dyDescent="0.3">
      <c r="A918" s="57"/>
      <c r="B918" s="57"/>
      <c r="C918" s="57"/>
      <c r="D918" s="60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8"/>
      <c r="AC918" s="57"/>
      <c r="AD918" s="57"/>
      <c r="AE918" s="57"/>
      <c r="AF918" s="166"/>
      <c r="AG918" s="166"/>
    </row>
    <row r="919" spans="1:33" ht="14.25" customHeight="1" x14ac:dyDescent="0.3">
      <c r="A919" s="57"/>
      <c r="B919" s="57"/>
      <c r="C919" s="57"/>
      <c r="D919" s="60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8"/>
      <c r="AC919" s="57"/>
      <c r="AD919" s="57"/>
      <c r="AE919" s="57"/>
      <c r="AF919" s="166"/>
      <c r="AG919" s="166"/>
    </row>
    <row r="920" spans="1:33" ht="14.25" customHeight="1" x14ac:dyDescent="0.3">
      <c r="A920" s="57"/>
      <c r="B920" s="57"/>
      <c r="C920" s="57"/>
      <c r="D920" s="60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8"/>
      <c r="AC920" s="57"/>
      <c r="AD920" s="57"/>
      <c r="AE920" s="57"/>
      <c r="AF920" s="166"/>
      <c r="AG920" s="166"/>
    </row>
    <row r="921" spans="1:33" ht="14.25" customHeight="1" x14ac:dyDescent="0.3">
      <c r="A921" s="57"/>
      <c r="B921" s="57"/>
      <c r="C921" s="57"/>
      <c r="D921" s="60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8"/>
      <c r="AC921" s="57"/>
      <c r="AD921" s="57"/>
      <c r="AE921" s="57"/>
      <c r="AF921" s="166"/>
      <c r="AG921" s="166"/>
    </row>
    <row r="922" spans="1:33" ht="14.25" customHeight="1" x14ac:dyDescent="0.3">
      <c r="A922" s="57"/>
      <c r="B922" s="57"/>
      <c r="C922" s="57"/>
      <c r="D922" s="60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8"/>
      <c r="AC922" s="57"/>
      <c r="AD922" s="57"/>
      <c r="AE922" s="57"/>
      <c r="AF922" s="166"/>
      <c r="AG922" s="166"/>
    </row>
    <row r="923" spans="1:33" ht="14.25" customHeight="1" x14ac:dyDescent="0.3">
      <c r="A923" s="57"/>
      <c r="B923" s="57"/>
      <c r="C923" s="57"/>
      <c r="D923" s="60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8"/>
      <c r="AC923" s="57"/>
      <c r="AD923" s="57"/>
      <c r="AE923" s="57"/>
      <c r="AF923" s="166"/>
      <c r="AG923" s="166"/>
    </row>
    <row r="924" spans="1:33" ht="14.25" customHeight="1" x14ac:dyDescent="0.3">
      <c r="A924" s="57"/>
      <c r="B924" s="57"/>
      <c r="C924" s="57"/>
      <c r="D924" s="60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8"/>
      <c r="AC924" s="57"/>
      <c r="AD924" s="57"/>
      <c r="AE924" s="57"/>
      <c r="AF924" s="166"/>
      <c r="AG924" s="166"/>
    </row>
    <row r="925" spans="1:33" ht="14.25" customHeight="1" x14ac:dyDescent="0.3">
      <c r="A925" s="57"/>
      <c r="B925" s="57"/>
      <c r="C925" s="57"/>
      <c r="D925" s="60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8"/>
      <c r="AC925" s="57"/>
      <c r="AD925" s="57"/>
      <c r="AE925" s="57"/>
      <c r="AF925" s="166"/>
      <c r="AG925" s="166"/>
    </row>
    <row r="926" spans="1:33" ht="14.25" customHeight="1" x14ac:dyDescent="0.3">
      <c r="A926" s="57"/>
      <c r="B926" s="57"/>
      <c r="C926" s="57"/>
      <c r="D926" s="60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8"/>
      <c r="AC926" s="57"/>
      <c r="AD926" s="57"/>
      <c r="AE926" s="57"/>
      <c r="AF926" s="166"/>
      <c r="AG926" s="166"/>
    </row>
    <row r="927" spans="1:33" ht="14.25" customHeight="1" x14ac:dyDescent="0.3">
      <c r="A927" s="57"/>
      <c r="B927" s="57"/>
      <c r="C927" s="57"/>
      <c r="D927" s="60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8"/>
      <c r="AC927" s="57"/>
      <c r="AD927" s="57"/>
      <c r="AE927" s="57"/>
      <c r="AF927" s="166"/>
      <c r="AG927" s="166"/>
    </row>
    <row r="928" spans="1:33" ht="14.25" customHeight="1" x14ac:dyDescent="0.3">
      <c r="A928" s="57"/>
      <c r="B928" s="57"/>
      <c r="C928" s="57"/>
      <c r="D928" s="60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8"/>
      <c r="AC928" s="57"/>
      <c r="AD928" s="57"/>
      <c r="AE928" s="57"/>
      <c r="AF928" s="166"/>
      <c r="AG928" s="166"/>
    </row>
    <row r="929" spans="1:33" ht="14.25" customHeight="1" x14ac:dyDescent="0.3">
      <c r="A929" s="57"/>
      <c r="B929" s="57"/>
      <c r="C929" s="57"/>
      <c r="D929" s="60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8"/>
      <c r="AC929" s="57"/>
      <c r="AD929" s="57"/>
      <c r="AE929" s="57"/>
      <c r="AF929" s="166"/>
      <c r="AG929" s="166"/>
    </row>
    <row r="930" spans="1:33" ht="14.25" customHeight="1" x14ac:dyDescent="0.3">
      <c r="A930" s="57"/>
      <c r="B930" s="57"/>
      <c r="C930" s="57"/>
      <c r="D930" s="60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8"/>
      <c r="AC930" s="57"/>
      <c r="AD930" s="57"/>
      <c r="AE930" s="57"/>
      <c r="AF930" s="166"/>
      <c r="AG930" s="166"/>
    </row>
    <row r="931" spans="1:33" ht="14.25" customHeight="1" x14ac:dyDescent="0.3">
      <c r="A931" s="57"/>
      <c r="B931" s="57"/>
      <c r="C931" s="57"/>
      <c r="D931" s="60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8"/>
      <c r="AC931" s="57"/>
      <c r="AD931" s="57"/>
      <c r="AE931" s="57"/>
      <c r="AF931" s="166"/>
      <c r="AG931" s="166"/>
    </row>
    <row r="932" spans="1:33" ht="14.25" customHeight="1" x14ac:dyDescent="0.3">
      <c r="A932" s="57"/>
      <c r="B932" s="57"/>
      <c r="C932" s="57"/>
      <c r="D932" s="60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8"/>
      <c r="AC932" s="57"/>
      <c r="AD932" s="57"/>
      <c r="AE932" s="57"/>
      <c r="AF932" s="166"/>
      <c r="AG932" s="166"/>
    </row>
    <row r="933" spans="1:33" ht="14.25" customHeight="1" x14ac:dyDescent="0.3">
      <c r="A933" s="57"/>
      <c r="B933" s="57"/>
      <c r="C933" s="57"/>
      <c r="D933" s="60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8"/>
      <c r="AC933" s="57"/>
      <c r="AD933" s="57"/>
      <c r="AE933" s="57"/>
      <c r="AF933" s="166"/>
      <c r="AG933" s="166"/>
    </row>
    <row r="934" spans="1:33" ht="14.25" customHeight="1" x14ac:dyDescent="0.3">
      <c r="A934" s="57"/>
      <c r="B934" s="57"/>
      <c r="C934" s="57"/>
      <c r="D934" s="60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8"/>
      <c r="AC934" s="57"/>
      <c r="AD934" s="57"/>
      <c r="AE934" s="57"/>
      <c r="AF934" s="166"/>
      <c r="AG934" s="166"/>
    </row>
    <row r="935" spans="1:33" ht="14.25" customHeight="1" x14ac:dyDescent="0.3">
      <c r="A935" s="57"/>
      <c r="B935" s="57"/>
      <c r="C935" s="57"/>
      <c r="D935" s="60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8"/>
      <c r="AC935" s="57"/>
      <c r="AD935" s="57"/>
      <c r="AE935" s="57"/>
      <c r="AF935" s="166"/>
      <c r="AG935" s="166"/>
    </row>
    <row r="936" spans="1:33" ht="14.25" customHeight="1" x14ac:dyDescent="0.3">
      <c r="A936" s="57"/>
      <c r="B936" s="57"/>
      <c r="C936" s="57"/>
      <c r="D936" s="60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8"/>
      <c r="AC936" s="57"/>
      <c r="AD936" s="57"/>
      <c r="AE936" s="57"/>
      <c r="AF936" s="166"/>
      <c r="AG936" s="166"/>
    </row>
    <row r="937" spans="1:33" ht="14.25" customHeight="1" x14ac:dyDescent="0.3">
      <c r="A937" s="57"/>
      <c r="B937" s="57"/>
      <c r="C937" s="57"/>
      <c r="D937" s="60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8"/>
      <c r="AC937" s="57"/>
      <c r="AD937" s="57"/>
      <c r="AE937" s="57"/>
      <c r="AF937" s="166"/>
      <c r="AG937" s="166"/>
    </row>
    <row r="938" spans="1:33" ht="14.25" customHeight="1" x14ac:dyDescent="0.3">
      <c r="A938" s="57"/>
      <c r="B938" s="57"/>
      <c r="C938" s="57"/>
      <c r="D938" s="60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8"/>
      <c r="AC938" s="57"/>
      <c r="AD938" s="57"/>
      <c r="AE938" s="57"/>
      <c r="AF938" s="166"/>
      <c r="AG938" s="166"/>
    </row>
    <row r="939" spans="1:33" ht="14.25" customHeight="1" x14ac:dyDescent="0.3">
      <c r="A939" s="57"/>
      <c r="B939" s="57"/>
      <c r="C939" s="57"/>
      <c r="D939" s="60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8"/>
      <c r="AC939" s="57"/>
      <c r="AD939" s="57"/>
      <c r="AE939" s="57"/>
      <c r="AF939" s="166"/>
      <c r="AG939" s="166"/>
    </row>
    <row r="940" spans="1:33" ht="14.25" customHeight="1" x14ac:dyDescent="0.3">
      <c r="A940" s="57"/>
      <c r="B940" s="57"/>
      <c r="C940" s="57"/>
      <c r="D940" s="60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8"/>
      <c r="AC940" s="57"/>
      <c r="AD940" s="57"/>
      <c r="AE940" s="57"/>
      <c r="AF940" s="166"/>
      <c r="AG940" s="166"/>
    </row>
    <row r="941" spans="1:33" ht="14.25" customHeight="1" x14ac:dyDescent="0.3">
      <c r="A941" s="57"/>
      <c r="B941" s="57"/>
      <c r="C941" s="57"/>
      <c r="D941" s="60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8"/>
      <c r="AC941" s="57"/>
      <c r="AD941" s="57"/>
      <c r="AE941" s="57"/>
      <c r="AF941" s="166"/>
      <c r="AG941" s="166"/>
    </row>
    <row r="942" spans="1:33" ht="14.25" customHeight="1" x14ac:dyDescent="0.3">
      <c r="A942" s="57"/>
      <c r="B942" s="57"/>
      <c r="C942" s="57"/>
      <c r="D942" s="60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8"/>
      <c r="AC942" s="57"/>
      <c r="AD942" s="57"/>
      <c r="AE942" s="57"/>
      <c r="AF942" s="166"/>
      <c r="AG942" s="166"/>
    </row>
    <row r="943" spans="1:33" ht="14.25" customHeight="1" x14ac:dyDescent="0.3">
      <c r="A943" s="57"/>
      <c r="B943" s="57"/>
      <c r="C943" s="57"/>
      <c r="D943" s="60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8"/>
      <c r="AC943" s="57"/>
      <c r="AD943" s="57"/>
      <c r="AE943" s="57"/>
      <c r="AF943" s="166"/>
      <c r="AG943" s="166"/>
    </row>
    <row r="944" spans="1:33" ht="14.25" customHeight="1" x14ac:dyDescent="0.3">
      <c r="A944" s="57"/>
      <c r="B944" s="57"/>
      <c r="C944" s="57"/>
      <c r="D944" s="60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8"/>
      <c r="AC944" s="57"/>
      <c r="AD944" s="57"/>
      <c r="AE944" s="57"/>
      <c r="AF944" s="166"/>
      <c r="AG944" s="166"/>
    </row>
    <row r="945" spans="1:33" ht="14.25" customHeight="1" x14ac:dyDescent="0.3">
      <c r="A945" s="57"/>
      <c r="B945" s="57"/>
      <c r="C945" s="57"/>
      <c r="D945" s="60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8"/>
      <c r="AC945" s="57"/>
      <c r="AD945" s="57"/>
      <c r="AE945" s="57"/>
      <c r="AF945" s="166"/>
      <c r="AG945" s="166"/>
    </row>
    <row r="946" spans="1:33" ht="14.25" customHeight="1" x14ac:dyDescent="0.3">
      <c r="A946" s="57"/>
      <c r="B946" s="57"/>
      <c r="C946" s="57"/>
      <c r="D946" s="60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8"/>
      <c r="AC946" s="57"/>
      <c r="AD946" s="57"/>
      <c r="AE946" s="57"/>
      <c r="AF946" s="166"/>
      <c r="AG946" s="166"/>
    </row>
    <row r="947" spans="1:33" ht="14.25" customHeight="1" x14ac:dyDescent="0.3">
      <c r="A947" s="57"/>
      <c r="B947" s="57"/>
      <c r="C947" s="57"/>
      <c r="D947" s="60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8"/>
      <c r="AC947" s="57"/>
      <c r="AD947" s="57"/>
      <c r="AE947" s="57"/>
      <c r="AF947" s="166"/>
      <c r="AG947" s="166"/>
    </row>
    <row r="948" spans="1:33" ht="14.25" customHeight="1" x14ac:dyDescent="0.3">
      <c r="A948" s="57"/>
      <c r="B948" s="57"/>
      <c r="C948" s="57"/>
      <c r="D948" s="60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8"/>
      <c r="AC948" s="57"/>
      <c r="AD948" s="57"/>
      <c r="AE948" s="57"/>
      <c r="AF948" s="166"/>
      <c r="AG948" s="166"/>
    </row>
    <row r="949" spans="1:33" ht="14.25" customHeight="1" x14ac:dyDescent="0.3">
      <c r="A949" s="57"/>
      <c r="B949" s="57"/>
      <c r="C949" s="57"/>
      <c r="D949" s="60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8"/>
      <c r="AC949" s="57"/>
      <c r="AD949" s="57"/>
      <c r="AE949" s="57"/>
      <c r="AF949" s="166"/>
      <c r="AG949" s="166"/>
    </row>
    <row r="950" spans="1:33" ht="14.25" customHeight="1" x14ac:dyDescent="0.3">
      <c r="A950" s="57"/>
      <c r="B950" s="57"/>
      <c r="C950" s="57"/>
      <c r="D950" s="60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8"/>
      <c r="AC950" s="57"/>
      <c r="AD950" s="57"/>
      <c r="AE950" s="57"/>
      <c r="AF950" s="166"/>
      <c r="AG950" s="166"/>
    </row>
    <row r="951" spans="1:33" ht="14.25" customHeight="1" x14ac:dyDescent="0.3">
      <c r="A951" s="57"/>
      <c r="B951" s="57"/>
      <c r="C951" s="57"/>
      <c r="D951" s="60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8"/>
      <c r="AC951" s="57"/>
      <c r="AD951" s="57"/>
      <c r="AE951" s="57"/>
      <c r="AF951" s="166"/>
      <c r="AG951" s="166"/>
    </row>
    <row r="952" spans="1:33" ht="14.25" customHeight="1" x14ac:dyDescent="0.3">
      <c r="A952" s="57"/>
      <c r="B952" s="57"/>
      <c r="C952" s="57"/>
      <c r="D952" s="60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8"/>
      <c r="AC952" s="57"/>
      <c r="AD952" s="57"/>
      <c r="AE952" s="57"/>
      <c r="AF952" s="166"/>
      <c r="AG952" s="166"/>
    </row>
    <row r="953" spans="1:33" ht="14.25" customHeight="1" x14ac:dyDescent="0.3">
      <c r="A953" s="57"/>
      <c r="B953" s="57"/>
      <c r="C953" s="57"/>
      <c r="D953" s="60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8"/>
      <c r="AC953" s="57"/>
      <c r="AD953" s="57"/>
      <c r="AE953" s="57"/>
      <c r="AF953" s="166"/>
      <c r="AG953" s="166"/>
    </row>
    <row r="954" spans="1:33" ht="14.25" customHeight="1" x14ac:dyDescent="0.3">
      <c r="A954" s="57"/>
      <c r="B954" s="57"/>
      <c r="C954" s="57"/>
      <c r="D954" s="60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8"/>
      <c r="AC954" s="57"/>
      <c r="AD954" s="57"/>
      <c r="AE954" s="57"/>
      <c r="AF954" s="166"/>
      <c r="AG954" s="166"/>
    </row>
    <row r="955" spans="1:33" ht="14.25" customHeight="1" x14ac:dyDescent="0.3">
      <c r="A955" s="57"/>
      <c r="B955" s="57"/>
      <c r="C955" s="57"/>
      <c r="D955" s="60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8"/>
      <c r="AC955" s="57"/>
      <c r="AD955" s="57"/>
      <c r="AE955" s="57"/>
      <c r="AF955" s="166"/>
      <c r="AG955" s="166"/>
    </row>
    <row r="956" spans="1:33" ht="14.25" customHeight="1" x14ac:dyDescent="0.3">
      <c r="A956" s="57"/>
      <c r="B956" s="57"/>
      <c r="C956" s="57"/>
      <c r="D956" s="60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8"/>
      <c r="AC956" s="57"/>
      <c r="AD956" s="57"/>
      <c r="AE956" s="57"/>
      <c r="AF956" s="166"/>
      <c r="AG956" s="166"/>
    </row>
    <row r="957" spans="1:33" ht="14.25" customHeight="1" x14ac:dyDescent="0.3">
      <c r="A957" s="57"/>
      <c r="B957" s="57"/>
      <c r="C957" s="57"/>
      <c r="D957" s="60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8"/>
      <c r="AC957" s="57"/>
      <c r="AD957" s="57"/>
      <c r="AE957" s="57"/>
      <c r="AF957" s="166"/>
      <c r="AG957" s="166"/>
    </row>
    <row r="958" spans="1:33" ht="14.25" customHeight="1" x14ac:dyDescent="0.3">
      <c r="A958" s="57"/>
      <c r="B958" s="57"/>
      <c r="C958" s="57"/>
      <c r="D958" s="60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8"/>
      <c r="AC958" s="57"/>
      <c r="AD958" s="57"/>
      <c r="AE958" s="57"/>
      <c r="AF958" s="166"/>
      <c r="AG958" s="166"/>
    </row>
    <row r="959" spans="1:33" ht="14.25" customHeight="1" x14ac:dyDescent="0.3">
      <c r="A959" s="57"/>
      <c r="B959" s="57"/>
      <c r="C959" s="57"/>
      <c r="D959" s="60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8"/>
      <c r="AC959" s="57"/>
      <c r="AD959" s="57"/>
      <c r="AE959" s="57"/>
      <c r="AF959" s="166"/>
      <c r="AG959" s="166"/>
    </row>
    <row r="960" spans="1:33" ht="14.25" customHeight="1" x14ac:dyDescent="0.3">
      <c r="A960" s="57"/>
      <c r="B960" s="57"/>
      <c r="C960" s="57"/>
      <c r="D960" s="60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8"/>
      <c r="AC960" s="57"/>
      <c r="AD960" s="57"/>
      <c r="AE960" s="57"/>
      <c r="AF960" s="166"/>
      <c r="AG960" s="166"/>
    </row>
    <row r="961" spans="1:33" ht="14.25" customHeight="1" x14ac:dyDescent="0.3">
      <c r="A961" s="57"/>
      <c r="B961" s="57"/>
      <c r="C961" s="57"/>
      <c r="D961" s="60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8"/>
      <c r="AC961" s="57"/>
      <c r="AD961" s="57"/>
      <c r="AE961" s="57"/>
      <c r="AF961" s="166"/>
      <c r="AG961" s="166"/>
    </row>
    <row r="962" spans="1:33" ht="14.25" customHeight="1" x14ac:dyDescent="0.3">
      <c r="A962" s="57"/>
      <c r="B962" s="57"/>
      <c r="C962" s="57"/>
      <c r="D962" s="60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8"/>
      <c r="AC962" s="57"/>
      <c r="AD962" s="57"/>
      <c r="AE962" s="57"/>
      <c r="AF962" s="166"/>
      <c r="AG962" s="166"/>
    </row>
    <row r="963" spans="1:33" ht="14.25" customHeight="1" x14ac:dyDescent="0.3">
      <c r="A963" s="57"/>
      <c r="B963" s="57"/>
      <c r="C963" s="57"/>
      <c r="D963" s="60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8"/>
      <c r="AC963" s="57"/>
      <c r="AD963" s="57"/>
      <c r="AE963" s="57"/>
      <c r="AF963" s="166"/>
      <c r="AG963" s="166"/>
    </row>
    <row r="964" spans="1:33" ht="14.25" customHeight="1" x14ac:dyDescent="0.3">
      <c r="A964" s="57"/>
      <c r="B964" s="57"/>
      <c r="C964" s="57"/>
      <c r="D964" s="60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8"/>
      <c r="AC964" s="57"/>
      <c r="AD964" s="57"/>
      <c r="AE964" s="57"/>
      <c r="AF964" s="166"/>
      <c r="AG964" s="166"/>
    </row>
    <row r="965" spans="1:33" ht="14.25" customHeight="1" x14ac:dyDescent="0.3">
      <c r="A965" s="57"/>
      <c r="B965" s="57"/>
      <c r="C965" s="57"/>
      <c r="D965" s="60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8"/>
      <c r="AC965" s="57"/>
      <c r="AD965" s="57"/>
      <c r="AE965" s="57"/>
      <c r="AF965" s="166"/>
      <c r="AG965" s="166"/>
    </row>
    <row r="966" spans="1:33" ht="14.25" customHeight="1" x14ac:dyDescent="0.3">
      <c r="A966" s="57"/>
      <c r="B966" s="57"/>
      <c r="C966" s="57"/>
      <c r="D966" s="60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8"/>
      <c r="AC966" s="57"/>
      <c r="AD966" s="57"/>
      <c r="AE966" s="57"/>
      <c r="AF966" s="166"/>
      <c r="AG966" s="166"/>
    </row>
    <row r="967" spans="1:33" ht="14.25" customHeight="1" x14ac:dyDescent="0.3">
      <c r="A967" s="57"/>
      <c r="B967" s="57"/>
      <c r="C967" s="57"/>
      <c r="D967" s="60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8"/>
      <c r="AC967" s="57"/>
      <c r="AD967" s="57"/>
      <c r="AE967" s="57"/>
      <c r="AF967" s="166"/>
      <c r="AG967" s="166"/>
    </row>
    <row r="968" spans="1:33" ht="14.25" customHeight="1" x14ac:dyDescent="0.3">
      <c r="A968" s="57"/>
      <c r="B968" s="57"/>
      <c r="C968" s="57"/>
      <c r="D968" s="60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8"/>
      <c r="AC968" s="57"/>
      <c r="AD968" s="57"/>
      <c r="AE968" s="57"/>
      <c r="AF968" s="166"/>
      <c r="AG968" s="166"/>
    </row>
    <row r="969" spans="1:33" ht="14.25" customHeight="1" x14ac:dyDescent="0.3">
      <c r="A969" s="57"/>
      <c r="B969" s="57"/>
      <c r="C969" s="57"/>
      <c r="D969" s="60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8"/>
      <c r="AC969" s="57"/>
      <c r="AD969" s="57"/>
      <c r="AE969" s="57"/>
      <c r="AF969" s="166"/>
      <c r="AG969" s="166"/>
    </row>
    <row r="970" spans="1:33" ht="14.25" customHeight="1" x14ac:dyDescent="0.3">
      <c r="A970" s="57"/>
      <c r="B970" s="57"/>
      <c r="C970" s="57"/>
      <c r="D970" s="60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8"/>
      <c r="AC970" s="57"/>
      <c r="AD970" s="57"/>
      <c r="AE970" s="57"/>
      <c r="AF970" s="166"/>
      <c r="AG970" s="166"/>
    </row>
    <row r="971" spans="1:33" ht="14.25" customHeight="1" x14ac:dyDescent="0.3">
      <c r="A971" s="57"/>
      <c r="B971" s="57"/>
      <c r="C971" s="57"/>
      <c r="D971" s="60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8"/>
      <c r="AC971" s="57"/>
      <c r="AD971" s="57"/>
      <c r="AE971" s="57"/>
      <c r="AF971" s="166"/>
      <c r="AG971" s="166"/>
    </row>
    <row r="972" spans="1:33" ht="14.25" customHeight="1" x14ac:dyDescent="0.3">
      <c r="A972" s="57"/>
      <c r="B972" s="57"/>
      <c r="C972" s="57"/>
      <c r="D972" s="60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8"/>
      <c r="AC972" s="57"/>
      <c r="AD972" s="57"/>
      <c r="AE972" s="57"/>
      <c r="AF972" s="166"/>
      <c r="AG972" s="166"/>
    </row>
    <row r="973" spans="1:33" ht="14.25" customHeight="1" x14ac:dyDescent="0.3">
      <c r="A973" s="57"/>
      <c r="B973" s="57"/>
      <c r="C973" s="57"/>
      <c r="D973" s="60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8"/>
      <c r="AC973" s="57"/>
      <c r="AD973" s="57"/>
      <c r="AE973" s="57"/>
      <c r="AF973" s="166"/>
      <c r="AG973" s="166"/>
    </row>
    <row r="974" spans="1:33" ht="14.25" customHeight="1" x14ac:dyDescent="0.3">
      <c r="A974" s="57"/>
      <c r="B974" s="57"/>
      <c r="C974" s="57"/>
      <c r="D974" s="60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8"/>
      <c r="AC974" s="57"/>
      <c r="AD974" s="57"/>
      <c r="AE974" s="57"/>
      <c r="AF974" s="166"/>
      <c r="AG974" s="166"/>
    </row>
    <row r="975" spans="1:33" ht="14.25" customHeight="1" x14ac:dyDescent="0.3">
      <c r="A975" s="57"/>
      <c r="B975" s="57"/>
      <c r="C975" s="57"/>
      <c r="D975" s="60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8"/>
      <c r="AC975" s="57"/>
      <c r="AD975" s="57"/>
      <c r="AE975" s="57"/>
      <c r="AF975" s="166"/>
      <c r="AG975" s="166"/>
    </row>
    <row r="976" spans="1:33" ht="14.25" customHeight="1" x14ac:dyDescent="0.3">
      <c r="A976" s="57"/>
      <c r="B976" s="57"/>
      <c r="C976" s="57"/>
      <c r="D976" s="60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8"/>
      <c r="AC976" s="57"/>
      <c r="AD976" s="57"/>
      <c r="AE976" s="57"/>
      <c r="AF976" s="166"/>
      <c r="AG976" s="166"/>
    </row>
    <row r="977" spans="1:33" ht="14.25" customHeight="1" x14ac:dyDescent="0.3">
      <c r="A977" s="57"/>
      <c r="B977" s="57"/>
      <c r="C977" s="57"/>
      <c r="D977" s="60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8"/>
      <c r="AC977" s="57"/>
      <c r="AD977" s="57"/>
      <c r="AE977" s="57"/>
      <c r="AF977" s="166"/>
      <c r="AG977" s="166"/>
    </row>
    <row r="978" spans="1:33" ht="14.25" customHeight="1" x14ac:dyDescent="0.3">
      <c r="A978" s="57"/>
      <c r="B978" s="57"/>
      <c r="C978" s="57"/>
      <c r="D978" s="60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8"/>
      <c r="AC978" s="57"/>
      <c r="AD978" s="57"/>
      <c r="AE978" s="57"/>
      <c r="AF978" s="166"/>
      <c r="AG978" s="166"/>
    </row>
    <row r="979" spans="1:33" ht="14.25" customHeight="1" x14ac:dyDescent="0.3">
      <c r="A979" s="57"/>
      <c r="B979" s="57"/>
      <c r="C979" s="57"/>
      <c r="D979" s="60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8"/>
      <c r="AC979" s="57"/>
      <c r="AD979" s="57"/>
      <c r="AE979" s="57"/>
      <c r="AF979" s="166"/>
      <c r="AG979" s="166"/>
    </row>
    <row r="980" spans="1:33" ht="14.25" customHeight="1" x14ac:dyDescent="0.3">
      <c r="A980" s="57"/>
      <c r="B980" s="57"/>
      <c r="C980" s="57"/>
      <c r="D980" s="60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8"/>
      <c r="AC980" s="57"/>
      <c r="AD980" s="57"/>
      <c r="AE980" s="57"/>
      <c r="AF980" s="166"/>
      <c r="AG980" s="166"/>
    </row>
    <row r="981" spans="1:33" ht="14.25" customHeight="1" x14ac:dyDescent="0.3">
      <c r="A981" s="57"/>
      <c r="B981" s="57"/>
      <c r="C981" s="57"/>
      <c r="D981" s="60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8"/>
      <c r="AC981" s="57"/>
      <c r="AD981" s="57"/>
      <c r="AE981" s="57"/>
      <c r="AF981" s="166"/>
      <c r="AG981" s="166"/>
    </row>
    <row r="982" spans="1:33" ht="14.25" customHeight="1" x14ac:dyDescent="0.3">
      <c r="A982" s="57"/>
      <c r="B982" s="57"/>
      <c r="C982" s="57"/>
      <c r="D982" s="60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8"/>
      <c r="AC982" s="57"/>
      <c r="AD982" s="57"/>
      <c r="AE982" s="57"/>
      <c r="AF982" s="166"/>
      <c r="AG982" s="166"/>
    </row>
    <row r="983" spans="1:33" ht="14.25" customHeight="1" x14ac:dyDescent="0.3">
      <c r="A983" s="57"/>
      <c r="B983" s="57"/>
      <c r="C983" s="57"/>
      <c r="D983" s="60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8"/>
      <c r="AC983" s="57"/>
      <c r="AD983" s="57"/>
      <c r="AE983" s="57"/>
      <c r="AF983" s="166"/>
      <c r="AG983" s="166"/>
    </row>
    <row r="984" spans="1:33" ht="14.25" customHeight="1" x14ac:dyDescent="0.3">
      <c r="A984" s="57"/>
      <c r="B984" s="57"/>
      <c r="C984" s="57"/>
      <c r="D984" s="60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8"/>
      <c r="AC984" s="57"/>
      <c r="AD984" s="57"/>
      <c r="AE984" s="57"/>
      <c r="AF984" s="166"/>
      <c r="AG984" s="166"/>
    </row>
    <row r="985" spans="1:33" ht="14.25" customHeight="1" x14ac:dyDescent="0.3">
      <c r="A985" s="57"/>
      <c r="B985" s="57"/>
      <c r="C985" s="57"/>
      <c r="D985" s="60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8"/>
      <c r="AC985" s="57"/>
      <c r="AD985" s="57"/>
      <c r="AE985" s="57"/>
      <c r="AF985" s="166"/>
      <c r="AG985" s="166"/>
    </row>
    <row r="986" spans="1:33" ht="14.25" customHeight="1" x14ac:dyDescent="0.3">
      <c r="A986" s="57"/>
      <c r="B986" s="57"/>
      <c r="C986" s="57"/>
      <c r="D986" s="60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8"/>
      <c r="AC986" s="57"/>
      <c r="AD986" s="57"/>
      <c r="AE986" s="57"/>
      <c r="AF986" s="166"/>
      <c r="AG986" s="166"/>
    </row>
    <row r="987" spans="1:33" ht="14.25" customHeight="1" x14ac:dyDescent="0.3">
      <c r="A987" s="57"/>
      <c r="B987" s="57"/>
      <c r="C987" s="57"/>
      <c r="D987" s="60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8"/>
      <c r="AC987" s="57"/>
      <c r="AD987" s="57"/>
      <c r="AE987" s="57"/>
      <c r="AF987" s="166"/>
      <c r="AG987" s="166"/>
    </row>
    <row r="988" spans="1:33" ht="14.25" customHeight="1" x14ac:dyDescent="0.3">
      <c r="A988" s="57"/>
      <c r="B988" s="57"/>
      <c r="C988" s="57"/>
      <c r="D988" s="60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8"/>
      <c r="AC988" s="57"/>
      <c r="AD988" s="57"/>
      <c r="AE988" s="57"/>
      <c r="AF988" s="166"/>
      <c r="AG988" s="166"/>
    </row>
    <row r="989" spans="1:33" ht="14.25" customHeight="1" x14ac:dyDescent="0.3">
      <c r="A989" s="57"/>
      <c r="B989" s="57"/>
      <c r="C989" s="57"/>
      <c r="D989" s="60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8"/>
      <c r="AC989" s="57"/>
      <c r="AD989" s="57"/>
      <c r="AE989" s="57"/>
      <c r="AF989" s="166"/>
      <c r="AG989" s="166"/>
    </row>
    <row r="990" spans="1:33" ht="14.25" customHeight="1" x14ac:dyDescent="0.3">
      <c r="A990" s="57"/>
      <c r="B990" s="57"/>
      <c r="C990" s="57"/>
      <c r="D990" s="60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8"/>
      <c r="AC990" s="57"/>
      <c r="AD990" s="57"/>
      <c r="AE990" s="57"/>
      <c r="AF990" s="166"/>
      <c r="AG990" s="166"/>
    </row>
    <row r="991" spans="1:33" ht="14.25" customHeight="1" x14ac:dyDescent="0.3">
      <c r="A991" s="57"/>
      <c r="B991" s="57"/>
      <c r="C991" s="57"/>
      <c r="D991" s="60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8"/>
      <c r="AC991" s="57"/>
      <c r="AD991" s="57"/>
      <c r="AE991" s="57"/>
      <c r="AF991" s="166"/>
      <c r="AG991" s="166"/>
    </row>
  </sheetData>
  <autoFilter ref="A1:AG369" xr:uid="{00000000-0001-0000-0000-000000000000}"/>
  <sortState xmlns:xlrd2="http://schemas.microsoft.com/office/spreadsheetml/2017/richdata2" ref="A78:AG140">
    <sortCondition ref="D2:D140"/>
    <sortCondition ref="AB2:AB140"/>
  </sortState>
  <conditionalFormatting sqref="Y1:Y65 Y107:Y355 Y370:Y991">
    <cfRule type="cellIs" dxfId="1" priority="2" operator="greaterThan">
      <formula>"M1:M989"</formula>
    </cfRule>
  </conditionalFormatting>
  <conditionalFormatting sqref="Y67:Y105 O106">
    <cfRule type="cellIs" dxfId="0" priority="7" operator="greaterThan">
      <formula>"M1:M989"</formula>
    </cfRule>
  </conditionalFormatting>
  <pageMargins left="0.7" right="0.7" top="0.78740157499999996" bottom="0.78740157499999996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782F-3E85-4BF7-9777-6895D72A1E1C}">
  <dimension ref="A1:AL15"/>
  <sheetViews>
    <sheetView workbookViewId="0">
      <pane ySplit="1" topLeftCell="A2" activePane="bottomLeft" state="frozen"/>
      <selection pane="bottomLeft" activeCell="K2" sqref="K2"/>
    </sheetView>
  </sheetViews>
  <sheetFormatPr baseColWidth="10" defaultRowHeight="14.4" x14ac:dyDescent="0.3"/>
  <cols>
    <col min="18" max="18" width="17.33203125" customWidth="1"/>
  </cols>
  <sheetData>
    <row r="1" spans="1:38" ht="43.2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1" t="s">
        <v>13</v>
      </c>
      <c r="O1" s="6" t="s">
        <v>14</v>
      </c>
      <c r="P1" s="2" t="s">
        <v>15</v>
      </c>
      <c r="Q1" s="1" t="s">
        <v>16</v>
      </c>
      <c r="R1" s="2" t="s">
        <v>17</v>
      </c>
      <c r="S1" s="7" t="s">
        <v>654</v>
      </c>
      <c r="T1" s="33" t="s">
        <v>655</v>
      </c>
      <c r="U1" s="34" t="s">
        <v>656</v>
      </c>
      <c r="V1" s="35" t="s">
        <v>657</v>
      </c>
      <c r="W1" s="2" t="s">
        <v>658</v>
      </c>
      <c r="X1" s="2" t="s">
        <v>659</v>
      </c>
      <c r="Y1" s="2" t="s">
        <v>660</v>
      </c>
      <c r="Z1" s="2" t="s">
        <v>661</v>
      </c>
      <c r="AA1" s="36" t="s">
        <v>662</v>
      </c>
      <c r="AB1" s="37" t="s">
        <v>663</v>
      </c>
      <c r="AC1" s="37" t="s">
        <v>664</v>
      </c>
      <c r="AD1" s="38" t="s">
        <v>665</v>
      </c>
      <c r="AE1" s="38" t="s">
        <v>666</v>
      </c>
      <c r="AF1" s="38" t="s">
        <v>667</v>
      </c>
      <c r="AG1" s="38" t="s">
        <v>668</v>
      </c>
      <c r="AH1" s="39" t="s">
        <v>669</v>
      </c>
      <c r="AI1" s="40" t="s">
        <v>670</v>
      </c>
      <c r="AJ1" s="41" t="s">
        <v>671</v>
      </c>
      <c r="AK1" s="41" t="s">
        <v>672</v>
      </c>
      <c r="AL1" s="46" t="s">
        <v>686</v>
      </c>
    </row>
    <row r="2" spans="1:38" x14ac:dyDescent="0.3">
      <c r="A2" s="8" t="s">
        <v>23</v>
      </c>
      <c r="B2" s="9" t="s">
        <v>24</v>
      </c>
      <c r="C2" s="10">
        <v>2146</v>
      </c>
      <c r="D2" s="11">
        <v>8865</v>
      </c>
      <c r="E2" s="10">
        <v>1</v>
      </c>
      <c r="F2" s="11"/>
      <c r="G2" s="11"/>
      <c r="H2" s="8" t="s">
        <v>77</v>
      </c>
      <c r="I2" s="8" t="s">
        <v>78</v>
      </c>
      <c r="J2" s="8" t="s">
        <v>79</v>
      </c>
      <c r="K2" s="10">
        <v>0</v>
      </c>
      <c r="L2" s="12">
        <v>39169</v>
      </c>
      <c r="M2" s="8">
        <v>21.326762374313976</v>
      </c>
      <c r="N2" s="11"/>
      <c r="O2" s="11"/>
      <c r="P2" s="11"/>
      <c r="Q2" s="8" t="s">
        <v>80</v>
      </c>
      <c r="R2" s="13" t="s">
        <v>81</v>
      </c>
      <c r="S2" s="11">
        <v>1</v>
      </c>
      <c r="T2">
        <v>1</v>
      </c>
      <c r="U2" s="42">
        <v>45924</v>
      </c>
      <c r="W2">
        <v>20</v>
      </c>
      <c r="X2">
        <v>25.99</v>
      </c>
      <c r="Y2">
        <v>10.220000000000001</v>
      </c>
      <c r="Z2" s="43"/>
      <c r="AB2">
        <v>0.17</v>
      </c>
      <c r="AC2">
        <v>0.15</v>
      </c>
      <c r="AD2">
        <v>0.18</v>
      </c>
      <c r="AE2">
        <v>0.18</v>
      </c>
      <c r="AF2">
        <v>0.16</v>
      </c>
      <c r="AG2">
        <v>0.16</v>
      </c>
      <c r="AH2">
        <v>0.4</v>
      </c>
      <c r="AI2">
        <v>7.3</v>
      </c>
      <c r="AJ2">
        <v>1.59</v>
      </c>
      <c r="AK2">
        <v>0.86</v>
      </c>
    </row>
    <row r="3" spans="1:38" x14ac:dyDescent="0.3">
      <c r="A3" s="8" t="s">
        <v>23</v>
      </c>
      <c r="B3" s="9" t="s">
        <v>24</v>
      </c>
      <c r="C3" s="10">
        <v>2141</v>
      </c>
      <c r="D3" s="11">
        <v>8869</v>
      </c>
      <c r="E3" s="10">
        <v>1</v>
      </c>
      <c r="F3" s="11"/>
      <c r="G3" s="11"/>
      <c r="H3" s="8" t="s">
        <v>29</v>
      </c>
      <c r="I3" s="8" t="s">
        <v>57</v>
      </c>
      <c r="J3" s="8" t="s">
        <v>58</v>
      </c>
      <c r="K3" s="10">
        <v>0</v>
      </c>
      <c r="L3" s="12">
        <v>39169</v>
      </c>
      <c r="M3" s="8">
        <v>46.791553269017228</v>
      </c>
      <c r="N3" s="11"/>
      <c r="O3" s="11"/>
      <c r="P3" s="11"/>
      <c r="Q3" s="8" t="s">
        <v>59</v>
      </c>
      <c r="R3" s="13" t="s">
        <v>60</v>
      </c>
      <c r="S3" s="11">
        <v>1</v>
      </c>
      <c r="T3">
        <v>1</v>
      </c>
      <c r="U3" s="42">
        <v>45924</v>
      </c>
      <c r="W3">
        <v>20</v>
      </c>
      <c r="X3">
        <v>24.75</v>
      </c>
      <c r="Y3">
        <v>10.050000000000001</v>
      </c>
      <c r="Z3" s="43"/>
      <c r="AB3">
        <v>0.24</v>
      </c>
      <c r="AC3">
        <v>0.26</v>
      </c>
      <c r="AD3">
        <v>0.26</v>
      </c>
      <c r="AE3">
        <v>0.23</v>
      </c>
      <c r="AF3">
        <v>0.21</v>
      </c>
      <c r="AG3">
        <v>0.24</v>
      </c>
      <c r="AH3">
        <v>0.3</v>
      </c>
      <c r="AI3">
        <v>7.3</v>
      </c>
      <c r="AJ3">
        <v>1.61</v>
      </c>
      <c r="AK3">
        <v>1.05</v>
      </c>
    </row>
    <row r="4" spans="1:38" ht="28.8" x14ac:dyDescent="0.3">
      <c r="A4" s="24" t="s">
        <v>23</v>
      </c>
      <c r="B4" s="28" t="s">
        <v>137</v>
      </c>
      <c r="C4" s="25">
        <v>2199</v>
      </c>
      <c r="D4" s="26">
        <v>8893</v>
      </c>
      <c r="E4" s="25">
        <v>1</v>
      </c>
      <c r="F4" s="26"/>
      <c r="G4" s="26"/>
      <c r="H4" s="24" t="s">
        <v>149</v>
      </c>
      <c r="I4" s="24" t="s">
        <v>228</v>
      </c>
      <c r="J4" s="24" t="s">
        <v>229</v>
      </c>
      <c r="K4" s="25">
        <v>0</v>
      </c>
      <c r="L4" s="29">
        <v>39169</v>
      </c>
      <c r="M4" s="24">
        <v>10.504226244065093</v>
      </c>
      <c r="N4" s="26"/>
      <c r="O4" s="26"/>
      <c r="P4" s="26"/>
      <c r="Q4" s="24" t="s">
        <v>157</v>
      </c>
      <c r="R4" s="30" t="s">
        <v>230</v>
      </c>
      <c r="S4" s="26">
        <v>1</v>
      </c>
      <c r="T4">
        <v>1</v>
      </c>
      <c r="U4" s="42">
        <v>45924</v>
      </c>
      <c r="W4">
        <v>6</v>
      </c>
      <c r="X4">
        <v>29.13</v>
      </c>
      <c r="Y4">
        <v>12.91</v>
      </c>
      <c r="Z4" s="44" t="s">
        <v>683</v>
      </c>
      <c r="AB4">
        <v>0.16</v>
      </c>
      <c r="AC4">
        <v>0.16</v>
      </c>
      <c r="AD4">
        <v>0.15</v>
      </c>
      <c r="AE4">
        <v>0.15</v>
      </c>
      <c r="AF4">
        <v>0.12</v>
      </c>
      <c r="AG4">
        <v>0.14000000000000001</v>
      </c>
      <c r="AH4">
        <v>0.3</v>
      </c>
      <c r="AI4">
        <v>6</v>
      </c>
      <c r="AJ4">
        <v>1.29</v>
      </c>
      <c r="AK4">
        <v>0.73</v>
      </c>
    </row>
    <row r="5" spans="1:38" x14ac:dyDescent="0.3">
      <c r="A5" s="8" t="s">
        <v>23</v>
      </c>
      <c r="B5" s="9" t="s">
        <v>137</v>
      </c>
      <c r="C5" s="10">
        <v>2190</v>
      </c>
      <c r="D5" s="11">
        <v>8899</v>
      </c>
      <c r="E5" s="10">
        <v>1</v>
      </c>
      <c r="F5" s="11"/>
      <c r="G5" s="11"/>
      <c r="H5" s="8" t="s">
        <v>206</v>
      </c>
      <c r="I5" s="8" t="s">
        <v>207</v>
      </c>
      <c r="J5" s="8" t="s">
        <v>208</v>
      </c>
      <c r="K5" s="10">
        <v>0</v>
      </c>
      <c r="L5" s="12">
        <v>39169</v>
      </c>
      <c r="M5" s="8">
        <v>14.00563499208679</v>
      </c>
      <c r="N5" s="11"/>
      <c r="O5" s="11"/>
      <c r="P5" s="11"/>
      <c r="Q5" s="8" t="s">
        <v>209</v>
      </c>
      <c r="R5" s="13" t="s">
        <v>210</v>
      </c>
      <c r="S5" s="11">
        <v>1</v>
      </c>
      <c r="T5">
        <v>1</v>
      </c>
      <c r="U5" s="42">
        <v>45924</v>
      </c>
      <c r="W5">
        <v>19</v>
      </c>
      <c r="X5">
        <v>20.07</v>
      </c>
      <c r="Y5">
        <v>5.84</v>
      </c>
      <c r="Z5" s="43"/>
      <c r="AB5">
        <v>0.16</v>
      </c>
      <c r="AC5">
        <v>0.15</v>
      </c>
      <c r="AD5">
        <v>0.16</v>
      </c>
      <c r="AE5">
        <v>0.16</v>
      </c>
      <c r="AF5">
        <v>0.15</v>
      </c>
      <c r="AG5">
        <v>0.15</v>
      </c>
      <c r="AH5">
        <v>0.5</v>
      </c>
      <c r="AI5">
        <v>6.6</v>
      </c>
      <c r="AJ5">
        <v>1.48</v>
      </c>
      <c r="AK5">
        <v>0.69</v>
      </c>
    </row>
    <row r="6" spans="1:38" x14ac:dyDescent="0.3">
      <c r="A6" s="8" t="s">
        <v>23</v>
      </c>
      <c r="B6" s="9" t="s">
        <v>137</v>
      </c>
      <c r="C6" s="10">
        <v>2197</v>
      </c>
      <c r="D6" s="11">
        <v>8894</v>
      </c>
      <c r="E6" s="10">
        <v>1</v>
      </c>
      <c r="F6" s="11"/>
      <c r="G6" s="11"/>
      <c r="H6" s="8" t="s">
        <v>149</v>
      </c>
      <c r="I6" s="8" t="s">
        <v>222</v>
      </c>
      <c r="J6" s="8" t="s">
        <v>223</v>
      </c>
      <c r="K6" s="10">
        <v>0</v>
      </c>
      <c r="L6" s="12">
        <v>39169</v>
      </c>
      <c r="M6" s="8">
        <v>33.104228163114229</v>
      </c>
      <c r="N6" s="11"/>
      <c r="O6" s="11"/>
      <c r="P6" s="11"/>
      <c r="Q6" s="8" t="s">
        <v>157</v>
      </c>
      <c r="R6" s="13" t="s">
        <v>224</v>
      </c>
      <c r="S6" s="11">
        <v>1</v>
      </c>
      <c r="T6">
        <v>1</v>
      </c>
      <c r="U6" s="42">
        <v>45924</v>
      </c>
      <c r="W6">
        <v>15</v>
      </c>
      <c r="X6">
        <v>28.21</v>
      </c>
      <c r="Y6">
        <v>12.73</v>
      </c>
      <c r="Z6" s="43"/>
      <c r="AB6">
        <v>0.11</v>
      </c>
      <c r="AC6">
        <v>0.14000000000000001</v>
      </c>
      <c r="AD6">
        <v>0.13</v>
      </c>
      <c r="AE6">
        <v>0.12</v>
      </c>
      <c r="AF6">
        <v>0.15</v>
      </c>
      <c r="AG6">
        <v>0.12</v>
      </c>
      <c r="AH6">
        <v>0.3</v>
      </c>
      <c r="AI6">
        <v>6.9</v>
      </c>
      <c r="AJ6">
        <v>1.53</v>
      </c>
      <c r="AK6">
        <v>1.02</v>
      </c>
    </row>
    <row r="7" spans="1:38" ht="28.8" x14ac:dyDescent="0.3">
      <c r="A7" s="8" t="s">
        <v>23</v>
      </c>
      <c r="B7" s="15" t="s">
        <v>233</v>
      </c>
      <c r="C7" s="10">
        <v>2217</v>
      </c>
      <c r="D7" s="11">
        <v>3624</v>
      </c>
      <c r="E7" s="10">
        <v>1</v>
      </c>
      <c r="F7" s="10">
        <v>0</v>
      </c>
      <c r="G7" s="10">
        <v>0</v>
      </c>
      <c r="H7" s="8" t="s">
        <v>25</v>
      </c>
      <c r="I7" s="16" t="s">
        <v>26</v>
      </c>
      <c r="J7" s="16" t="s">
        <v>265</v>
      </c>
      <c r="K7" s="17">
        <v>1</v>
      </c>
      <c r="L7" s="18">
        <v>39406</v>
      </c>
      <c r="M7" s="19">
        <v>15.37</v>
      </c>
      <c r="N7" s="18">
        <v>40660</v>
      </c>
      <c r="O7" s="20">
        <v>15.39</v>
      </c>
      <c r="P7" s="10">
        <v>15.1</v>
      </c>
      <c r="Q7" s="10"/>
      <c r="R7" s="10">
        <v>3881</v>
      </c>
      <c r="S7" s="11">
        <v>1</v>
      </c>
      <c r="T7">
        <v>1</v>
      </c>
      <c r="U7" s="42">
        <v>45924</v>
      </c>
      <c r="W7">
        <v>20</v>
      </c>
      <c r="X7">
        <v>20.34</v>
      </c>
      <c r="Y7">
        <v>8.2200000000000006</v>
      </c>
      <c r="Z7" s="44" t="s">
        <v>681</v>
      </c>
      <c r="AB7">
        <v>0.17</v>
      </c>
      <c r="AC7">
        <v>0.16</v>
      </c>
      <c r="AD7">
        <v>0.17</v>
      </c>
      <c r="AE7">
        <v>0.17</v>
      </c>
      <c r="AF7">
        <v>0.18</v>
      </c>
      <c r="AG7">
        <v>0.17</v>
      </c>
      <c r="AH7">
        <v>0.3</v>
      </c>
      <c r="AI7">
        <v>7.6</v>
      </c>
      <c r="AJ7">
        <v>1.41</v>
      </c>
      <c r="AK7">
        <v>0.67</v>
      </c>
    </row>
    <row r="8" spans="1:38" x14ac:dyDescent="0.3">
      <c r="A8" s="8" t="s">
        <v>23</v>
      </c>
      <c r="B8" s="15" t="s">
        <v>233</v>
      </c>
      <c r="C8" s="10">
        <v>2246</v>
      </c>
      <c r="D8" s="11">
        <v>3631</v>
      </c>
      <c r="E8" s="10">
        <v>1</v>
      </c>
      <c r="F8" s="10">
        <v>0</v>
      </c>
      <c r="G8" s="10">
        <v>0</v>
      </c>
      <c r="H8" s="8" t="s">
        <v>51</v>
      </c>
      <c r="I8" s="16" t="s">
        <v>643</v>
      </c>
      <c r="J8" s="16" t="s">
        <v>295</v>
      </c>
      <c r="K8" s="17">
        <v>1</v>
      </c>
      <c r="L8" s="18">
        <v>39406</v>
      </c>
      <c r="M8" s="19">
        <v>23.3</v>
      </c>
      <c r="N8" s="18">
        <v>40660</v>
      </c>
      <c r="O8" s="20">
        <v>23.59</v>
      </c>
      <c r="P8" s="10">
        <v>22</v>
      </c>
      <c r="Q8" s="10"/>
      <c r="R8" s="10">
        <v>3903</v>
      </c>
      <c r="S8" s="11">
        <v>1</v>
      </c>
      <c r="T8">
        <v>1</v>
      </c>
      <c r="U8" s="42">
        <v>45924</v>
      </c>
      <c r="W8">
        <v>20</v>
      </c>
      <c r="X8">
        <v>24.07</v>
      </c>
      <c r="Y8">
        <v>10.75</v>
      </c>
      <c r="Z8" s="43"/>
      <c r="AB8">
        <v>0.18</v>
      </c>
      <c r="AC8">
        <v>0.16</v>
      </c>
      <c r="AD8">
        <v>0.18</v>
      </c>
      <c r="AE8">
        <v>0.17</v>
      </c>
      <c r="AF8">
        <v>0.19</v>
      </c>
      <c r="AG8">
        <v>0.19</v>
      </c>
      <c r="AH8">
        <v>0.5</v>
      </c>
      <c r="AI8">
        <v>6.7</v>
      </c>
      <c r="AJ8">
        <v>1.61</v>
      </c>
      <c r="AK8">
        <v>0.89</v>
      </c>
    </row>
    <row r="9" spans="1:38" x14ac:dyDescent="0.3">
      <c r="A9" s="8" t="s">
        <v>23</v>
      </c>
      <c r="B9" s="15" t="s">
        <v>233</v>
      </c>
      <c r="C9" s="10">
        <v>2239</v>
      </c>
      <c r="D9" s="11">
        <v>3643</v>
      </c>
      <c r="E9" s="10">
        <v>1</v>
      </c>
      <c r="F9" s="10">
        <v>0</v>
      </c>
      <c r="G9" s="10">
        <v>0</v>
      </c>
      <c r="H9" s="8" t="s">
        <v>112</v>
      </c>
      <c r="I9" s="16" t="s">
        <v>113</v>
      </c>
      <c r="J9" s="16"/>
      <c r="K9" s="17">
        <v>1</v>
      </c>
      <c r="L9" s="18">
        <v>39406</v>
      </c>
      <c r="M9" s="19">
        <v>10.14</v>
      </c>
      <c r="N9" s="18">
        <v>40660</v>
      </c>
      <c r="O9" s="20">
        <v>10.5</v>
      </c>
      <c r="P9" s="10">
        <v>12.9</v>
      </c>
      <c r="Q9" s="10" t="s">
        <v>240</v>
      </c>
      <c r="R9" s="10">
        <v>3899</v>
      </c>
      <c r="S9" s="11">
        <v>1</v>
      </c>
      <c r="T9">
        <v>1</v>
      </c>
      <c r="U9" s="42">
        <v>45924</v>
      </c>
      <c r="W9">
        <v>15</v>
      </c>
      <c r="X9">
        <v>24.55</v>
      </c>
      <c r="Y9">
        <v>10.75</v>
      </c>
      <c r="Z9" s="44" t="s">
        <v>682</v>
      </c>
      <c r="AB9">
        <v>0.11</v>
      </c>
      <c r="AC9">
        <v>0.1</v>
      </c>
      <c r="AD9">
        <v>0.09</v>
      </c>
      <c r="AE9">
        <v>0.1</v>
      </c>
      <c r="AF9">
        <v>0.1</v>
      </c>
      <c r="AG9">
        <v>0.11</v>
      </c>
      <c r="AH9">
        <v>0.4</v>
      </c>
      <c r="AI9">
        <v>5.0999999999999996</v>
      </c>
      <c r="AJ9">
        <v>1.17</v>
      </c>
      <c r="AK9">
        <v>0.64</v>
      </c>
    </row>
    <row r="10" spans="1:38" x14ac:dyDescent="0.3">
      <c r="A10" s="8" t="s">
        <v>23</v>
      </c>
      <c r="B10" s="15" t="s">
        <v>233</v>
      </c>
      <c r="C10" s="10">
        <v>2202</v>
      </c>
      <c r="D10" s="11">
        <v>3658</v>
      </c>
      <c r="E10" s="10">
        <v>1</v>
      </c>
      <c r="F10" s="10">
        <v>0</v>
      </c>
      <c r="G10" s="10">
        <v>0</v>
      </c>
      <c r="H10" s="8" t="s">
        <v>467</v>
      </c>
      <c r="I10" s="16" t="s">
        <v>241</v>
      </c>
      <c r="J10" s="16" t="s">
        <v>242</v>
      </c>
      <c r="K10" s="17">
        <v>1</v>
      </c>
      <c r="L10" s="18">
        <v>39406</v>
      </c>
      <c r="M10" s="19">
        <v>12.98</v>
      </c>
      <c r="N10" s="18">
        <v>40660</v>
      </c>
      <c r="O10" s="20">
        <v>13.08</v>
      </c>
      <c r="P10" s="10">
        <v>24.9</v>
      </c>
      <c r="Q10" s="10"/>
      <c r="R10" s="10">
        <v>3873</v>
      </c>
      <c r="S10" s="11">
        <v>1</v>
      </c>
      <c r="T10">
        <v>1</v>
      </c>
      <c r="U10" s="42">
        <v>45924</v>
      </c>
      <c r="W10">
        <v>17</v>
      </c>
      <c r="X10">
        <v>35.35</v>
      </c>
      <c r="Y10">
        <v>11.83</v>
      </c>
      <c r="Z10" s="43"/>
      <c r="AB10">
        <v>0.12</v>
      </c>
      <c r="AC10">
        <v>0.13</v>
      </c>
      <c r="AD10">
        <v>0.15</v>
      </c>
      <c r="AE10">
        <v>0.12</v>
      </c>
      <c r="AF10">
        <v>0.11</v>
      </c>
      <c r="AG10">
        <v>0.12</v>
      </c>
      <c r="AH10">
        <v>0.4</v>
      </c>
      <c r="AI10">
        <v>2.7</v>
      </c>
      <c r="AJ10">
        <v>0.7</v>
      </c>
      <c r="AK10">
        <v>0.41</v>
      </c>
      <c r="AL10" s="46" t="s">
        <v>687</v>
      </c>
    </row>
    <row r="11" spans="1:38" x14ac:dyDescent="0.3">
      <c r="A11" s="8" t="s">
        <v>23</v>
      </c>
      <c r="B11" s="15" t="s">
        <v>375</v>
      </c>
      <c r="C11" s="10">
        <v>2314</v>
      </c>
      <c r="D11" s="11">
        <v>8693</v>
      </c>
      <c r="E11" s="10">
        <v>1</v>
      </c>
      <c r="F11" s="10">
        <v>0</v>
      </c>
      <c r="G11" s="10">
        <v>0</v>
      </c>
      <c r="H11" s="8" t="s">
        <v>46</v>
      </c>
      <c r="I11" s="16" t="s">
        <v>174</v>
      </c>
      <c r="J11" s="16" t="s">
        <v>399</v>
      </c>
      <c r="K11" s="17">
        <v>1</v>
      </c>
      <c r="L11" s="18">
        <v>39406</v>
      </c>
      <c r="M11" s="19">
        <v>11.12</v>
      </c>
      <c r="N11" s="18">
        <v>40660</v>
      </c>
      <c r="O11" s="20">
        <v>12.99</v>
      </c>
      <c r="P11" s="10">
        <v>14.8</v>
      </c>
      <c r="Q11" s="10" t="s">
        <v>240</v>
      </c>
      <c r="R11" s="10">
        <v>3198</v>
      </c>
      <c r="S11" s="11">
        <v>1</v>
      </c>
      <c r="T11">
        <v>1</v>
      </c>
      <c r="U11" s="42">
        <v>45923</v>
      </c>
      <c r="V11" s="31" t="s">
        <v>684</v>
      </c>
      <c r="W11">
        <v>6</v>
      </c>
      <c r="X11">
        <v>34.82</v>
      </c>
      <c r="Y11">
        <v>16.03</v>
      </c>
      <c r="Z11" s="43"/>
      <c r="AB11">
        <v>0.16</v>
      </c>
      <c r="AC11">
        <v>0.17</v>
      </c>
      <c r="AD11">
        <v>0.16</v>
      </c>
      <c r="AE11">
        <v>0.15</v>
      </c>
      <c r="AF11">
        <v>0.16</v>
      </c>
      <c r="AG11">
        <v>0.15</v>
      </c>
      <c r="AH11" s="45"/>
      <c r="AI11">
        <v>5.5</v>
      </c>
      <c r="AJ11">
        <v>1.18</v>
      </c>
      <c r="AK11">
        <v>0.65</v>
      </c>
      <c r="AL11" s="46" t="s">
        <v>688</v>
      </c>
    </row>
    <row r="12" spans="1:38" x14ac:dyDescent="0.3">
      <c r="A12" s="8" t="s">
        <v>23</v>
      </c>
      <c r="B12" s="15" t="s">
        <v>486</v>
      </c>
      <c r="C12" s="10">
        <v>2398</v>
      </c>
      <c r="D12" s="14">
        <v>8829</v>
      </c>
      <c r="E12" s="10">
        <v>1</v>
      </c>
      <c r="F12" s="10">
        <v>0</v>
      </c>
      <c r="G12" s="10">
        <v>0</v>
      </c>
      <c r="H12" s="23" t="s">
        <v>29</v>
      </c>
      <c r="I12" s="22" t="s">
        <v>30</v>
      </c>
      <c r="J12" s="22" t="s">
        <v>506</v>
      </c>
      <c r="K12" s="17">
        <v>1</v>
      </c>
      <c r="L12" s="18">
        <v>39406</v>
      </c>
      <c r="M12" s="19">
        <v>13.14</v>
      </c>
      <c r="N12" s="18">
        <v>40661</v>
      </c>
      <c r="O12" s="20">
        <v>13.87</v>
      </c>
      <c r="P12" s="10">
        <v>16.7</v>
      </c>
      <c r="Q12" s="10" t="s">
        <v>240</v>
      </c>
      <c r="R12" s="10"/>
      <c r="S12" s="11">
        <v>1</v>
      </c>
      <c r="T12">
        <v>1</v>
      </c>
      <c r="U12" s="42">
        <v>45923</v>
      </c>
      <c r="W12">
        <v>20</v>
      </c>
      <c r="X12">
        <v>22.7</v>
      </c>
      <c r="Y12">
        <v>12.57</v>
      </c>
      <c r="Z12" s="43"/>
      <c r="AB12">
        <v>0.21</v>
      </c>
      <c r="AC12">
        <v>0.2</v>
      </c>
      <c r="AD12">
        <v>0.21</v>
      </c>
      <c r="AE12">
        <v>0.23</v>
      </c>
      <c r="AF12">
        <v>0.23</v>
      </c>
      <c r="AG12">
        <v>0.23</v>
      </c>
      <c r="AH12">
        <v>0.4</v>
      </c>
      <c r="AI12">
        <v>4.4000000000000004</v>
      </c>
      <c r="AJ12">
        <v>1.1200000000000001</v>
      </c>
      <c r="AK12">
        <v>0.67</v>
      </c>
    </row>
    <row r="13" spans="1:38" x14ac:dyDescent="0.3">
      <c r="A13" s="8" t="s">
        <v>23</v>
      </c>
      <c r="B13" s="15" t="s">
        <v>486</v>
      </c>
      <c r="C13" s="10">
        <v>2399</v>
      </c>
      <c r="D13" s="14">
        <v>8830</v>
      </c>
      <c r="E13" s="10">
        <v>1</v>
      </c>
      <c r="F13" s="10">
        <v>0</v>
      </c>
      <c r="G13" s="10">
        <v>0</v>
      </c>
      <c r="H13" s="23" t="s">
        <v>149</v>
      </c>
      <c r="I13" s="22" t="s">
        <v>228</v>
      </c>
      <c r="J13" s="22" t="s">
        <v>507</v>
      </c>
      <c r="K13" s="17">
        <v>1</v>
      </c>
      <c r="L13" s="18">
        <v>39406</v>
      </c>
      <c r="M13" s="19">
        <v>28.03</v>
      </c>
      <c r="N13" s="18">
        <v>40661</v>
      </c>
      <c r="O13" s="20">
        <v>28.03</v>
      </c>
      <c r="P13" s="10">
        <v>19.7</v>
      </c>
      <c r="Q13" s="10"/>
      <c r="R13" s="10">
        <v>3265</v>
      </c>
      <c r="S13" s="11">
        <v>1</v>
      </c>
      <c r="T13">
        <v>1</v>
      </c>
      <c r="U13" s="42">
        <v>45923</v>
      </c>
      <c r="W13">
        <v>15</v>
      </c>
      <c r="X13">
        <v>29.38</v>
      </c>
      <c r="Y13">
        <v>14.62</v>
      </c>
      <c r="Z13" s="43"/>
      <c r="AB13">
        <v>0.17</v>
      </c>
      <c r="AC13">
        <v>0.15</v>
      </c>
      <c r="AD13">
        <v>0.14000000000000001</v>
      </c>
      <c r="AE13">
        <v>0.13</v>
      </c>
      <c r="AF13">
        <v>0.13</v>
      </c>
      <c r="AG13">
        <v>0.13</v>
      </c>
      <c r="AH13">
        <v>0.3</v>
      </c>
      <c r="AI13">
        <v>6.5</v>
      </c>
      <c r="AJ13">
        <v>1.46</v>
      </c>
      <c r="AK13">
        <v>0.94</v>
      </c>
    </row>
    <row r="14" spans="1:38" x14ac:dyDescent="0.3">
      <c r="A14" s="8" t="s">
        <v>23</v>
      </c>
      <c r="B14" s="15" t="s">
        <v>486</v>
      </c>
      <c r="C14" s="10">
        <v>2390</v>
      </c>
      <c r="D14" s="14">
        <v>8839</v>
      </c>
      <c r="E14" s="10">
        <v>1</v>
      </c>
      <c r="F14" s="10">
        <v>0</v>
      </c>
      <c r="G14" s="10">
        <v>0</v>
      </c>
      <c r="H14" s="23" t="s">
        <v>166</v>
      </c>
      <c r="I14" s="22" t="s">
        <v>167</v>
      </c>
      <c r="J14" s="16" t="s">
        <v>168</v>
      </c>
      <c r="K14" s="17">
        <v>1</v>
      </c>
      <c r="L14" s="18">
        <v>39406</v>
      </c>
      <c r="M14" s="19">
        <v>11.48</v>
      </c>
      <c r="N14" s="18">
        <v>40661</v>
      </c>
      <c r="O14" s="20">
        <v>11.52</v>
      </c>
      <c r="P14" s="10">
        <v>16.899999999999999</v>
      </c>
      <c r="Q14" s="10"/>
      <c r="R14" s="21">
        <v>3280</v>
      </c>
      <c r="S14" s="11">
        <v>1</v>
      </c>
      <c r="T14">
        <v>1</v>
      </c>
      <c r="U14" s="42">
        <v>45923</v>
      </c>
      <c r="W14">
        <v>10</v>
      </c>
      <c r="X14">
        <v>42.29</v>
      </c>
      <c r="Y14">
        <v>13.92</v>
      </c>
      <c r="Z14" s="43"/>
      <c r="AB14">
        <v>0.18</v>
      </c>
      <c r="AC14">
        <v>0.18</v>
      </c>
      <c r="AD14">
        <v>0.17</v>
      </c>
      <c r="AE14">
        <v>0.19</v>
      </c>
      <c r="AF14">
        <v>0.18</v>
      </c>
      <c r="AG14">
        <v>17</v>
      </c>
      <c r="AH14">
        <v>0.5</v>
      </c>
      <c r="AI14">
        <v>6.6</v>
      </c>
      <c r="AJ14">
        <v>1.45</v>
      </c>
      <c r="AK14">
        <v>0.73</v>
      </c>
    </row>
    <row r="15" spans="1:38" ht="28.8" x14ac:dyDescent="0.3">
      <c r="A15" s="8" t="s">
        <v>23</v>
      </c>
      <c r="B15" s="15" t="s">
        <v>486</v>
      </c>
      <c r="C15" s="10">
        <v>2376</v>
      </c>
      <c r="D15" s="14">
        <v>8855</v>
      </c>
      <c r="E15" s="10">
        <v>1</v>
      </c>
      <c r="F15" s="10">
        <v>0</v>
      </c>
      <c r="G15" s="10">
        <v>0</v>
      </c>
      <c r="H15" s="23" t="s">
        <v>283</v>
      </c>
      <c r="I15" s="22" t="s">
        <v>293</v>
      </c>
      <c r="J15" s="16"/>
      <c r="K15" s="17">
        <v>1</v>
      </c>
      <c r="L15" s="18">
        <v>39406</v>
      </c>
      <c r="M15" s="19">
        <v>10.72</v>
      </c>
      <c r="N15" s="18">
        <v>40661</v>
      </c>
      <c r="O15" s="20">
        <v>10.75</v>
      </c>
      <c r="P15" s="10">
        <v>15.8</v>
      </c>
      <c r="Q15" s="10" t="s">
        <v>240</v>
      </c>
      <c r="R15" s="21" t="s">
        <v>494</v>
      </c>
      <c r="S15" s="11">
        <v>1</v>
      </c>
      <c r="T15">
        <v>1</v>
      </c>
      <c r="U15" s="42">
        <v>45923</v>
      </c>
      <c r="W15">
        <v>15</v>
      </c>
      <c r="X15">
        <v>52.85</v>
      </c>
      <c r="Y15">
        <v>19.8</v>
      </c>
      <c r="Z15" s="44" t="s">
        <v>680</v>
      </c>
      <c r="AB15">
        <v>0.25</v>
      </c>
      <c r="AC15">
        <v>0.26</v>
      </c>
      <c r="AD15">
        <v>0.24</v>
      </c>
      <c r="AE15">
        <v>0.24</v>
      </c>
      <c r="AF15">
        <v>0.24</v>
      </c>
      <c r="AG15">
        <v>0.23</v>
      </c>
      <c r="AH15">
        <v>0.5</v>
      </c>
      <c r="AI15">
        <v>5.7</v>
      </c>
      <c r="AJ15">
        <v>1.4</v>
      </c>
      <c r="AK15">
        <v>0.73</v>
      </c>
      <c r="AL15" s="46" t="s">
        <v>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52EE-2D80-43A4-8F7F-00444970C4F9}">
  <dimension ref="B2:D8"/>
  <sheetViews>
    <sheetView workbookViewId="0">
      <selection activeCell="C11" sqref="C11"/>
    </sheetView>
  </sheetViews>
  <sheetFormatPr baseColWidth="10" defaultRowHeight="14.4" x14ac:dyDescent="0.3"/>
  <cols>
    <col min="2" max="2" width="16.44140625" customWidth="1"/>
    <col min="3" max="3" width="29.77734375" customWidth="1"/>
    <col min="4" max="4" width="15.6640625" customWidth="1"/>
  </cols>
  <sheetData>
    <row r="2" spans="2:4" x14ac:dyDescent="0.3">
      <c r="B2" s="177"/>
      <c r="C2" s="178"/>
    </row>
    <row r="3" spans="2:4" ht="28.8" x14ac:dyDescent="0.3">
      <c r="B3" s="32"/>
      <c r="C3" s="176" t="s">
        <v>692</v>
      </c>
      <c r="D3" s="175" t="s">
        <v>708</v>
      </c>
    </row>
    <row r="4" spans="2:4" x14ac:dyDescent="0.3">
      <c r="B4" s="45"/>
      <c r="C4" s="46" t="s">
        <v>685</v>
      </c>
    </row>
    <row r="5" spans="2:4" x14ac:dyDescent="0.3">
      <c r="B5" s="27"/>
      <c r="C5" s="55" t="s">
        <v>690</v>
      </c>
      <c r="D5" s="175" t="s">
        <v>708</v>
      </c>
    </row>
    <row r="6" spans="2:4" x14ac:dyDescent="0.3">
      <c r="B6" s="174"/>
      <c r="C6" s="175" t="s">
        <v>709</v>
      </c>
      <c r="D6" s="175" t="s">
        <v>708</v>
      </c>
    </row>
    <row r="7" spans="2:4" ht="43.2" x14ac:dyDescent="0.3">
      <c r="B7" s="169" t="s">
        <v>696</v>
      </c>
      <c r="C7" s="179" t="s">
        <v>713</v>
      </c>
      <c r="D7" s="175" t="s">
        <v>708</v>
      </c>
    </row>
    <row r="8" spans="2:4" ht="72" x14ac:dyDescent="0.3">
      <c r="B8" s="43" t="s">
        <v>673</v>
      </c>
      <c r="C8" s="179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SelvaViva2024</vt:lpstr>
      <vt:lpstr>Rasgos</vt:lpstr>
      <vt:lpstr>Descr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jhomeier</dc:creator>
  <cp:lastModifiedBy>Karina Gonzalez</cp:lastModifiedBy>
  <dcterms:created xsi:type="dcterms:W3CDTF">2011-05-09T06:39:47Z</dcterms:created>
  <dcterms:modified xsi:type="dcterms:W3CDTF">2025-10-31T21:33:37Z</dcterms:modified>
</cp:coreProperties>
</file>
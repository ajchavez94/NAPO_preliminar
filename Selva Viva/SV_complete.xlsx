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" sheetId="1" state="visible" r:id="rId1"/>
    <sheet xmlns:r="http://schemas.openxmlformats.org/officeDocument/2006/relationships" name="pendiente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old_treeID</t>
        </is>
      </c>
      <c r="B1" s="1" t="inlineStr">
        <is>
          <t>new_TreeID</t>
        </is>
      </c>
      <c r="C1" s="1" t="inlineStr">
        <is>
          <t>family</t>
        </is>
      </c>
      <c r="D1" s="1" t="inlineStr">
        <is>
          <t>genus</t>
        </is>
      </c>
      <c r="E1" s="1" t="inlineStr">
        <is>
          <t>species</t>
        </is>
      </c>
      <c r="F1" s="1" t="inlineStr">
        <is>
          <t>JH herbarium collections</t>
        </is>
      </c>
      <c r="G1" s="1" t="inlineStr">
        <is>
          <t>Plot</t>
        </is>
      </c>
      <c r="H1" s="1" t="inlineStr">
        <is>
          <t>Year</t>
        </is>
      </c>
      <c r="I1" s="1" t="inlineStr">
        <is>
          <t>numeroCampo</t>
        </is>
      </c>
      <c r="J1" s="1" t="inlineStr">
        <is>
          <t>description</t>
        </is>
      </c>
      <c r="K1" s="1" t="inlineStr">
        <is>
          <t>[C]%</t>
        </is>
      </c>
      <c r="L1" s="1" t="inlineStr">
        <is>
          <t>δ13C (‰ v.s.V-PDB)</t>
        </is>
      </c>
      <c r="M1" s="1" t="inlineStr">
        <is>
          <t>[N]</t>
        </is>
      </c>
      <c r="N1" s="1" t="inlineStr">
        <is>
          <t>[C_b]%</t>
        </is>
      </c>
      <c r="O1" s="1" t="inlineStr">
        <is>
          <t>δ15N (‰ v.s. V-PDB)</t>
        </is>
      </c>
      <c r="P1" s="1" t="inlineStr">
        <is>
          <t>bulk_δ13C (‰ v.s.V-PDB)</t>
        </is>
      </c>
      <c r="Q1" s="1" t="inlineStr">
        <is>
          <t>falta_celulosa</t>
        </is>
      </c>
      <c r="R1" s="1" t="inlineStr">
        <is>
          <t>falta_bulk</t>
        </is>
      </c>
      <c r="S1" s="1" t="inlineStr">
        <is>
          <t>falta_tag</t>
        </is>
      </c>
      <c r="T1" s="1" t="inlineStr">
        <is>
          <t>falta_familia</t>
        </is>
      </c>
      <c r="U1" s="1" t="inlineStr">
        <is>
          <t>falta_taxonomia</t>
        </is>
      </c>
      <c r="V1" s="1" t="inlineStr">
        <is>
          <t>pendiente</t>
        </is>
      </c>
      <c r="W1" s="1" t="inlineStr">
        <is>
          <t>Sample-ID</t>
        </is>
      </c>
      <c r="X1" s="1" t="inlineStr">
        <is>
          <t>Type</t>
        </is>
      </c>
      <c r="Y1" s="1" t="inlineStr">
        <is>
          <t>sample-ID</t>
        </is>
      </c>
      <c r="Z1" s="1" t="inlineStr">
        <is>
          <t>_merge</t>
        </is>
      </c>
    </row>
    <row r="2">
      <c r="A2" t="n">
        <v>2133</v>
      </c>
      <c r="B2" t="n">
        <v>8876</v>
      </c>
      <c r="C2" t="inlineStr">
        <is>
          <t>Sapotaceae</t>
        </is>
      </c>
      <c r="D2" t="inlineStr">
        <is>
          <t>Pouteria</t>
        </is>
      </c>
      <c r="E2" t="inlineStr">
        <is>
          <t>torta</t>
        </is>
      </c>
      <c r="F2" t="inlineStr">
        <is>
          <t>3918</t>
        </is>
      </c>
      <c r="G2" t="n">
        <v>68</v>
      </c>
      <c r="H2" t="n">
        <v>2006</v>
      </c>
      <c r="I2" t="n">
        <v>3918</v>
      </c>
      <c r="J2" t="inlineStr">
        <is>
          <t>plot 68 #2133</t>
        </is>
      </c>
      <c r="K2" t="n">
        <v>45.42</v>
      </c>
      <c r="L2" t="n">
        <v>-31.66</v>
      </c>
      <c r="M2" t="n">
        <v>0.02353847864244251</v>
      </c>
      <c r="N2" t="n">
        <v>0.4780278184023033</v>
      </c>
      <c r="O2" t="n">
        <v>-1.073430375106452</v>
      </c>
      <c r="P2" t="n">
        <v>-33.54106186624132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completo</t>
        </is>
      </c>
      <c r="W2" t="inlineStr">
        <is>
          <t>jh-p68-3918</t>
        </is>
      </c>
      <c r="X2" t="inlineStr">
        <is>
          <t>leaf herbarium</t>
        </is>
      </c>
      <c r="Y2" t="inlineStr"/>
      <c r="Z2" t="inlineStr">
        <is>
          <t>both</t>
        </is>
      </c>
    </row>
    <row r="3">
      <c r="A3" t="n">
        <v>2136</v>
      </c>
      <c r="B3" t="n">
        <v>8878</v>
      </c>
      <c r="C3" t="inlineStr">
        <is>
          <t>Rubiaceae</t>
        </is>
      </c>
      <c r="D3" t="inlineStr">
        <is>
          <t>Duroia</t>
        </is>
      </c>
      <c r="E3" t="inlineStr">
        <is>
          <t>hirsuta</t>
        </is>
      </c>
      <c r="F3" t="inlineStr">
        <is>
          <t>3920</t>
        </is>
      </c>
      <c r="G3" t="n">
        <v>68</v>
      </c>
      <c r="H3" t="n">
        <v>2006</v>
      </c>
      <c r="I3" t="n">
        <v>3920</v>
      </c>
      <c r="J3" t="inlineStr">
        <is>
          <t>plot 68 #2136</t>
        </is>
      </c>
      <c r="K3" t="n">
        <v>44.32</v>
      </c>
      <c r="L3" t="n">
        <v>-32.58</v>
      </c>
      <c r="M3" t="n">
        <v>0.01898177667266794</v>
      </c>
      <c r="N3" t="n">
        <v>0.4487514366811372</v>
      </c>
      <c r="O3" t="n">
        <v>1.036118581182278</v>
      </c>
      <c r="P3" t="n">
        <v>-34.40443337432566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>
        <is>
          <t>completo</t>
        </is>
      </c>
      <c r="W3" t="inlineStr">
        <is>
          <t>jh-p68-3920</t>
        </is>
      </c>
      <c r="X3" t="inlineStr">
        <is>
          <t>leaf herbarium</t>
        </is>
      </c>
      <c r="Y3" t="inlineStr"/>
      <c r="Z3" t="inlineStr">
        <is>
          <t>both</t>
        </is>
      </c>
    </row>
    <row r="4">
      <c r="A4" t="n">
        <v>2138</v>
      </c>
      <c r="B4" t="inlineStr"/>
      <c r="C4" t="inlineStr">
        <is>
          <t>Fabaceae</t>
        </is>
      </c>
      <c r="D4" t="inlineStr">
        <is>
          <t>Tachigali</t>
        </is>
      </c>
      <c r="E4" t="inlineStr">
        <is>
          <t>chrysophylla</t>
        </is>
      </c>
      <c r="F4" t="inlineStr">
        <is>
          <t>3922</t>
        </is>
      </c>
      <c r="G4" t="n">
        <v>68</v>
      </c>
      <c r="H4" t="n">
        <v>2006</v>
      </c>
      <c r="I4" t="n">
        <v>3922</v>
      </c>
      <c r="J4" t="inlineStr">
        <is>
          <t>plot 68 #2138</t>
        </is>
      </c>
      <c r="K4" t="n">
        <v>45.07</v>
      </c>
      <c r="L4" t="n">
        <v>-28.4</v>
      </c>
      <c r="M4" t="n">
        <v>0.0203710509161144</v>
      </c>
      <c r="N4" t="n">
        <v>0.4668345630274034</v>
      </c>
      <c r="O4" t="n">
        <v>-0.3678602180927859</v>
      </c>
      <c r="P4" t="n">
        <v>-30.65062321977897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completo</t>
        </is>
      </c>
      <c r="W4" t="inlineStr">
        <is>
          <t>jh-p68-3922</t>
        </is>
      </c>
      <c r="X4" t="inlineStr">
        <is>
          <t>leaf herbarium</t>
        </is>
      </c>
      <c r="Y4" t="inlineStr"/>
      <c r="Z4" t="inlineStr">
        <is>
          <t>both</t>
        </is>
      </c>
    </row>
    <row r="5">
      <c r="A5" t="n">
        <v>2139</v>
      </c>
      <c r="B5" t="n">
        <v>8870</v>
      </c>
      <c r="C5" t="inlineStr">
        <is>
          <t>Lauraceae</t>
        </is>
      </c>
      <c r="D5" t="inlineStr">
        <is>
          <t>Ocotea</t>
        </is>
      </c>
      <c r="E5" t="inlineStr"/>
      <c r="F5" t="inlineStr">
        <is>
          <t>3923</t>
        </is>
      </c>
      <c r="G5" t="n">
        <v>68</v>
      </c>
      <c r="H5" t="n">
        <v>2006</v>
      </c>
      <c r="I5" t="n">
        <v>3923</v>
      </c>
      <c r="J5" t="inlineStr">
        <is>
          <t>plot 68 #2139</t>
        </is>
      </c>
      <c r="K5" t="n">
        <v>46.2650865133808</v>
      </c>
      <c r="L5" t="n">
        <v>-31.969120461235</v>
      </c>
      <c r="M5" t="n">
        <v>0.02304550749707187</v>
      </c>
      <c r="N5" t="n">
        <v>0.4819394672883105</v>
      </c>
      <c r="O5" t="n">
        <v>-0.8093553569271124</v>
      </c>
      <c r="P5" t="n">
        <v>-34.61380198245414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completo</t>
        </is>
      </c>
      <c r="W5" t="inlineStr">
        <is>
          <t>jh-p68-3923</t>
        </is>
      </c>
      <c r="X5" t="inlineStr">
        <is>
          <t>leaf herbarium</t>
        </is>
      </c>
      <c r="Y5" t="inlineStr"/>
      <c r="Z5" t="inlineStr">
        <is>
          <t>both</t>
        </is>
      </c>
    </row>
    <row r="6">
      <c r="A6" t="n">
        <v>2139</v>
      </c>
      <c r="B6" t="n">
        <v>8870</v>
      </c>
      <c r="C6" t="inlineStr">
        <is>
          <t>Lauraceae</t>
        </is>
      </c>
      <c r="D6" t="inlineStr">
        <is>
          <t>Ocotea</t>
        </is>
      </c>
      <c r="E6" t="inlineStr"/>
      <c r="F6" t="inlineStr">
        <is>
          <t>3923</t>
        </is>
      </c>
      <c r="G6" t="n">
        <v>68</v>
      </c>
      <c r="H6" t="n">
        <v>2006</v>
      </c>
      <c r="I6" t="n">
        <v>3923</v>
      </c>
      <c r="J6" t="inlineStr">
        <is>
          <t>plot 68 #2139</t>
        </is>
      </c>
      <c r="K6" t="n">
        <v>45.04</v>
      </c>
      <c r="L6" t="n">
        <v>-31.56</v>
      </c>
      <c r="M6" t="n">
        <v>0.02304550749707187</v>
      </c>
      <c r="N6" t="n">
        <v>0.4819394672883105</v>
      </c>
      <c r="O6" t="n">
        <v>-0.8093553569271124</v>
      </c>
      <c r="P6" t="n">
        <v>-34.61380198245414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completo</t>
        </is>
      </c>
      <c r="W6" t="inlineStr">
        <is>
          <t>jh-p68-3923</t>
        </is>
      </c>
      <c r="X6" t="inlineStr">
        <is>
          <t>leaf herbarium</t>
        </is>
      </c>
      <c r="Y6" t="inlineStr"/>
      <c r="Z6" t="inlineStr">
        <is>
          <t>both</t>
        </is>
      </c>
    </row>
    <row r="7">
      <c r="A7" t="n">
        <v>2141</v>
      </c>
      <c r="B7" t="n">
        <v>8869</v>
      </c>
      <c r="C7" t="inlineStr">
        <is>
          <t>Sapotaceae</t>
        </is>
      </c>
      <c r="D7" t="inlineStr">
        <is>
          <t>Sarcaulus</t>
        </is>
      </c>
      <c r="E7" t="inlineStr">
        <is>
          <t>aff. oblatus</t>
        </is>
      </c>
      <c r="F7" t="inlineStr">
        <is>
          <t>3924</t>
        </is>
      </c>
      <c r="G7" t="n">
        <v>68</v>
      </c>
      <c r="H7" t="n">
        <v>2006</v>
      </c>
      <c r="I7" t="n">
        <v>3924</v>
      </c>
      <c r="J7" t="inlineStr">
        <is>
          <t>plot 68 #2141</t>
        </is>
      </c>
      <c r="K7" t="n">
        <v>46.6</v>
      </c>
      <c r="L7" t="n">
        <v>-27.68</v>
      </c>
      <c r="M7" t="n">
        <v>0.01459675419246845</v>
      </c>
      <c r="N7" t="n">
        <v>0.4896497414189758</v>
      </c>
      <c r="O7" t="n">
        <v>0.4711969265123435</v>
      </c>
      <c r="P7" t="n">
        <v>-29.91559758459611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>
        <is>
          <t>completo</t>
        </is>
      </c>
      <c r="W7" t="inlineStr">
        <is>
          <t>jh-p68-3924</t>
        </is>
      </c>
      <c r="X7" t="inlineStr">
        <is>
          <t>leaf herbarium</t>
        </is>
      </c>
      <c r="Y7" t="inlineStr"/>
      <c r="Z7" t="inlineStr">
        <is>
          <t>both</t>
        </is>
      </c>
    </row>
    <row r="8">
      <c r="A8" t="n">
        <v>2142</v>
      </c>
      <c r="B8" t="n">
        <v>8867</v>
      </c>
      <c r="C8" t="inlineStr">
        <is>
          <t>Rhizophoraceae</t>
        </is>
      </c>
      <c r="D8" t="inlineStr">
        <is>
          <t>Cassipourea</t>
        </is>
      </c>
      <c r="E8" t="inlineStr">
        <is>
          <t>guianensis</t>
        </is>
      </c>
      <c r="F8" t="inlineStr">
        <is>
          <t>3925</t>
        </is>
      </c>
      <c r="G8" t="n">
        <v>68</v>
      </c>
      <c r="H8" t="n">
        <v>2006</v>
      </c>
      <c r="I8" t="n">
        <v>3925</v>
      </c>
      <c r="J8" t="inlineStr">
        <is>
          <t>plot 68 #2142, flowers</t>
        </is>
      </c>
      <c r="K8" t="n">
        <v>44</v>
      </c>
      <c r="L8" t="n">
        <v>-32.37</v>
      </c>
      <c r="M8" t="n">
        <v>0.02481765223701611</v>
      </c>
      <c r="N8" t="n">
        <v>0.4335065034738492</v>
      </c>
      <c r="O8" t="n">
        <v>1.188847110950638</v>
      </c>
      <c r="P8" t="n">
        <v>-33.44173407770309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>
        <is>
          <t>completo</t>
        </is>
      </c>
      <c r="W8" t="inlineStr">
        <is>
          <t>jh-p68-3925</t>
        </is>
      </c>
      <c r="X8" t="inlineStr">
        <is>
          <t>leaf herbarium</t>
        </is>
      </c>
      <c r="Y8" t="inlineStr"/>
      <c r="Z8" t="inlineStr">
        <is>
          <t>both</t>
        </is>
      </c>
    </row>
    <row r="9">
      <c r="A9" t="n">
        <v>2145</v>
      </c>
      <c r="B9" t="inlineStr"/>
      <c r="C9" t="inlineStr">
        <is>
          <t>Clusiaceae</t>
        </is>
      </c>
      <c r="D9" t="inlineStr">
        <is>
          <t>Garcinia</t>
        </is>
      </c>
      <c r="E9" t="inlineStr">
        <is>
          <t>madruno</t>
        </is>
      </c>
      <c r="F9" t="inlineStr">
        <is>
          <t>3927</t>
        </is>
      </c>
      <c r="G9" t="n">
        <v>68</v>
      </c>
      <c r="H9" t="n">
        <v>2006</v>
      </c>
      <c r="I9" t="n">
        <v>3927</v>
      </c>
      <c r="J9" t="inlineStr">
        <is>
          <t>plot 68 #2145</t>
        </is>
      </c>
      <c r="K9" t="n">
        <v>45.26</v>
      </c>
      <c r="L9" t="n">
        <v>-33.6</v>
      </c>
      <c r="M9" t="n">
        <v>0.01400518545436518</v>
      </c>
      <c r="N9" t="n">
        <v>0.4563891897920271</v>
      </c>
      <c r="O9" t="n">
        <v>-0.2921462455207159</v>
      </c>
      <c r="P9" t="n">
        <v>-34.30306174155172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completo</t>
        </is>
      </c>
      <c r="W9" t="inlineStr">
        <is>
          <t>jh-p68-3927</t>
        </is>
      </c>
      <c r="X9" t="inlineStr">
        <is>
          <t>leaf herbarium</t>
        </is>
      </c>
      <c r="Y9" t="inlineStr"/>
      <c r="Z9" t="inlineStr">
        <is>
          <t>both</t>
        </is>
      </c>
    </row>
    <row r="10">
      <c r="A10" t="n">
        <v>2146</v>
      </c>
      <c r="B10" t="n">
        <v>8865</v>
      </c>
      <c r="C10" t="inlineStr">
        <is>
          <t>Violaceae</t>
        </is>
      </c>
      <c r="D10" t="inlineStr">
        <is>
          <t>Leonia</t>
        </is>
      </c>
      <c r="E10" t="inlineStr">
        <is>
          <t>glycycarpa</t>
        </is>
      </c>
      <c r="F10" t="inlineStr">
        <is>
          <t>3928</t>
        </is>
      </c>
      <c r="G10" t="n">
        <v>68</v>
      </c>
      <c r="H10" t="n">
        <v>2006</v>
      </c>
      <c r="I10" t="n">
        <v>3928</v>
      </c>
      <c r="J10" t="inlineStr">
        <is>
          <t>plot 68 #2146</t>
        </is>
      </c>
      <c r="K10" t="n">
        <v>45.59</v>
      </c>
      <c r="L10" t="n">
        <v>-32.85</v>
      </c>
      <c r="M10" t="n">
        <v>0.02672901520446727</v>
      </c>
      <c r="N10" t="n">
        <v>0.422404341351236</v>
      </c>
      <c r="O10" t="n">
        <v>1.706412472885098</v>
      </c>
      <c r="P10" t="n">
        <v>-33.4020029622878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completo</t>
        </is>
      </c>
      <c r="W10" t="inlineStr">
        <is>
          <t>jh-p68-3928</t>
        </is>
      </c>
      <c r="X10" t="inlineStr">
        <is>
          <t>leaf herbarium</t>
        </is>
      </c>
      <c r="Y10" t="inlineStr"/>
      <c r="Z10" t="inlineStr">
        <is>
          <t>both</t>
        </is>
      </c>
    </row>
    <row r="11">
      <c r="A11" t="n">
        <v>2148</v>
      </c>
      <c r="B11" t="n">
        <v>8888</v>
      </c>
      <c r="C11" t="inlineStr">
        <is>
          <t>Simaroubaceae</t>
        </is>
      </c>
      <c r="D11" t="inlineStr">
        <is>
          <t>Simaba</t>
        </is>
      </c>
      <c r="E11" t="inlineStr">
        <is>
          <t>polyphylla</t>
        </is>
      </c>
      <c r="F11" t="inlineStr">
        <is>
          <t>3929</t>
        </is>
      </c>
      <c r="G11" t="n">
        <v>68</v>
      </c>
      <c r="H11" t="n">
        <v>2006</v>
      </c>
      <c r="I11" t="n">
        <v>3929</v>
      </c>
      <c r="J11" t="inlineStr">
        <is>
          <t>plot 68 #2148</t>
        </is>
      </c>
      <c r="K11" t="n">
        <v>46.39</v>
      </c>
      <c r="L11" t="n">
        <v>-30.97</v>
      </c>
      <c r="M11" t="inlineStr"/>
      <c r="N11" t="inlineStr"/>
      <c r="O11" t="inlineStr"/>
      <c r="P11" t="inlineStr"/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>
        <is>
          <t>pesar bulk</t>
        </is>
      </c>
      <c r="W11" t="inlineStr">
        <is>
          <t>jh-p68-3929</t>
        </is>
      </c>
      <c r="X11" t="inlineStr">
        <is>
          <t>leaf herbarium</t>
        </is>
      </c>
      <c r="Y11" t="inlineStr"/>
      <c r="Z11" t="inlineStr">
        <is>
          <t>both</t>
        </is>
      </c>
    </row>
    <row r="12">
      <c r="A12" t="n">
        <v>2150</v>
      </c>
      <c r="B12" t="inlineStr"/>
      <c r="C12" t="inlineStr">
        <is>
          <t>Opiliaceae</t>
        </is>
      </c>
      <c r="D12" t="inlineStr">
        <is>
          <t>Agonandra</t>
        </is>
      </c>
      <c r="E12" t="inlineStr">
        <is>
          <t>peruviana</t>
        </is>
      </c>
      <c r="F12" t="inlineStr">
        <is>
          <t>3919</t>
        </is>
      </c>
      <c r="G12" t="n">
        <v>68</v>
      </c>
      <c r="H12" t="n">
        <v>2006</v>
      </c>
      <c r="I12" t="n">
        <v>3919</v>
      </c>
      <c r="J12" t="inlineStr">
        <is>
          <t>plot 68 #2150</t>
        </is>
      </c>
      <c r="K12" t="n">
        <v>45.96</v>
      </c>
      <c r="L12" t="n">
        <v>-34.74</v>
      </c>
      <c r="M12" t="n">
        <v>0.02443872190416492</v>
      </c>
      <c r="N12" t="n">
        <v>0.3675606166824517</v>
      </c>
      <c r="O12" t="n">
        <v>-1.128340968818515</v>
      </c>
      <c r="P12" t="n">
        <v>-36.89834111883332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completo</t>
        </is>
      </c>
      <c r="W12" t="inlineStr">
        <is>
          <t>jh-p68-3919</t>
        </is>
      </c>
      <c r="X12" t="inlineStr">
        <is>
          <t>leaf herbarium</t>
        </is>
      </c>
      <c r="Y12" t="inlineStr"/>
      <c r="Z12" t="inlineStr">
        <is>
          <t>both</t>
        </is>
      </c>
    </row>
    <row r="13">
      <c r="A13" t="inlineStr">
        <is>
          <t>2154</t>
        </is>
      </c>
      <c r="B13" t="inlineStr"/>
      <c r="C13" t="inlineStr">
        <is>
          <t>Apocynaceae</t>
        </is>
      </c>
      <c r="D13" t="inlineStr">
        <is>
          <t>Aspidosperma</t>
        </is>
      </c>
      <c r="E13" t="inlineStr">
        <is>
          <t>aff. excelsum</t>
        </is>
      </c>
      <c r="F13" t="inlineStr"/>
      <c r="G13" t="n">
        <v>68</v>
      </c>
      <c r="H13" t="n">
        <v>2006</v>
      </c>
      <c r="I13" t="n">
        <v>3921</v>
      </c>
      <c r="J13" t="inlineStr">
        <is>
          <t>plot 68 #2154</t>
        </is>
      </c>
      <c r="K13" t="inlineStr"/>
      <c r="L13" t="inlineStr"/>
      <c r="M13" t="inlineStr"/>
      <c r="N13" t="inlineStr"/>
      <c r="O13" t="inlineStr"/>
      <c r="P13" t="inlineStr"/>
      <c r="Q13" t="b">
        <v>1</v>
      </c>
      <c r="R13" t="b">
        <v>1</v>
      </c>
      <c r="S13" t="b">
        <v>0</v>
      </c>
      <c r="T13" t="b">
        <v>0</v>
      </c>
      <c r="U13" t="b">
        <v>0</v>
      </c>
      <c r="V13" t="inlineStr">
        <is>
          <t>pesar celulosa; pesar bulk</t>
        </is>
      </c>
      <c r="W13" t="inlineStr">
        <is>
          <t>jh-p68-3921</t>
        </is>
      </c>
      <c r="X13" t="inlineStr">
        <is>
          <t>leaf herbarium</t>
        </is>
      </c>
      <c r="Y13" t="inlineStr"/>
      <c r="Z13" t="inlineStr"/>
    </row>
    <row r="14">
      <c r="A14" t="inlineStr"/>
      <c r="B14" t="inlineStr"/>
      <c r="C14" t="inlineStr">
        <is>
          <t>Lauraceae</t>
        </is>
      </c>
      <c r="D14" t="inlineStr"/>
      <c r="E14" t="inlineStr"/>
      <c r="F14" t="inlineStr"/>
      <c r="G14" t="n">
        <v>68</v>
      </c>
      <c r="H14" t="n">
        <v>2006</v>
      </c>
      <c r="I14" t="n">
        <v>3939</v>
      </c>
      <c r="J14" t="inlineStr">
        <is>
          <t>plot 68 species 15</t>
        </is>
      </c>
      <c r="K14" t="n">
        <v>43.988840957983</v>
      </c>
      <c r="L14" t="n">
        <v>-32.2331863143944</v>
      </c>
      <c r="M14" t="inlineStr"/>
      <c r="N14" t="inlineStr"/>
      <c r="O14" t="inlineStr"/>
      <c r="P14" t="inlineStr"/>
      <c r="Q14" t="b">
        <v>0</v>
      </c>
      <c r="R14" t="b">
        <v>1</v>
      </c>
      <c r="S14" t="b">
        <v>1</v>
      </c>
      <c r="T14" t="b">
        <v>0</v>
      </c>
      <c r="U14" t="b">
        <v>1</v>
      </c>
      <c r="V14" t="inlineStr">
        <is>
          <t>pesar bulk; revisar tag</t>
        </is>
      </c>
      <c r="W14" t="inlineStr">
        <is>
          <t>jh-p68-3939</t>
        </is>
      </c>
      <c r="X14" t="inlineStr">
        <is>
          <t>leaf herbarium</t>
        </is>
      </c>
      <c r="Y14" t="inlineStr"/>
      <c r="Z14" t="inlineStr">
        <is>
          <t>left_only</t>
        </is>
      </c>
    </row>
    <row r="15">
      <c r="A15" t="n">
        <v>2163</v>
      </c>
      <c r="B15" t="n">
        <v>3610</v>
      </c>
      <c r="C15" t="inlineStr">
        <is>
          <t>Indet</t>
        </is>
      </c>
      <c r="D15" t="inlineStr">
        <is>
          <t>Guarea</t>
        </is>
      </c>
      <c r="E15" t="inlineStr">
        <is>
          <t>kunthiana</t>
        </is>
      </c>
      <c r="F15" t="inlineStr">
        <is>
          <t>3838</t>
        </is>
      </c>
      <c r="G15" t="n">
        <v>69</v>
      </c>
      <c r="H15" t="n">
        <v>2006</v>
      </c>
      <c r="I15" t="n">
        <v>3838</v>
      </c>
      <c r="J15" t="inlineStr">
        <is>
          <t>plot 69 #2163, fertile</t>
        </is>
      </c>
      <c r="K15" t="n">
        <v>44.77</v>
      </c>
      <c r="L15" t="n">
        <v>-28.72</v>
      </c>
      <c r="M15" t="n">
        <v>0.02287752938742462</v>
      </c>
      <c r="N15" t="n">
        <v>0.4588446120922961</v>
      </c>
      <c r="O15" t="n">
        <v>0.9872024439751506</v>
      </c>
      <c r="P15" t="n">
        <v>-30.31290873874901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completo</t>
        </is>
      </c>
      <c r="W15" t="inlineStr">
        <is>
          <t>jh-p69-3838</t>
        </is>
      </c>
      <c r="X15" t="inlineStr">
        <is>
          <t>leaf herbarium</t>
        </is>
      </c>
      <c r="Y15" t="inlineStr"/>
      <c r="Z15" t="inlineStr">
        <is>
          <t>both</t>
        </is>
      </c>
    </row>
    <row r="16">
      <c r="A16" t="n">
        <v>2169</v>
      </c>
      <c r="B16" t="inlineStr"/>
      <c r="C16" t="inlineStr">
        <is>
          <t>Euphorbiaceae</t>
        </is>
      </c>
      <c r="D16" t="inlineStr">
        <is>
          <t>Pseudosenefeldera</t>
        </is>
      </c>
      <c r="E16" t="inlineStr">
        <is>
          <t>inclinata</t>
        </is>
      </c>
      <c r="F16" t="inlineStr">
        <is>
          <t>3839</t>
        </is>
      </c>
      <c r="G16" t="n">
        <v>69</v>
      </c>
      <c r="H16" t="n">
        <v>2006</v>
      </c>
      <c r="I16" t="n">
        <v>3839</v>
      </c>
      <c r="J16" t="inlineStr">
        <is>
          <t>plot 69 #2169</t>
        </is>
      </c>
      <c r="K16" t="n">
        <v>44.3057777292545</v>
      </c>
      <c r="L16" t="n">
        <v>-31.9835064923571</v>
      </c>
      <c r="M16" t="n">
        <v>0.0239169388539878</v>
      </c>
      <c r="N16" t="n">
        <v>0.4430353073045867</v>
      </c>
      <c r="O16" t="n">
        <v>1.32261831541908</v>
      </c>
      <c r="P16" t="n">
        <v>-30.80954768144013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completo</t>
        </is>
      </c>
      <c r="W16" t="inlineStr">
        <is>
          <t>jh-p69-3839</t>
        </is>
      </c>
      <c r="X16" t="inlineStr">
        <is>
          <t>leaf herbarium</t>
        </is>
      </c>
      <c r="Y16" t="inlineStr"/>
      <c r="Z16" t="inlineStr">
        <is>
          <t>both</t>
        </is>
      </c>
    </row>
    <row r="17">
      <c r="A17" t="n">
        <v>2170</v>
      </c>
      <c r="B17" t="n">
        <v>3608</v>
      </c>
      <c r="C17" t="inlineStr">
        <is>
          <t>Meliaceae</t>
        </is>
      </c>
      <c r="D17" t="inlineStr">
        <is>
          <t>Guarea</t>
        </is>
      </c>
      <c r="E17" t="inlineStr">
        <is>
          <t>kunthiana</t>
        </is>
      </c>
      <c r="F17" t="inlineStr">
        <is>
          <t>3840</t>
        </is>
      </c>
      <c r="G17" t="n">
        <v>69</v>
      </c>
      <c r="H17" t="n">
        <v>2006</v>
      </c>
      <c r="I17" t="n">
        <v>3840</v>
      </c>
      <c r="J17" t="inlineStr">
        <is>
          <t>plot 69 #2170</t>
        </is>
      </c>
      <c r="K17" t="n">
        <v>41.64</v>
      </c>
      <c r="L17" t="n">
        <v>-32.33</v>
      </c>
      <c r="M17" t="n">
        <v>0.02133708074407596</v>
      </c>
      <c r="N17" t="n">
        <v>0.4322239767133334</v>
      </c>
      <c r="O17" t="n">
        <v>1.266364209841129</v>
      </c>
      <c r="P17" t="n">
        <v>-32.83181265877846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completo</t>
        </is>
      </c>
      <c r="W17" t="inlineStr">
        <is>
          <t>jh-p69-3840</t>
        </is>
      </c>
      <c r="X17" t="inlineStr">
        <is>
          <t>leaf herbarium</t>
        </is>
      </c>
      <c r="Y17" t="inlineStr"/>
      <c r="Z17" t="inlineStr">
        <is>
          <t>both</t>
        </is>
      </c>
    </row>
    <row r="18">
      <c r="A18" t="n">
        <v>2171</v>
      </c>
      <c r="B18" t="n">
        <v>3605</v>
      </c>
      <c r="C18" t="inlineStr">
        <is>
          <t>Moraceae</t>
        </is>
      </c>
      <c r="D18" t="inlineStr">
        <is>
          <t>Ficus</t>
        </is>
      </c>
      <c r="E18" t="inlineStr">
        <is>
          <t>pulchella</t>
        </is>
      </c>
      <c r="F18" t="inlineStr">
        <is>
          <t>3841</t>
        </is>
      </c>
      <c r="G18" t="n">
        <v>69</v>
      </c>
      <c r="H18" t="n">
        <v>2006</v>
      </c>
      <c r="I18" t="n">
        <v>3841</v>
      </c>
      <c r="J18" t="inlineStr">
        <is>
          <t>plot 69 #2171</t>
        </is>
      </c>
      <c r="K18" t="n">
        <v>46.0443129123116</v>
      </c>
      <c r="L18" t="n">
        <v>-29.4115550285103</v>
      </c>
      <c r="M18" t="n">
        <v>0.01877487566721406</v>
      </c>
      <c r="N18" t="n">
        <v>0.4311975236997211</v>
      </c>
      <c r="O18" t="n">
        <v>-0.5051295568220376</v>
      </c>
      <c r="P18" t="n">
        <v>-31.13732938361627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completo</t>
        </is>
      </c>
      <c r="W18" t="inlineStr">
        <is>
          <t>jh-p69-3841</t>
        </is>
      </c>
      <c r="X18" t="inlineStr">
        <is>
          <t>leaf herbarium</t>
        </is>
      </c>
      <c r="Y18" t="inlineStr"/>
      <c r="Z18" t="inlineStr">
        <is>
          <t>both</t>
        </is>
      </c>
    </row>
    <row r="19">
      <c r="A19" t="n">
        <v>2172</v>
      </c>
      <c r="B19" t="n">
        <v>3606</v>
      </c>
      <c r="C19" t="inlineStr">
        <is>
          <t>Moraceae</t>
        </is>
      </c>
      <c r="D19" t="inlineStr">
        <is>
          <t>Batocarpus</t>
        </is>
      </c>
      <c r="E19" t="inlineStr">
        <is>
          <t>orinocensis</t>
        </is>
      </c>
      <c r="F19" t="inlineStr">
        <is>
          <t>3842</t>
        </is>
      </c>
      <c r="G19" t="n">
        <v>69</v>
      </c>
      <c r="H19" t="n">
        <v>2006</v>
      </c>
      <c r="I19" t="n">
        <v>3842</v>
      </c>
      <c r="J19" t="inlineStr">
        <is>
          <t>plot 69 #2172</t>
        </is>
      </c>
      <c r="K19" t="n">
        <v>42.6796233249461</v>
      </c>
      <c r="L19" t="n">
        <v>-30.3608848275309</v>
      </c>
      <c r="M19" t="n">
        <v>0.02369709763338601</v>
      </c>
      <c r="N19" t="n">
        <v>0.4309073668554567</v>
      </c>
      <c r="O19" t="n">
        <v>0.8618940807651884</v>
      </c>
      <c r="P19" t="n">
        <v>-31.90958531720888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completo</t>
        </is>
      </c>
      <c r="W19" t="inlineStr">
        <is>
          <t>jh-p69-3842</t>
        </is>
      </c>
      <c r="X19" t="inlineStr">
        <is>
          <t>leaf herbarium</t>
        </is>
      </c>
      <c r="Y19" t="inlineStr"/>
      <c r="Z19" t="inlineStr">
        <is>
          <t>both</t>
        </is>
      </c>
    </row>
    <row r="20">
      <c r="A20" t="n">
        <v>2172</v>
      </c>
      <c r="B20" t="n">
        <v>3606</v>
      </c>
      <c r="C20" t="inlineStr">
        <is>
          <t>Moraceae</t>
        </is>
      </c>
      <c r="D20" t="inlineStr">
        <is>
          <t>Batocarpus</t>
        </is>
      </c>
      <c r="E20" t="inlineStr">
        <is>
          <t>orinocensis</t>
        </is>
      </c>
      <c r="F20" t="inlineStr">
        <is>
          <t>3842</t>
        </is>
      </c>
      <c r="G20" t="n">
        <v>69</v>
      </c>
      <c r="H20" t="n">
        <v>2006</v>
      </c>
      <c r="I20" t="n">
        <v>3842</v>
      </c>
      <c r="J20" t="inlineStr">
        <is>
          <t>plot 69 #2172</t>
        </is>
      </c>
      <c r="K20" t="n">
        <v>42.6796233249461</v>
      </c>
      <c r="L20" t="n">
        <v>-30.3608848275309</v>
      </c>
      <c r="M20" t="n">
        <v>0.02170032941005837</v>
      </c>
      <c r="N20" t="n">
        <v>0.419212582554746</v>
      </c>
      <c r="O20" t="n">
        <v>-0.2166027193231595</v>
      </c>
      <c r="P20" t="n">
        <v>-30.52149709467928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completo</t>
        </is>
      </c>
      <c r="W20" t="inlineStr">
        <is>
          <t>jh-p69-3842</t>
        </is>
      </c>
      <c r="X20" t="inlineStr">
        <is>
          <t>leaf herbarium</t>
        </is>
      </c>
      <c r="Y20" t="inlineStr"/>
      <c r="Z20" t="inlineStr">
        <is>
          <t>both</t>
        </is>
      </c>
    </row>
    <row r="21">
      <c r="A21" t="n">
        <v>2172</v>
      </c>
      <c r="B21" t="n">
        <v>3606</v>
      </c>
      <c r="C21" t="inlineStr">
        <is>
          <t>Moraceae</t>
        </is>
      </c>
      <c r="D21" t="inlineStr">
        <is>
          <t>Batocarpus</t>
        </is>
      </c>
      <c r="E21" t="inlineStr">
        <is>
          <t>orinocensis</t>
        </is>
      </c>
      <c r="F21" t="inlineStr">
        <is>
          <t>3842</t>
        </is>
      </c>
      <c r="G21" t="n">
        <v>69</v>
      </c>
      <c r="H21" t="n">
        <v>2006</v>
      </c>
      <c r="I21" t="n">
        <v>3842</v>
      </c>
      <c r="J21" t="inlineStr">
        <is>
          <t>plot 69 #2172</t>
        </is>
      </c>
      <c r="K21" t="n">
        <v>42.58</v>
      </c>
      <c r="L21" t="n">
        <v>-30.5</v>
      </c>
      <c r="M21" t="n">
        <v>0.02369709763338601</v>
      </c>
      <c r="N21" t="n">
        <v>0.4309073668554567</v>
      </c>
      <c r="O21" t="n">
        <v>0.8618940807651884</v>
      </c>
      <c r="P21" t="n">
        <v>-31.90958531720888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completo</t>
        </is>
      </c>
      <c r="W21" t="inlineStr">
        <is>
          <t>jh-p69-3842</t>
        </is>
      </c>
      <c r="X21" t="inlineStr">
        <is>
          <t>leaf herbarium</t>
        </is>
      </c>
      <c r="Y21" t="inlineStr"/>
      <c r="Z21" t="inlineStr">
        <is>
          <t>both</t>
        </is>
      </c>
    </row>
    <row r="22">
      <c r="A22" t="n">
        <v>2172</v>
      </c>
      <c r="B22" t="n">
        <v>3606</v>
      </c>
      <c r="C22" t="inlineStr">
        <is>
          <t>Moraceae</t>
        </is>
      </c>
      <c r="D22" t="inlineStr">
        <is>
          <t>Batocarpus</t>
        </is>
      </c>
      <c r="E22" t="inlineStr">
        <is>
          <t>orinocensis</t>
        </is>
      </c>
      <c r="F22" t="inlineStr">
        <is>
          <t>3842</t>
        </is>
      </c>
      <c r="G22" t="n">
        <v>69</v>
      </c>
      <c r="H22" t="n">
        <v>2006</v>
      </c>
      <c r="I22" t="n">
        <v>3842</v>
      </c>
      <c r="J22" t="inlineStr">
        <is>
          <t>plot 69 #2172</t>
        </is>
      </c>
      <c r="K22" t="n">
        <v>42.58</v>
      </c>
      <c r="L22" t="n">
        <v>-30.5</v>
      </c>
      <c r="M22" t="n">
        <v>0.02170032941005837</v>
      </c>
      <c r="N22" t="n">
        <v>0.419212582554746</v>
      </c>
      <c r="O22" t="n">
        <v>-0.2166027193231595</v>
      </c>
      <c r="P22" t="n">
        <v>-30.52149709467928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completo</t>
        </is>
      </c>
      <c r="W22" t="inlineStr">
        <is>
          <t>jh-p69-3842</t>
        </is>
      </c>
      <c r="X22" t="inlineStr">
        <is>
          <t>leaf herbarium</t>
        </is>
      </c>
      <c r="Y22" t="inlineStr"/>
      <c r="Z22" t="inlineStr">
        <is>
          <t>both</t>
        </is>
      </c>
    </row>
    <row r="23">
      <c r="A23" t="n">
        <v>2177</v>
      </c>
      <c r="B23" t="n">
        <v>3617</v>
      </c>
      <c r="C23" t="inlineStr">
        <is>
          <t>Fabaceae</t>
        </is>
      </c>
      <c r="D23" t="inlineStr">
        <is>
          <t>Browneopsis</t>
        </is>
      </c>
      <c r="E23" t="inlineStr">
        <is>
          <t>ucayalina</t>
        </is>
      </c>
      <c r="F23" t="inlineStr">
        <is>
          <t>3844</t>
        </is>
      </c>
      <c r="G23" t="n">
        <v>69</v>
      </c>
      <c r="H23" t="n">
        <v>2006</v>
      </c>
      <c r="I23" t="n">
        <v>3844</v>
      </c>
      <c r="J23" t="inlineStr">
        <is>
          <t>plot 69 #2177</t>
        </is>
      </c>
      <c r="K23" t="n">
        <v>43.7</v>
      </c>
      <c r="L23" t="n">
        <v>-32.18</v>
      </c>
      <c r="M23" t="n">
        <v>0.01742788368831306</v>
      </c>
      <c r="N23" t="n">
        <v>0.4303682696300999</v>
      </c>
      <c r="O23" t="n">
        <v>2.222996535121978</v>
      </c>
      <c r="P23" t="n">
        <v>-33.71065846995487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completo</t>
        </is>
      </c>
      <c r="W23" t="inlineStr">
        <is>
          <t>jh-p69-3844</t>
        </is>
      </c>
      <c r="X23" t="inlineStr">
        <is>
          <t>leaf herbarium</t>
        </is>
      </c>
      <c r="Y23" t="inlineStr"/>
      <c r="Z23" t="inlineStr">
        <is>
          <t>both</t>
        </is>
      </c>
    </row>
    <row r="24">
      <c r="A24" t="n">
        <v>2185</v>
      </c>
      <c r="B24" t="n">
        <v>8891</v>
      </c>
      <c r="C24" t="inlineStr">
        <is>
          <t>Sapindaceae</t>
        </is>
      </c>
      <c r="D24" t="inlineStr">
        <is>
          <t>Allophylus</t>
        </is>
      </c>
      <c r="E24" t="inlineStr">
        <is>
          <t>punctatus</t>
        </is>
      </c>
      <c r="F24" t="inlineStr">
        <is>
          <t>3848</t>
        </is>
      </c>
      <c r="G24" t="n">
        <v>69</v>
      </c>
      <c r="H24" t="n">
        <v>2006</v>
      </c>
      <c r="I24" t="n">
        <v>3848</v>
      </c>
      <c r="J24" t="inlineStr">
        <is>
          <t>plot 69 #2185</t>
        </is>
      </c>
      <c r="K24" t="n">
        <v>43.8720328685896</v>
      </c>
      <c r="L24" t="n">
        <v>-33.3170020435494</v>
      </c>
      <c r="M24" t="n">
        <v>0.03313572260831162</v>
      </c>
      <c r="N24" t="n">
        <v>0.4503301806616942</v>
      </c>
      <c r="O24" t="n">
        <v>-0.2778550219806823</v>
      </c>
      <c r="P24" t="n">
        <v>-35.5617739115966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completo</t>
        </is>
      </c>
      <c r="W24" t="inlineStr">
        <is>
          <t>jh-p69-3848</t>
        </is>
      </c>
      <c r="X24" t="inlineStr">
        <is>
          <t>leaf herbarium</t>
        </is>
      </c>
      <c r="Y24" t="inlineStr"/>
      <c r="Z24" t="inlineStr">
        <is>
          <t>both</t>
        </is>
      </c>
    </row>
    <row r="25">
      <c r="A25" t="n">
        <v>2190</v>
      </c>
      <c r="B25" t="n">
        <v>8899</v>
      </c>
      <c r="C25" t="inlineStr">
        <is>
          <t>Lacistemataceae</t>
        </is>
      </c>
      <c r="D25" t="inlineStr">
        <is>
          <t>Lozania</t>
        </is>
      </c>
      <c r="E25" t="inlineStr">
        <is>
          <t>klugii</t>
        </is>
      </c>
      <c r="F25" t="inlineStr">
        <is>
          <t>3850</t>
        </is>
      </c>
      <c r="G25" t="n">
        <v>69</v>
      </c>
      <c r="H25" t="n">
        <v>2006</v>
      </c>
      <c r="I25" t="n">
        <v>3850</v>
      </c>
      <c r="J25" t="inlineStr">
        <is>
          <t>plot 69 #2190</t>
        </is>
      </c>
      <c r="K25" t="n">
        <v>44.35</v>
      </c>
      <c r="L25" t="n">
        <v>-31.5</v>
      </c>
      <c r="M25" t="n">
        <v>0.02978359029943408</v>
      </c>
      <c r="N25" t="n">
        <v>0.4427291218550281</v>
      </c>
      <c r="O25" t="n">
        <v>2.027629263217993</v>
      </c>
      <c r="P25" t="n">
        <v>-33.4020029622878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completo</t>
        </is>
      </c>
      <c r="W25" t="inlineStr">
        <is>
          <t>jh-p69-3850</t>
        </is>
      </c>
      <c r="X25" t="inlineStr">
        <is>
          <t>leaf herbarium</t>
        </is>
      </c>
      <c r="Y25" t="inlineStr"/>
      <c r="Z25" t="inlineStr">
        <is>
          <t>both</t>
        </is>
      </c>
    </row>
    <row r="26">
      <c r="A26" t="n">
        <v>2197</v>
      </c>
      <c r="B26" t="n">
        <v>8894</v>
      </c>
      <c r="C26" t="inlineStr">
        <is>
          <t>Moraceae</t>
        </is>
      </c>
      <c r="D26" t="inlineStr">
        <is>
          <t>Brosimum</t>
        </is>
      </c>
      <c r="E26" t="inlineStr">
        <is>
          <t>lactescens</t>
        </is>
      </c>
      <c r="F26" t="inlineStr">
        <is>
          <t>3853</t>
        </is>
      </c>
      <c r="G26" t="n">
        <v>69</v>
      </c>
      <c r="H26" t="n">
        <v>2006</v>
      </c>
      <c r="I26" t="n">
        <v>3853</v>
      </c>
      <c r="J26" t="inlineStr">
        <is>
          <t>plot 69 #2197</t>
        </is>
      </c>
      <c r="K26" t="n">
        <v>43.96</v>
      </c>
      <c r="L26" t="n">
        <v>-26.92</v>
      </c>
      <c r="M26" t="n">
        <v>0.01520384731380641</v>
      </c>
      <c r="N26" t="n">
        <v>0.3941396464739188</v>
      </c>
      <c r="O26" t="n">
        <v>4.077066106802202</v>
      </c>
      <c r="P26" t="n">
        <v>-29.28255129308052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completo</t>
        </is>
      </c>
      <c r="W26" t="inlineStr">
        <is>
          <t>jh-p69-3853</t>
        </is>
      </c>
      <c r="X26" t="inlineStr">
        <is>
          <t>leaf herbarium</t>
        </is>
      </c>
      <c r="Y26" t="inlineStr"/>
      <c r="Z26" t="inlineStr">
        <is>
          <t>both</t>
        </is>
      </c>
    </row>
    <row r="27">
      <c r="A27" t="n">
        <v>2198</v>
      </c>
      <c r="B27" t="inlineStr"/>
      <c r="C27" t="inlineStr">
        <is>
          <t>Lauraceae</t>
        </is>
      </c>
      <c r="D27" t="inlineStr">
        <is>
          <t>Ocotea</t>
        </is>
      </c>
      <c r="E27" t="inlineStr">
        <is>
          <t>aff. oblonga</t>
        </is>
      </c>
      <c r="F27" t="inlineStr">
        <is>
          <t>3854</t>
        </is>
      </c>
      <c r="G27" t="n">
        <v>69</v>
      </c>
      <c r="H27" t="n">
        <v>2006</v>
      </c>
      <c r="I27" t="n">
        <v>3854</v>
      </c>
      <c r="J27" t="inlineStr">
        <is>
          <t>plot 69 #2198</t>
        </is>
      </c>
      <c r="K27" t="n">
        <v>46.16</v>
      </c>
      <c r="L27" t="n">
        <v>-31.73</v>
      </c>
      <c r="M27" t="inlineStr"/>
      <c r="N27" t="inlineStr"/>
      <c r="O27" t="inlineStr"/>
      <c r="P27" t="inlineStr"/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inlineStr">
        <is>
          <t>pesar bulk</t>
        </is>
      </c>
      <c r="W27" t="inlineStr">
        <is>
          <t>jh-p69-3854</t>
        </is>
      </c>
      <c r="X27" t="inlineStr">
        <is>
          <t>leaf herbarium</t>
        </is>
      </c>
      <c r="Y27" t="inlineStr"/>
      <c r="Z27" t="inlineStr">
        <is>
          <t>both</t>
        </is>
      </c>
    </row>
    <row r="28">
      <c r="A28" t="n">
        <v>2199</v>
      </c>
      <c r="B28" t="n">
        <v>8893</v>
      </c>
      <c r="C28" t="inlineStr">
        <is>
          <t>Moraceae</t>
        </is>
      </c>
      <c r="D28" t="inlineStr">
        <is>
          <t>Pseudolmedia</t>
        </is>
      </c>
      <c r="E28" t="inlineStr">
        <is>
          <t>macrophylla</t>
        </is>
      </c>
      <c r="F28" t="inlineStr">
        <is>
          <t>3855</t>
        </is>
      </c>
      <c r="G28" t="n">
        <v>69</v>
      </c>
      <c r="H28" t="n">
        <v>2006</v>
      </c>
      <c r="I28" t="n">
        <v>3855</v>
      </c>
      <c r="J28" t="inlineStr">
        <is>
          <t>plot 69 #2199</t>
        </is>
      </c>
      <c r="K28" t="n">
        <v>38.87</v>
      </c>
      <c r="L28" t="n">
        <v>-31.99</v>
      </c>
      <c r="M28" t="n">
        <v>0.01404400641663709</v>
      </c>
      <c r="N28" t="n">
        <v>0.3260915198222447</v>
      </c>
      <c r="O28" t="n">
        <v>1.519034811921506</v>
      </c>
      <c r="P28" t="inlineStr"/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inlineStr">
        <is>
          <t>pesar bulk</t>
        </is>
      </c>
      <c r="W28" t="inlineStr">
        <is>
          <t>jh-p69-3855</t>
        </is>
      </c>
      <c r="X28" t="inlineStr">
        <is>
          <t>leaf herbarium</t>
        </is>
      </c>
      <c r="Y28" t="inlineStr"/>
      <c r="Z28" t="inlineStr">
        <is>
          <t>both</t>
        </is>
      </c>
    </row>
    <row r="29">
      <c r="A29" t="inlineStr">
        <is>
          <t>2184</t>
        </is>
      </c>
      <c r="B29" t="inlineStr"/>
      <c r="C29" t="inlineStr">
        <is>
          <t>Rubiaceae</t>
        </is>
      </c>
      <c r="D29" t="inlineStr">
        <is>
          <t>Pentagonia</t>
        </is>
      </c>
      <c r="E29" t="inlineStr">
        <is>
          <t>cf amazonica</t>
        </is>
      </c>
      <c r="F29" t="inlineStr"/>
      <c r="G29" t="n">
        <v>69</v>
      </c>
      <c r="H29" t="n">
        <v>2006</v>
      </c>
      <c r="I29" t="n">
        <v>3847</v>
      </c>
      <c r="J29" t="inlineStr">
        <is>
          <t>plot 69 #2184</t>
        </is>
      </c>
      <c r="K29" t="inlineStr"/>
      <c r="L29" t="inlineStr"/>
      <c r="M29" t="n">
        <v>0.01616047977319605</v>
      </c>
      <c r="N29" t="n">
        <v>0.4757676245029103</v>
      </c>
      <c r="O29" t="n">
        <v>0.8898964665387099</v>
      </c>
      <c r="P29" t="n">
        <v>-34.4827340454474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pesar celulosa</t>
        </is>
      </c>
      <c r="W29" t="inlineStr">
        <is>
          <t>jh-p69-3847</t>
        </is>
      </c>
      <c r="X29" t="inlineStr">
        <is>
          <t>leaf herbarium</t>
        </is>
      </c>
      <c r="Y29" t="inlineStr"/>
      <c r="Z29" t="inlineStr"/>
    </row>
    <row r="30">
      <c r="A30" t="n">
        <v>2205</v>
      </c>
      <c r="B30" t="n">
        <v>3654</v>
      </c>
      <c r="C30" t="inlineStr">
        <is>
          <t>Rubiaceae</t>
        </is>
      </c>
      <c r="D30" t="inlineStr">
        <is>
          <t>Faramea</t>
        </is>
      </c>
      <c r="E30" t="inlineStr">
        <is>
          <t>parvibractea</t>
        </is>
      </c>
      <c r="F30" t="n">
        <v>3876</v>
      </c>
      <c r="G30" t="n">
        <v>70</v>
      </c>
      <c r="H30" t="n">
        <v>2006</v>
      </c>
      <c r="I30" t="n">
        <v>3876</v>
      </c>
      <c r="J30" t="inlineStr">
        <is>
          <t>plot 70 #2205</t>
        </is>
      </c>
      <c r="K30" t="n">
        <v>43.7429885211976</v>
      </c>
      <c r="L30" t="n">
        <v>-34.2576307506012</v>
      </c>
      <c r="M30" t="n">
        <v>0.01834220530052165</v>
      </c>
      <c r="N30" t="n">
        <v>0.3712214324732471</v>
      </c>
      <c r="O30" t="n">
        <v>1.816943178696913</v>
      </c>
      <c r="P30" t="n">
        <v>-34.82239033838442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completo</t>
        </is>
      </c>
      <c r="W30" t="inlineStr">
        <is>
          <t>jh-p70-3876</t>
        </is>
      </c>
      <c r="X30" t="inlineStr">
        <is>
          <t>leaf herbarium</t>
        </is>
      </c>
      <c r="Y30" t="inlineStr"/>
      <c r="Z30" t="inlineStr">
        <is>
          <t>both</t>
        </is>
      </c>
    </row>
    <row r="31">
      <c r="A31" t="n">
        <v>2207</v>
      </c>
      <c r="B31" t="n">
        <v>3647</v>
      </c>
      <c r="C31" t="inlineStr">
        <is>
          <t>Moraceae</t>
        </is>
      </c>
      <c r="D31" t="inlineStr">
        <is>
          <t>Maclura</t>
        </is>
      </c>
      <c r="E31" t="inlineStr">
        <is>
          <t>tinctoria</t>
        </is>
      </c>
      <c r="F31" t="n">
        <v>3877</v>
      </c>
      <c r="G31" t="n">
        <v>70</v>
      </c>
      <c r="H31" t="n">
        <v>2006</v>
      </c>
      <c r="I31" t="n">
        <v>3877</v>
      </c>
      <c r="J31" t="inlineStr">
        <is>
          <t>plot 70 #2207</t>
        </is>
      </c>
      <c r="K31" t="n">
        <v>49.2922799802687</v>
      </c>
      <c r="L31" t="n">
        <v>-26.6330136161936</v>
      </c>
      <c r="M31" t="inlineStr"/>
      <c r="N31" t="inlineStr"/>
      <c r="O31" t="inlineStr"/>
      <c r="P31" t="inlineStr"/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inlineStr">
        <is>
          <t>pesar bulk</t>
        </is>
      </c>
      <c r="W31" t="inlineStr">
        <is>
          <t>jh-p70-3877</t>
        </is>
      </c>
      <c r="X31" t="inlineStr">
        <is>
          <t>leaf herbarium</t>
        </is>
      </c>
      <c r="Y31" t="inlineStr"/>
      <c r="Z31" t="inlineStr">
        <is>
          <t>both</t>
        </is>
      </c>
    </row>
    <row r="32">
      <c r="A32" t="n">
        <v>2208</v>
      </c>
      <c r="B32" t="n">
        <v>3648</v>
      </c>
      <c r="C32" t="inlineStr">
        <is>
          <t>Burseraceae</t>
        </is>
      </c>
      <c r="D32" t="inlineStr">
        <is>
          <t>Protium</t>
        </is>
      </c>
      <c r="E32" t="inlineStr"/>
      <c r="F32" t="inlineStr"/>
      <c r="G32" t="n">
        <v>70</v>
      </c>
      <c r="H32" t="n">
        <v>2006</v>
      </c>
      <c r="I32" t="n">
        <v>4769</v>
      </c>
      <c r="J32" t="inlineStr">
        <is>
          <t>plot 70#2208</t>
        </is>
      </c>
      <c r="K32" t="n">
        <v>44.83</v>
      </c>
      <c r="L32" t="n">
        <v>-31.59</v>
      </c>
      <c r="M32" t="n">
        <v>0.01880263623702211</v>
      </c>
      <c r="N32" t="n">
        <v>0.4230490351382666</v>
      </c>
      <c r="O32" t="n">
        <v>2.101029002323679</v>
      </c>
      <c r="P32" t="n">
        <v>-33.75667420189145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inlineStr">
        <is>
          <t>completo</t>
        </is>
      </c>
      <c r="W32" t="inlineStr">
        <is>
          <t>jh-p70-4769</t>
        </is>
      </c>
      <c r="X32" t="inlineStr">
        <is>
          <t>leaf herbarium</t>
        </is>
      </c>
      <c r="Y32" t="inlineStr"/>
      <c r="Z32" t="inlineStr">
        <is>
          <t>both</t>
        </is>
      </c>
    </row>
    <row r="33">
      <c r="A33" t="n">
        <v>2209</v>
      </c>
      <c r="B33" t="inlineStr"/>
      <c r="C33" t="inlineStr">
        <is>
          <t>Salicaceae</t>
        </is>
      </c>
      <c r="D33" t="inlineStr">
        <is>
          <t>Laetia</t>
        </is>
      </c>
      <c r="E33" t="inlineStr">
        <is>
          <t>procera</t>
        </is>
      </c>
      <c r="F33" t="n">
        <v>3875</v>
      </c>
      <c r="G33" t="n">
        <v>70</v>
      </c>
      <c r="H33" t="n">
        <v>2006</v>
      </c>
      <c r="I33" t="n">
        <v>3875</v>
      </c>
      <c r="J33" t="inlineStr">
        <is>
          <t>plot 70 #2209</t>
        </is>
      </c>
      <c r="K33" t="n">
        <v>44.57</v>
      </c>
      <c r="L33" t="n">
        <v>-31.02</v>
      </c>
      <c r="M33" t="n">
        <v>0.02527163272313278</v>
      </c>
      <c r="N33" t="n">
        <v>0.4722653222454972</v>
      </c>
      <c r="O33" t="n">
        <v>1.673644177090823</v>
      </c>
      <c r="P33" t="n">
        <v>-31.17086312198546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completo</t>
        </is>
      </c>
      <c r="W33" t="inlineStr">
        <is>
          <t>jh-p70-3875</t>
        </is>
      </c>
      <c r="X33" t="inlineStr">
        <is>
          <t>leaf herbarium</t>
        </is>
      </c>
      <c r="Y33" t="inlineStr"/>
      <c r="Z33" t="inlineStr">
        <is>
          <t>both</t>
        </is>
      </c>
    </row>
    <row r="34">
      <c r="A34" t="n">
        <v>2213</v>
      </c>
      <c r="B34" t="inlineStr"/>
      <c r="C34" t="inlineStr">
        <is>
          <t>Myristicaceae</t>
        </is>
      </c>
      <c r="D34" t="inlineStr">
        <is>
          <t>Iryanthera</t>
        </is>
      </c>
      <c r="E34" t="inlineStr">
        <is>
          <t>juruensis</t>
        </is>
      </c>
      <c r="F34" t="n">
        <v>3880</v>
      </c>
      <c r="G34" t="n">
        <v>70</v>
      </c>
      <c r="H34" t="n">
        <v>2006</v>
      </c>
      <c r="I34" t="n">
        <v>3880</v>
      </c>
      <c r="J34" t="inlineStr">
        <is>
          <t>plot 70 #2213</t>
        </is>
      </c>
      <c r="K34" t="n">
        <v>44.74</v>
      </c>
      <c r="L34" t="n">
        <v>-31.46</v>
      </c>
      <c r="M34" t="n">
        <v>0.02141846203149114</v>
      </c>
      <c r="N34" t="n">
        <v>0.492959469142943</v>
      </c>
      <c r="O34" t="n">
        <v>1.956079766149592</v>
      </c>
      <c r="P34" t="n">
        <v>-33.2136385422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completo</t>
        </is>
      </c>
      <c r="W34" t="inlineStr">
        <is>
          <t>jh-p70-3880</t>
        </is>
      </c>
      <c r="X34" t="inlineStr">
        <is>
          <t>leaf herbarium</t>
        </is>
      </c>
      <c r="Y34" t="inlineStr"/>
      <c r="Z34" t="inlineStr">
        <is>
          <t>both</t>
        </is>
      </c>
    </row>
    <row r="35">
      <c r="A35" t="n">
        <v>2217</v>
      </c>
      <c r="B35" t="n">
        <v>3624</v>
      </c>
      <c r="C35" t="inlineStr">
        <is>
          <t>Myristicaceae</t>
        </is>
      </c>
      <c r="D35" t="inlineStr">
        <is>
          <t>Virola</t>
        </is>
      </c>
      <c r="E35" t="inlineStr">
        <is>
          <t>flexuosa</t>
        </is>
      </c>
      <c r="F35" t="n">
        <v>3881</v>
      </c>
      <c r="G35" t="n">
        <v>70</v>
      </c>
      <c r="H35" t="n">
        <v>2006</v>
      </c>
      <c r="I35" t="n">
        <v>3881</v>
      </c>
      <c r="J35" t="inlineStr">
        <is>
          <t>plot 70 #2217</t>
        </is>
      </c>
      <c r="K35" t="n">
        <v>44.69</v>
      </c>
      <c r="L35" t="n">
        <v>-31.61</v>
      </c>
      <c r="M35" t="n">
        <v>0.02679843794620947</v>
      </c>
      <c r="N35" t="n">
        <v>0.4672514067966088</v>
      </c>
      <c r="O35" t="n">
        <v>2.849671988803098</v>
      </c>
      <c r="P35" t="n">
        <v>-33.04442292355019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completo</t>
        </is>
      </c>
      <c r="W35" t="inlineStr">
        <is>
          <t>jh-p70-3881</t>
        </is>
      </c>
      <c r="X35" t="inlineStr">
        <is>
          <t>leaf herbarium</t>
        </is>
      </c>
      <c r="Y35" t="inlineStr"/>
      <c r="Z35" t="inlineStr">
        <is>
          <t>both</t>
        </is>
      </c>
    </row>
    <row r="36">
      <c r="A36" t="n">
        <v>2218</v>
      </c>
      <c r="B36" t="n">
        <v>3623</v>
      </c>
      <c r="C36" t="inlineStr">
        <is>
          <t>Melastomataceae</t>
        </is>
      </c>
      <c r="D36" t="inlineStr">
        <is>
          <t>Miconia</t>
        </is>
      </c>
      <c r="E36" t="inlineStr">
        <is>
          <t>elata</t>
        </is>
      </c>
      <c r="F36" t="n">
        <v>3882</v>
      </c>
      <c r="G36" t="n">
        <v>70</v>
      </c>
      <c r="H36" t="n">
        <v>2006</v>
      </c>
      <c r="I36" t="n">
        <v>3882</v>
      </c>
      <c r="J36" t="inlineStr">
        <is>
          <t>plot 70 #2218</t>
        </is>
      </c>
      <c r="K36" t="n">
        <v>51.15</v>
      </c>
      <c r="L36" t="n">
        <v>-33.49</v>
      </c>
      <c r="M36" t="n">
        <v>0.02939740663368394</v>
      </c>
      <c r="N36" t="n">
        <v>0.4726969739897428</v>
      </c>
      <c r="O36" t="n">
        <v>3.461147844208152</v>
      </c>
      <c r="P36" t="n">
        <v>-33.1244912960405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completo</t>
        </is>
      </c>
      <c r="W36" t="inlineStr">
        <is>
          <t>jh-p70-3882</t>
        </is>
      </c>
      <c r="X36" t="inlineStr">
        <is>
          <t>leaf herbarium</t>
        </is>
      </c>
      <c r="Y36" t="inlineStr"/>
      <c r="Z36" t="inlineStr">
        <is>
          <t>both</t>
        </is>
      </c>
    </row>
    <row r="37">
      <c r="A37" t="n">
        <v>2220</v>
      </c>
      <c r="B37" t="n">
        <v>3622</v>
      </c>
      <c r="C37" t="inlineStr">
        <is>
          <t>Clusiaceae</t>
        </is>
      </c>
      <c r="D37" t="inlineStr">
        <is>
          <t>Chrysochlamys</t>
        </is>
      </c>
      <c r="E37" t="inlineStr">
        <is>
          <t>membranacea</t>
        </is>
      </c>
      <c r="F37" t="n">
        <v>3892</v>
      </c>
      <c r="G37" t="n">
        <v>70</v>
      </c>
      <c r="H37" t="n">
        <v>2006</v>
      </c>
      <c r="I37" t="n">
        <v>3892</v>
      </c>
      <c r="J37" t="inlineStr">
        <is>
          <t>plot 70 #2220</t>
        </is>
      </c>
      <c r="K37" t="n">
        <v>47.31</v>
      </c>
      <c r="L37" t="n">
        <v>-34.21</v>
      </c>
      <c r="M37" t="n">
        <v>0.01628637871077779</v>
      </c>
      <c r="N37" t="n">
        <v>0.4197454898462447</v>
      </c>
      <c r="O37" t="n">
        <v>0.6654359625309186</v>
      </c>
      <c r="P37" t="n">
        <v>-33.3126079526034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completo</t>
        </is>
      </c>
      <c r="W37" t="inlineStr">
        <is>
          <t>jh-p70-3892</t>
        </is>
      </c>
      <c r="X37" t="inlineStr">
        <is>
          <t>leaf herbarium</t>
        </is>
      </c>
      <c r="Y37" t="inlineStr"/>
      <c r="Z37" t="inlineStr">
        <is>
          <t>both</t>
        </is>
      </c>
    </row>
    <row r="38">
      <c r="A38" t="n">
        <v>2223</v>
      </c>
      <c r="B38" t="n">
        <v>3628</v>
      </c>
      <c r="C38" t="inlineStr">
        <is>
          <t>Myristicaceae</t>
        </is>
      </c>
      <c r="D38" t="inlineStr">
        <is>
          <t>Otoba</t>
        </is>
      </c>
      <c r="E38" t="inlineStr">
        <is>
          <t>parvifolia</t>
        </is>
      </c>
      <c r="F38" t="n">
        <v>3893</v>
      </c>
      <c r="G38" t="n">
        <v>70</v>
      </c>
      <c r="H38" t="n">
        <v>2006</v>
      </c>
      <c r="I38" t="n">
        <v>3893</v>
      </c>
      <c r="J38" t="inlineStr">
        <is>
          <t>plot 70 #2223</t>
        </is>
      </c>
      <c r="K38" t="n">
        <v>51.14</v>
      </c>
      <c r="L38" t="n">
        <v>-32.63</v>
      </c>
      <c r="M38" t="n">
        <v>0.01772913197840469</v>
      </c>
      <c r="N38" t="n">
        <v>0.4568521318506243</v>
      </c>
      <c r="O38" t="n">
        <v>-0.1263092882971643</v>
      </c>
      <c r="P38" t="n">
        <v>-33.38972997293416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completo</t>
        </is>
      </c>
      <c r="W38" t="inlineStr">
        <is>
          <t>jh-p70-3893</t>
        </is>
      </c>
      <c r="X38" t="inlineStr">
        <is>
          <t>leaf herbarium</t>
        </is>
      </c>
      <c r="Y38" t="inlineStr"/>
      <c r="Z38" t="inlineStr">
        <is>
          <t>both</t>
        </is>
      </c>
    </row>
    <row r="39">
      <c r="A39" t="n">
        <v>2223</v>
      </c>
      <c r="B39" t="n">
        <v>3628</v>
      </c>
      <c r="C39" t="inlineStr">
        <is>
          <t>Myristicaceae</t>
        </is>
      </c>
      <c r="D39" t="inlineStr">
        <is>
          <t>Otoba</t>
        </is>
      </c>
      <c r="E39" t="inlineStr">
        <is>
          <t>parvifolia</t>
        </is>
      </c>
      <c r="F39" t="n">
        <v>3893</v>
      </c>
      <c r="G39" t="n">
        <v>70</v>
      </c>
      <c r="H39" t="n">
        <v>2006</v>
      </c>
      <c r="I39" t="n">
        <v>3893</v>
      </c>
      <c r="J39" t="inlineStr">
        <is>
          <t>plot 70 #2223</t>
        </is>
      </c>
      <c r="K39" t="n">
        <v>0.4674</v>
      </c>
      <c r="L39" t="n">
        <v>-32.37</v>
      </c>
      <c r="M39" t="n">
        <v>0.01772913197840469</v>
      </c>
      <c r="N39" t="n">
        <v>0.4568521318506243</v>
      </c>
      <c r="O39" t="n">
        <v>-0.1263092882971643</v>
      </c>
      <c r="P39" t="n">
        <v>-33.38972997293416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completo</t>
        </is>
      </c>
      <c r="W39" t="inlineStr">
        <is>
          <t>jh-p70-3893</t>
        </is>
      </c>
      <c r="X39" t="inlineStr">
        <is>
          <t>leaf herbarium</t>
        </is>
      </c>
      <c r="Y39" t="inlineStr"/>
      <c r="Z39" t="inlineStr">
        <is>
          <t>both</t>
        </is>
      </c>
    </row>
    <row r="40">
      <c r="A40" t="n">
        <v>2230</v>
      </c>
      <c r="B40" t="n">
        <v>3655</v>
      </c>
      <c r="C40" t="inlineStr">
        <is>
          <t>Bignoniaceae</t>
        </is>
      </c>
      <c r="D40" t="inlineStr">
        <is>
          <t>Jacaranda</t>
        </is>
      </c>
      <c r="E40" t="inlineStr">
        <is>
          <t>copaia</t>
        </is>
      </c>
      <c r="F40" t="n">
        <v>3887</v>
      </c>
      <c r="G40" t="n">
        <v>70</v>
      </c>
      <c r="H40" t="n">
        <v>2006</v>
      </c>
      <c r="I40" t="n">
        <v>3887</v>
      </c>
      <c r="J40" t="inlineStr">
        <is>
          <t>plot 70 #2230</t>
        </is>
      </c>
      <c r="K40" t="n">
        <v>0.4254</v>
      </c>
      <c r="L40" t="n">
        <v>-30.91</v>
      </c>
      <c r="M40" t="n">
        <v>0.02538228549603444</v>
      </c>
      <c r="N40" t="n">
        <v>0.4980440481903112</v>
      </c>
      <c r="O40" t="n">
        <v>0.7208971214871641</v>
      </c>
      <c r="P40" t="n">
        <v>-32.66697732710493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completo</t>
        </is>
      </c>
      <c r="W40" t="inlineStr">
        <is>
          <t>jh-p70-3887</t>
        </is>
      </c>
      <c r="X40" t="inlineStr">
        <is>
          <t>leaf herbarium</t>
        </is>
      </c>
      <c r="Y40" t="inlineStr"/>
      <c r="Z40" t="inlineStr">
        <is>
          <t>both</t>
        </is>
      </c>
    </row>
    <row r="41">
      <c r="A41" t="n">
        <v>2233</v>
      </c>
      <c r="B41" t="n">
        <v>3642</v>
      </c>
      <c r="C41" t="inlineStr">
        <is>
          <t>Rubiaceae</t>
        </is>
      </c>
      <c r="D41" t="inlineStr">
        <is>
          <t>Chimarrhis</t>
        </is>
      </c>
      <c r="E41" t="inlineStr">
        <is>
          <t>cf glabriflora</t>
        </is>
      </c>
      <c r="F41" t="n">
        <v>3897</v>
      </c>
      <c r="G41" t="n">
        <v>70</v>
      </c>
      <c r="H41" t="n">
        <v>2006</v>
      </c>
      <c r="I41" t="n">
        <v>3897</v>
      </c>
      <c r="J41" t="inlineStr">
        <is>
          <t>plot 70 #2233</t>
        </is>
      </c>
      <c r="K41" t="n">
        <v>45.5</v>
      </c>
      <c r="L41" t="n">
        <v>-28.17</v>
      </c>
      <c r="M41" t="n">
        <v>0.0155139826660884</v>
      </c>
      <c r="N41" t="n">
        <v>0.4763314725738063</v>
      </c>
      <c r="O41" t="n">
        <v>0.9572930711093047</v>
      </c>
      <c r="P41" t="n">
        <v>-30.31749916803686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completo</t>
        </is>
      </c>
      <c r="W41" t="inlineStr">
        <is>
          <t>jh-p70-3897</t>
        </is>
      </c>
      <c r="X41" t="inlineStr">
        <is>
          <t>leaf herbarium</t>
        </is>
      </c>
      <c r="Y41" t="inlineStr"/>
      <c r="Z41" t="inlineStr">
        <is>
          <t>both</t>
        </is>
      </c>
    </row>
    <row r="42">
      <c r="A42" t="n">
        <v>2233</v>
      </c>
      <c r="B42" t="n">
        <v>3642</v>
      </c>
      <c r="C42" t="inlineStr">
        <is>
          <t>Rubiaceae</t>
        </is>
      </c>
      <c r="D42" t="inlineStr">
        <is>
          <t>Chimarrhis</t>
        </is>
      </c>
      <c r="E42" t="inlineStr">
        <is>
          <t>cf glabriflora</t>
        </is>
      </c>
      <c r="F42" t="n">
        <v>3897</v>
      </c>
      <c r="G42" t="n">
        <v>70</v>
      </c>
      <c r="H42" t="n">
        <v>2006</v>
      </c>
      <c r="I42" t="n">
        <v>3897</v>
      </c>
      <c r="J42" t="inlineStr">
        <is>
          <t>plot 70 #2233</t>
        </is>
      </c>
      <c r="K42" t="n">
        <v>45.5</v>
      </c>
      <c r="L42" t="n">
        <v>-28.17</v>
      </c>
      <c r="M42" t="n">
        <v>0.01947998976906855</v>
      </c>
      <c r="N42" t="n">
        <v>0.4624345632693015</v>
      </c>
      <c r="O42" t="n">
        <v>1.288656334773859</v>
      </c>
      <c r="P42" t="n">
        <v>-30.12418594052638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completo</t>
        </is>
      </c>
      <c r="W42" t="inlineStr">
        <is>
          <t>jh-p70-3897</t>
        </is>
      </c>
      <c r="X42" t="inlineStr">
        <is>
          <t>leaf herbarium</t>
        </is>
      </c>
      <c r="Y42" t="inlineStr"/>
      <c r="Z42" t="inlineStr">
        <is>
          <t>both</t>
        </is>
      </c>
    </row>
    <row r="43">
      <c r="A43" t="n">
        <v>2233</v>
      </c>
      <c r="B43" t="n">
        <v>3642</v>
      </c>
      <c r="C43" t="inlineStr">
        <is>
          <t>Rubiaceae</t>
        </is>
      </c>
      <c r="D43" t="inlineStr">
        <is>
          <t>Chimarrhis</t>
        </is>
      </c>
      <c r="E43" t="inlineStr">
        <is>
          <t>cf glabriflora</t>
        </is>
      </c>
      <c r="F43" t="n">
        <v>3897</v>
      </c>
      <c r="G43" t="n">
        <v>70</v>
      </c>
      <c r="H43" t="n">
        <v>2006</v>
      </c>
      <c r="I43" t="n">
        <v>3897</v>
      </c>
      <c r="J43" t="inlineStr">
        <is>
          <t>plot 70 #2233</t>
        </is>
      </c>
      <c r="K43" t="n">
        <v>42.93</v>
      </c>
      <c r="L43" t="n">
        <v>-27.39</v>
      </c>
      <c r="M43" t="n">
        <v>0.0155139826660884</v>
      </c>
      <c r="N43" t="n">
        <v>0.4763314725738063</v>
      </c>
      <c r="O43" t="n">
        <v>0.9572930711093047</v>
      </c>
      <c r="P43" t="n">
        <v>-30.31749916803686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completo</t>
        </is>
      </c>
      <c r="W43" t="inlineStr">
        <is>
          <t>jh-p70-3897</t>
        </is>
      </c>
      <c r="X43" t="inlineStr">
        <is>
          <t>leaf herbarium</t>
        </is>
      </c>
      <c r="Y43" t="inlineStr"/>
      <c r="Z43" t="inlineStr">
        <is>
          <t>both</t>
        </is>
      </c>
    </row>
    <row r="44">
      <c r="A44" t="n">
        <v>2233</v>
      </c>
      <c r="B44" t="n">
        <v>3642</v>
      </c>
      <c r="C44" t="inlineStr">
        <is>
          <t>Rubiaceae</t>
        </is>
      </c>
      <c r="D44" t="inlineStr">
        <is>
          <t>Chimarrhis</t>
        </is>
      </c>
      <c r="E44" t="inlineStr">
        <is>
          <t>cf glabriflora</t>
        </is>
      </c>
      <c r="F44" t="n">
        <v>3897</v>
      </c>
      <c r="G44" t="n">
        <v>70</v>
      </c>
      <c r="H44" t="n">
        <v>2006</v>
      </c>
      <c r="I44" t="n">
        <v>3897</v>
      </c>
      <c r="J44" t="inlineStr">
        <is>
          <t>plot 70 #2233</t>
        </is>
      </c>
      <c r="K44" t="n">
        <v>42.93</v>
      </c>
      <c r="L44" t="n">
        <v>-27.39</v>
      </c>
      <c r="M44" t="n">
        <v>0.01947998976906855</v>
      </c>
      <c r="N44" t="n">
        <v>0.4624345632693015</v>
      </c>
      <c r="O44" t="n">
        <v>1.288656334773859</v>
      </c>
      <c r="P44" t="n">
        <v>-30.12418594052638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completo</t>
        </is>
      </c>
      <c r="W44" t="inlineStr">
        <is>
          <t>jh-p70-3897</t>
        </is>
      </c>
      <c r="X44" t="inlineStr">
        <is>
          <t>leaf herbarium</t>
        </is>
      </c>
      <c r="Y44" t="inlineStr"/>
      <c r="Z44" t="inlineStr">
        <is>
          <t>both</t>
        </is>
      </c>
    </row>
    <row r="45">
      <c r="A45" t="n">
        <v>2236</v>
      </c>
      <c r="B45" t="n">
        <v>3637</v>
      </c>
      <c r="C45" t="inlineStr">
        <is>
          <t>Sapotaceae</t>
        </is>
      </c>
      <c r="D45" t="inlineStr">
        <is>
          <t>Pouteria</t>
        </is>
      </c>
      <c r="E45" t="inlineStr">
        <is>
          <t>torta</t>
        </is>
      </c>
      <c r="F45" t="n">
        <v>3888</v>
      </c>
      <c r="G45" t="n">
        <v>70</v>
      </c>
      <c r="H45" t="n">
        <v>2006</v>
      </c>
      <c r="I45" t="n">
        <v>3888</v>
      </c>
      <c r="J45" t="inlineStr">
        <is>
          <t>plot 70 #2236</t>
        </is>
      </c>
      <c r="K45" t="n">
        <v>46.37</v>
      </c>
      <c r="L45" t="n">
        <v>-32.66</v>
      </c>
      <c r="M45" t="n">
        <v>0.01921374971504899</v>
      </c>
      <c r="N45" t="n">
        <v>0.4619774742885834</v>
      </c>
      <c r="O45" t="n">
        <v>0.1027057167229766</v>
      </c>
      <c r="P45" t="n">
        <v>-33.68239184282631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completo</t>
        </is>
      </c>
      <c r="W45" t="inlineStr">
        <is>
          <t>jh-p70-3888</t>
        </is>
      </c>
      <c r="X45" t="inlineStr">
        <is>
          <t>leaf herbarium</t>
        </is>
      </c>
      <c r="Y45" t="inlineStr"/>
      <c r="Z45" t="inlineStr">
        <is>
          <t>both</t>
        </is>
      </c>
    </row>
    <row r="46">
      <c r="A46" t="n">
        <v>2238</v>
      </c>
      <c r="B46" t="n">
        <v>3635</v>
      </c>
      <c r="C46" t="inlineStr">
        <is>
          <t>Annonaceae</t>
        </is>
      </c>
      <c r="D46" t="inlineStr">
        <is>
          <t>Annona</t>
        </is>
      </c>
      <c r="E46" t="inlineStr">
        <is>
          <t>helosioides</t>
        </is>
      </c>
      <c r="F46" t="n">
        <v>3889</v>
      </c>
      <c r="G46" t="n">
        <v>70</v>
      </c>
      <c r="H46" t="n">
        <v>2006</v>
      </c>
      <c r="I46" t="n">
        <v>3889</v>
      </c>
      <c r="J46" t="inlineStr">
        <is>
          <t>plot 70 #2238</t>
        </is>
      </c>
      <c r="K46" t="n">
        <v>46.35</v>
      </c>
      <c r="L46" t="n">
        <v>-33.02</v>
      </c>
      <c r="M46" t="n">
        <v>0.0200464568215754</v>
      </c>
      <c r="N46" t="n">
        <v>0.417545926085823</v>
      </c>
      <c r="O46" t="n">
        <v>0.3318073565686124</v>
      </c>
      <c r="P46" t="n">
        <v>-32.90536401959668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completo</t>
        </is>
      </c>
      <c r="W46" t="inlineStr">
        <is>
          <t>jh-p70-3889</t>
        </is>
      </c>
      <c r="X46" t="inlineStr">
        <is>
          <t>leaf herbarium</t>
        </is>
      </c>
      <c r="Y46" t="inlineStr"/>
      <c r="Z46" t="inlineStr">
        <is>
          <t>both</t>
        </is>
      </c>
    </row>
    <row r="47">
      <c r="A47" t="n">
        <v>2239</v>
      </c>
      <c r="B47" t="n">
        <v>3643</v>
      </c>
      <c r="C47" t="inlineStr">
        <is>
          <t>Melastomataceae</t>
        </is>
      </c>
      <c r="D47" t="inlineStr">
        <is>
          <t>Miconia</t>
        </is>
      </c>
      <c r="E47" t="inlineStr"/>
      <c r="F47" t="n">
        <v>3899</v>
      </c>
      <c r="G47" t="n">
        <v>70</v>
      </c>
      <c r="H47" t="n">
        <v>2006</v>
      </c>
      <c r="I47" t="n">
        <v>3899</v>
      </c>
      <c r="J47" t="inlineStr">
        <is>
          <t>plot 70 #2239</t>
        </is>
      </c>
      <c r="K47" t="n">
        <v>46.23</v>
      </c>
      <c r="L47" t="n">
        <v>-30.4</v>
      </c>
      <c r="M47" t="n">
        <v>0.02018395761951013</v>
      </c>
      <c r="N47" t="n">
        <v>0.4007686542276696</v>
      </c>
      <c r="O47" t="n">
        <v>3.203731469095503</v>
      </c>
      <c r="P47" t="n">
        <v>-31.02806881622422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completo</t>
        </is>
      </c>
      <c r="W47" t="inlineStr">
        <is>
          <t>jh-p70-3899</t>
        </is>
      </c>
      <c r="X47" t="inlineStr">
        <is>
          <t>leaf herbarium</t>
        </is>
      </c>
      <c r="Y47" t="inlineStr"/>
      <c r="Z47" t="inlineStr">
        <is>
          <t>both</t>
        </is>
      </c>
    </row>
    <row r="48">
      <c r="A48" t="n">
        <v>2239</v>
      </c>
      <c r="B48" t="n">
        <v>3643</v>
      </c>
      <c r="C48" t="inlineStr">
        <is>
          <t>Melastomataceae</t>
        </is>
      </c>
      <c r="D48" t="inlineStr">
        <is>
          <t>Miconia</t>
        </is>
      </c>
      <c r="E48" t="inlineStr"/>
      <c r="F48" t="n">
        <v>3899</v>
      </c>
      <c r="G48" t="n">
        <v>70</v>
      </c>
      <c r="H48" t="n">
        <v>2006</v>
      </c>
      <c r="I48" t="n">
        <v>3899</v>
      </c>
      <c r="J48" t="inlineStr">
        <is>
          <t>plot 70 #2239</t>
        </is>
      </c>
      <c r="K48" t="n">
        <v>46.23</v>
      </c>
      <c r="L48" t="n">
        <v>-30.4</v>
      </c>
      <c r="M48" t="n">
        <v>0.0205067538998339</v>
      </c>
      <c r="N48" t="n">
        <v>0.4188730242680864</v>
      </c>
      <c r="O48" t="n">
        <v>2.687596937109312</v>
      </c>
      <c r="P48" t="n">
        <v>-31.57382589166846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inlineStr">
        <is>
          <t>completo</t>
        </is>
      </c>
      <c r="W48" t="inlineStr">
        <is>
          <t>jh-p70-3899</t>
        </is>
      </c>
      <c r="X48" t="inlineStr">
        <is>
          <t>leaf herbarium</t>
        </is>
      </c>
      <c r="Y48" t="inlineStr"/>
      <c r="Z48" t="inlineStr">
        <is>
          <t>both</t>
        </is>
      </c>
    </row>
    <row r="49">
      <c r="A49" t="n">
        <v>2239</v>
      </c>
      <c r="B49" t="n">
        <v>3643</v>
      </c>
      <c r="C49" t="inlineStr">
        <is>
          <t>Melastomataceae</t>
        </is>
      </c>
      <c r="D49" t="inlineStr">
        <is>
          <t>Miconia</t>
        </is>
      </c>
      <c r="E49" t="inlineStr"/>
      <c r="F49" t="n">
        <v>3899</v>
      </c>
      <c r="G49" t="n">
        <v>70</v>
      </c>
      <c r="H49" t="n">
        <v>2006</v>
      </c>
      <c r="I49" t="n">
        <v>3899</v>
      </c>
      <c r="J49" t="inlineStr">
        <is>
          <t>plot 70 #2239</t>
        </is>
      </c>
      <c r="K49" t="n">
        <v>0.4666</v>
      </c>
      <c r="L49" t="n">
        <v>-30.56</v>
      </c>
      <c r="M49" t="n">
        <v>0.02018395761951013</v>
      </c>
      <c r="N49" t="n">
        <v>0.4007686542276696</v>
      </c>
      <c r="O49" t="n">
        <v>3.203731469095503</v>
      </c>
      <c r="P49" t="n">
        <v>-31.02806881622422</v>
      </c>
      <c r="Q49" t="b">
        <v>0</v>
      </c>
      <c r="R49" t="b">
        <v>0</v>
      </c>
      <c r="S49" t="b">
        <v>0</v>
      </c>
      <c r="T49" t="b">
        <v>0</v>
      </c>
      <c r="U49" t="b">
        <v>1</v>
      </c>
      <c r="V49" t="inlineStr">
        <is>
          <t>completo</t>
        </is>
      </c>
      <c r="W49" t="inlineStr">
        <is>
          <t>jh-p70-3899</t>
        </is>
      </c>
      <c r="X49" t="inlineStr">
        <is>
          <t>leaf herbarium</t>
        </is>
      </c>
      <c r="Y49" t="inlineStr"/>
      <c r="Z49" t="inlineStr">
        <is>
          <t>both</t>
        </is>
      </c>
    </row>
    <row r="50">
      <c r="A50" t="n">
        <v>2239</v>
      </c>
      <c r="B50" t="n">
        <v>3643</v>
      </c>
      <c r="C50" t="inlineStr">
        <is>
          <t>Melastomataceae</t>
        </is>
      </c>
      <c r="D50" t="inlineStr">
        <is>
          <t>Miconia</t>
        </is>
      </c>
      <c r="E50" t="inlineStr"/>
      <c r="F50" t="n">
        <v>3899</v>
      </c>
      <c r="G50" t="n">
        <v>70</v>
      </c>
      <c r="H50" t="n">
        <v>2006</v>
      </c>
      <c r="I50" t="n">
        <v>3899</v>
      </c>
      <c r="J50" t="inlineStr">
        <is>
          <t>plot 70 #2239</t>
        </is>
      </c>
      <c r="K50" t="n">
        <v>0.4666</v>
      </c>
      <c r="L50" t="n">
        <v>-30.56</v>
      </c>
      <c r="M50" t="n">
        <v>0.0205067538998339</v>
      </c>
      <c r="N50" t="n">
        <v>0.4188730242680864</v>
      </c>
      <c r="O50" t="n">
        <v>2.687596937109312</v>
      </c>
      <c r="P50" t="n">
        <v>-31.57382589166846</v>
      </c>
      <c r="Q50" t="b">
        <v>0</v>
      </c>
      <c r="R50" t="b">
        <v>0</v>
      </c>
      <c r="S50" t="b">
        <v>0</v>
      </c>
      <c r="T50" t="b">
        <v>0</v>
      </c>
      <c r="U50" t="b">
        <v>1</v>
      </c>
      <c r="V50" t="inlineStr">
        <is>
          <t>completo</t>
        </is>
      </c>
      <c r="W50" t="inlineStr">
        <is>
          <t>jh-p70-3899</t>
        </is>
      </c>
      <c r="X50" t="inlineStr">
        <is>
          <t>leaf herbarium</t>
        </is>
      </c>
      <c r="Y50" t="inlineStr"/>
      <c r="Z50" t="inlineStr">
        <is>
          <t>both</t>
        </is>
      </c>
    </row>
    <row r="51">
      <c r="A51" t="n">
        <v>2243</v>
      </c>
      <c r="B51" t="inlineStr"/>
      <c r="C51" t="inlineStr">
        <is>
          <t>Moraceae</t>
        </is>
      </c>
      <c r="D51" t="inlineStr"/>
      <c r="E51" t="inlineStr"/>
      <c r="F51" t="n">
        <v>3900</v>
      </c>
      <c r="G51" t="n">
        <v>70</v>
      </c>
      <c r="H51" t="n">
        <v>2006</v>
      </c>
      <c r="I51" t="n">
        <v>3900</v>
      </c>
      <c r="J51" t="inlineStr">
        <is>
          <t>plot 70 #2243</t>
        </is>
      </c>
      <c r="K51" t="n">
        <v>44.95</v>
      </c>
      <c r="L51" t="n">
        <v>-30.58</v>
      </c>
      <c r="M51" t="n">
        <v>0.01248068795634016</v>
      </c>
      <c r="N51" t="n">
        <v>0.3462569020270388</v>
      </c>
      <c r="O51" t="n">
        <v>1.695366147479735</v>
      </c>
      <c r="P51" t="n">
        <v>-31.66076846756652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V51" t="inlineStr">
        <is>
          <t>completo</t>
        </is>
      </c>
      <c r="W51" t="inlineStr">
        <is>
          <t>jh-p70-3900</t>
        </is>
      </c>
      <c r="X51" t="inlineStr">
        <is>
          <t>leaf herbarium</t>
        </is>
      </c>
      <c r="Y51" t="inlineStr"/>
      <c r="Z51" t="inlineStr">
        <is>
          <t>both</t>
        </is>
      </c>
    </row>
    <row r="52">
      <c r="A52" t="n">
        <v>2243</v>
      </c>
      <c r="B52" t="inlineStr"/>
      <c r="C52" t="inlineStr">
        <is>
          <t>Moraceae</t>
        </is>
      </c>
      <c r="D52" t="inlineStr"/>
      <c r="E52" t="inlineStr"/>
      <c r="F52" t="n">
        <v>3900</v>
      </c>
      <c r="G52" t="n">
        <v>70</v>
      </c>
      <c r="H52" t="n">
        <v>2006</v>
      </c>
      <c r="I52" t="n">
        <v>4770</v>
      </c>
      <c r="J52" t="inlineStr">
        <is>
          <t>plot 70#2243</t>
        </is>
      </c>
      <c r="K52" t="n">
        <v>43.73</v>
      </c>
      <c r="L52" t="n">
        <v>-30.69</v>
      </c>
      <c r="M52" t="n">
        <v>0.01411540879892432</v>
      </c>
      <c r="N52" t="n">
        <v>0.3606202994318601</v>
      </c>
      <c r="O52" t="n">
        <v>2.176666036119842</v>
      </c>
      <c r="P52" t="n">
        <v>-32.24783008671183</v>
      </c>
      <c r="Q52" t="b">
        <v>0</v>
      </c>
      <c r="R52" t="b">
        <v>0</v>
      </c>
      <c r="S52" t="b">
        <v>0</v>
      </c>
      <c r="T52" t="b">
        <v>0</v>
      </c>
      <c r="U52" t="b">
        <v>1</v>
      </c>
      <c r="V52" t="inlineStr">
        <is>
          <t>completo</t>
        </is>
      </c>
      <c r="W52" t="inlineStr">
        <is>
          <t>jh-p70-4770</t>
        </is>
      </c>
      <c r="X52" t="inlineStr">
        <is>
          <t>leaf herbarium</t>
        </is>
      </c>
      <c r="Y52" t="inlineStr"/>
      <c r="Z52" t="inlineStr">
        <is>
          <t>both</t>
        </is>
      </c>
    </row>
    <row r="53">
      <c r="A53" t="n">
        <v>2244</v>
      </c>
      <c r="B53" t="inlineStr"/>
      <c r="C53" t="inlineStr">
        <is>
          <t>Violaceae</t>
        </is>
      </c>
      <c r="D53" t="inlineStr">
        <is>
          <t>Fusispermum</t>
        </is>
      </c>
      <c r="E53" t="inlineStr">
        <is>
          <t>laxiflorum</t>
        </is>
      </c>
      <c r="F53" t="n">
        <v>3901</v>
      </c>
      <c r="G53" t="n">
        <v>70</v>
      </c>
      <c r="H53" t="n">
        <v>2006</v>
      </c>
      <c r="I53" t="n">
        <v>3901</v>
      </c>
      <c r="J53" t="inlineStr">
        <is>
          <t>plot 70 #2244</t>
        </is>
      </c>
      <c r="K53" t="n">
        <v>45.33</v>
      </c>
      <c r="L53" t="n">
        <v>-31.74</v>
      </c>
      <c r="M53" t="n">
        <v>0.0145864597991928</v>
      </c>
      <c r="N53" t="n">
        <v>0.4284431487290032</v>
      </c>
      <c r="O53" t="n">
        <v>2.254260390141613</v>
      </c>
      <c r="P53" t="n">
        <v>-32.72439909761802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completo</t>
        </is>
      </c>
      <c r="W53" t="inlineStr">
        <is>
          <t>jh-p70-3901</t>
        </is>
      </c>
      <c r="X53" t="inlineStr">
        <is>
          <t>leaf herbarium</t>
        </is>
      </c>
      <c r="Y53" t="inlineStr"/>
      <c r="Z53" t="inlineStr">
        <is>
          <t>both</t>
        </is>
      </c>
    </row>
    <row r="54">
      <c r="A54" t="n">
        <v>2245</v>
      </c>
      <c r="B54" t="n">
        <v>3634</v>
      </c>
      <c r="C54" t="inlineStr">
        <is>
          <t>Annonaceae</t>
        </is>
      </c>
      <c r="D54" t="inlineStr">
        <is>
          <t>Guatteria</t>
        </is>
      </c>
      <c r="E54" t="inlineStr">
        <is>
          <t>cf multivenia</t>
        </is>
      </c>
      <c r="F54" t="n">
        <v>3902</v>
      </c>
      <c r="G54" t="n">
        <v>70</v>
      </c>
      <c r="H54" t="n">
        <v>2006</v>
      </c>
      <c r="I54" t="n">
        <v>3902</v>
      </c>
      <c r="J54" t="inlineStr">
        <is>
          <t>plot 70 #2245</t>
        </is>
      </c>
      <c r="K54" t="n">
        <v>0.4613</v>
      </c>
      <c r="L54" t="n">
        <v>-30.43</v>
      </c>
      <c r="M54" t="inlineStr"/>
      <c r="N54" t="inlineStr"/>
      <c r="O54" t="inlineStr"/>
      <c r="P54" t="inlineStr"/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inlineStr">
        <is>
          <t>pesar bulk</t>
        </is>
      </c>
      <c r="W54" t="inlineStr">
        <is>
          <t>jh-p70-3902</t>
        </is>
      </c>
      <c r="X54" t="inlineStr">
        <is>
          <t>leaf herbarium</t>
        </is>
      </c>
      <c r="Y54" t="inlineStr"/>
      <c r="Z54" t="inlineStr">
        <is>
          <t>both</t>
        </is>
      </c>
    </row>
    <row r="55">
      <c r="A55" t="n">
        <v>2246</v>
      </c>
      <c r="B55" t="n">
        <v>3631</v>
      </c>
      <c r="C55" t="inlineStr">
        <is>
          <t>Lauraceae</t>
        </is>
      </c>
      <c r="D55" t="inlineStr">
        <is>
          <t>Mespilodaphne</t>
        </is>
      </c>
      <c r="E55" t="inlineStr">
        <is>
          <t>quixos</t>
        </is>
      </c>
      <c r="F55" t="n">
        <v>3903</v>
      </c>
      <c r="G55" t="n">
        <v>70</v>
      </c>
      <c r="H55" t="n">
        <v>2006</v>
      </c>
      <c r="I55" t="n">
        <v>3903</v>
      </c>
      <c r="J55" t="inlineStr">
        <is>
          <t>plot 70 #2246</t>
        </is>
      </c>
      <c r="K55" t="n">
        <v>0.4292</v>
      </c>
      <c r="L55" t="n">
        <v>-28.3</v>
      </c>
      <c r="M55" t="inlineStr"/>
      <c r="N55" t="inlineStr"/>
      <c r="O55" t="inlineStr"/>
      <c r="P55" t="inlineStr"/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inlineStr">
        <is>
          <t>pesar bulk</t>
        </is>
      </c>
      <c r="W55" t="inlineStr">
        <is>
          <t>jh-p70-3903</t>
        </is>
      </c>
      <c r="X55" t="inlineStr">
        <is>
          <t>leaf herbarium</t>
        </is>
      </c>
      <c r="Y55" t="inlineStr"/>
      <c r="Z55" t="inlineStr">
        <is>
          <t>both</t>
        </is>
      </c>
    </row>
    <row r="56">
      <c r="A56" t="inlineStr">
        <is>
          <t>2200</t>
        </is>
      </c>
      <c r="B56" t="inlineStr"/>
      <c r="C56" t="inlineStr">
        <is>
          <t>Lecythidaceae</t>
        </is>
      </c>
      <c r="D56" t="inlineStr">
        <is>
          <t>Gustavia</t>
        </is>
      </c>
      <c r="E56" t="inlineStr">
        <is>
          <t>hexapetala</t>
        </is>
      </c>
      <c r="F56" t="inlineStr"/>
      <c r="G56" t="n">
        <v>70</v>
      </c>
      <c r="H56" t="n">
        <v>2006</v>
      </c>
      <c r="I56" t="n">
        <v>3871</v>
      </c>
      <c r="J56" t="inlineStr">
        <is>
          <t>plot 70 #2200</t>
        </is>
      </c>
      <c r="K56" t="inlineStr"/>
      <c r="L56" t="inlineStr"/>
      <c r="M56" t="n">
        <v>0.02738487420611629</v>
      </c>
      <c r="N56" t="n">
        <v>0.429322799364861</v>
      </c>
      <c r="O56" t="n">
        <v>2.050335386928069</v>
      </c>
      <c r="P56" t="n">
        <v>-33.25301127948046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pesar celulosa</t>
        </is>
      </c>
      <c r="W56" t="inlineStr">
        <is>
          <t>jh-p70-3871</t>
        </is>
      </c>
      <c r="X56" t="inlineStr">
        <is>
          <t>leaf herbarium</t>
        </is>
      </c>
      <c r="Y56" t="inlineStr"/>
      <c r="Z56" t="inlineStr"/>
    </row>
    <row r="57">
      <c r="A57" t="inlineStr">
        <is>
          <t>2201</t>
        </is>
      </c>
      <c r="B57" t="inlineStr"/>
      <c r="C57" t="inlineStr">
        <is>
          <t>Sterculiaceae</t>
        </is>
      </c>
      <c r="D57" t="inlineStr">
        <is>
          <t>Sterculia</t>
        </is>
      </c>
      <c r="E57" t="inlineStr">
        <is>
          <t>apeibophylla</t>
        </is>
      </c>
      <c r="F57" t="inlineStr"/>
      <c r="G57" t="n">
        <v>70</v>
      </c>
      <c r="H57" t="n">
        <v>2006</v>
      </c>
      <c r="I57" t="n">
        <v>3872</v>
      </c>
      <c r="J57" t="inlineStr">
        <is>
          <t>plot 70 #2201</t>
        </is>
      </c>
      <c r="K57" t="inlineStr"/>
      <c r="L57" t="inlineStr"/>
      <c r="M57" t="n">
        <v>0.02003418218823768</v>
      </c>
      <c r="N57" t="n">
        <v>0.4617060293808474</v>
      </c>
      <c r="O57" t="n">
        <v>0.4631463463321133</v>
      </c>
      <c r="P57" t="n">
        <v>-31.28201255784346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pesar celulosa</t>
        </is>
      </c>
      <c r="W57" t="inlineStr">
        <is>
          <t>jh-p70-3872</t>
        </is>
      </c>
      <c r="X57" t="inlineStr">
        <is>
          <t>leaf herbarium</t>
        </is>
      </c>
      <c r="Y57" t="inlineStr"/>
      <c r="Z57" t="inlineStr"/>
    </row>
    <row r="58">
      <c r="A58" t="inlineStr">
        <is>
          <t>2204</t>
        </is>
      </c>
      <c r="B58" t="inlineStr"/>
      <c r="C58" t="inlineStr">
        <is>
          <t>Rutaceae</t>
        </is>
      </c>
      <c r="D58" t="inlineStr">
        <is>
          <t>Amyris</t>
        </is>
      </c>
      <c r="E58" t="inlineStr">
        <is>
          <t>macrocarpa</t>
        </is>
      </c>
      <c r="F58" t="inlineStr"/>
      <c r="G58" t="n">
        <v>70</v>
      </c>
      <c r="H58" t="n">
        <v>2006</v>
      </c>
      <c r="I58" t="n">
        <v>3886</v>
      </c>
      <c r="J58" t="inlineStr">
        <is>
          <t>plot 70 #2204</t>
        </is>
      </c>
      <c r="K58" t="inlineStr"/>
      <c r="L58" t="inlineStr"/>
      <c r="M58" t="inlineStr"/>
      <c r="N58" t="inlineStr"/>
      <c r="O58" t="inlineStr"/>
      <c r="P58" t="inlineStr"/>
      <c r="Q58" t="b">
        <v>1</v>
      </c>
      <c r="R58" t="b">
        <v>1</v>
      </c>
      <c r="S58" t="b">
        <v>0</v>
      </c>
      <c r="T58" t="b">
        <v>0</v>
      </c>
      <c r="U58" t="b">
        <v>0</v>
      </c>
      <c r="V58" t="inlineStr">
        <is>
          <t>pesar celulosa; pesar bulk</t>
        </is>
      </c>
      <c r="W58" t="inlineStr">
        <is>
          <t>jh-p70-3886</t>
        </is>
      </c>
      <c r="X58" t="inlineStr">
        <is>
          <t>leaf herbarium</t>
        </is>
      </c>
      <c r="Y58" t="inlineStr"/>
      <c r="Z58" t="inlineStr"/>
    </row>
    <row r="59">
      <c r="A59" t="inlineStr">
        <is>
          <t>2224</t>
        </is>
      </c>
      <c r="B59" t="inlineStr"/>
      <c r="C59" t="inlineStr">
        <is>
          <t>Meliaceae</t>
        </is>
      </c>
      <c r="D59" t="inlineStr">
        <is>
          <t>Trichilia</t>
        </is>
      </c>
      <c r="E59" t="inlineStr">
        <is>
          <t>septentrionalis</t>
        </is>
      </c>
      <c r="F59" t="inlineStr"/>
      <c r="G59" t="n">
        <v>70</v>
      </c>
      <c r="H59" t="n">
        <v>2006</v>
      </c>
      <c r="I59" t="n">
        <v>3885</v>
      </c>
      <c r="J59" t="inlineStr">
        <is>
          <t>plot 70 #2224</t>
        </is>
      </c>
      <c r="K59" t="inlineStr"/>
      <c r="L59" t="inlineStr"/>
      <c r="M59" t="inlineStr"/>
      <c r="N59" t="inlineStr"/>
      <c r="O59" t="inlineStr"/>
      <c r="P59" t="inlineStr"/>
      <c r="Q59" t="b">
        <v>1</v>
      </c>
      <c r="R59" t="b">
        <v>1</v>
      </c>
      <c r="S59" t="b">
        <v>0</v>
      </c>
      <c r="T59" t="b">
        <v>0</v>
      </c>
      <c r="U59" t="b">
        <v>0</v>
      </c>
      <c r="V59" t="inlineStr">
        <is>
          <t>pesar celulosa; pesar bulk</t>
        </is>
      </c>
      <c r="W59" t="inlineStr">
        <is>
          <t>jh-p70-3885</t>
        </is>
      </c>
      <c r="X59" t="inlineStr">
        <is>
          <t>leaf herbarium</t>
        </is>
      </c>
      <c r="Y59" t="inlineStr"/>
      <c r="Z59" t="inlineStr"/>
    </row>
    <row r="60">
      <c r="A60" t="inlineStr">
        <is>
          <t>2232</t>
        </is>
      </c>
      <c r="B60" t="inlineStr"/>
      <c r="C60" t="inlineStr">
        <is>
          <t>Fabaceae</t>
        </is>
      </c>
      <c r="D60" t="inlineStr">
        <is>
          <t>Inga</t>
        </is>
      </c>
      <c r="E60" t="inlineStr">
        <is>
          <t>thibaudiana</t>
        </is>
      </c>
      <c r="F60" t="inlineStr"/>
      <c r="G60" t="n">
        <v>70</v>
      </c>
      <c r="H60" t="n">
        <v>2006</v>
      </c>
      <c r="I60" t="n">
        <v>3896</v>
      </c>
      <c r="J60" t="inlineStr">
        <is>
          <t>plot 70 #2232, fruits</t>
        </is>
      </c>
      <c r="K60" t="inlineStr"/>
      <c r="L60" t="inlineStr"/>
      <c r="M60" t="n">
        <v>0.02179528852779789</v>
      </c>
      <c r="N60" t="n">
        <v>0.4572908626144426</v>
      </c>
      <c r="O60" t="n">
        <v>-1.839442044060619</v>
      </c>
      <c r="P60" t="n">
        <v>-31.53652257825765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pesar celulosa</t>
        </is>
      </c>
      <c r="W60" t="inlineStr">
        <is>
          <t>jh-p70-3896</t>
        </is>
      </c>
      <c r="X60" t="inlineStr">
        <is>
          <t>leaf herbarium</t>
        </is>
      </c>
      <c r="Y60" t="inlineStr"/>
      <c r="Z60" t="inlineStr"/>
    </row>
    <row r="61">
      <c r="A61" t="inlineStr">
        <is>
          <t>2235</t>
        </is>
      </c>
      <c r="B61" t="inlineStr"/>
      <c r="C61" t="inlineStr">
        <is>
          <t>Euphorbiaceae</t>
        </is>
      </c>
      <c r="D61" t="inlineStr">
        <is>
          <t>Tetrorchidium</t>
        </is>
      </c>
      <c r="E61" t="inlineStr">
        <is>
          <t>macrophyllum</t>
        </is>
      </c>
      <c r="F61" t="inlineStr"/>
      <c r="G61" t="n">
        <v>70</v>
      </c>
      <c r="H61" t="n">
        <v>2006</v>
      </c>
      <c r="I61" t="n">
        <v>3898</v>
      </c>
      <c r="J61" t="inlineStr">
        <is>
          <t>plot 70 #2235</t>
        </is>
      </c>
      <c r="K61" t="inlineStr"/>
      <c r="L61" t="inlineStr"/>
      <c r="M61" t="n">
        <v>0.03578390490376519</v>
      </c>
      <c r="N61" t="n">
        <v>0.4483231232350463</v>
      </c>
      <c r="O61" t="n">
        <v>1.944879003351917</v>
      </c>
      <c r="P61" t="n">
        <v>-33.25378349899499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pesar celulosa</t>
        </is>
      </c>
      <c r="W61" t="inlineStr">
        <is>
          <t>jh-p70-3898</t>
        </is>
      </c>
      <c r="X61" t="inlineStr">
        <is>
          <t>leaf herbarium</t>
        </is>
      </c>
      <c r="Y61" t="inlineStr"/>
      <c r="Z61" t="inlineStr"/>
    </row>
    <row r="62">
      <c r="A62" t="inlineStr"/>
      <c r="B62" t="inlineStr"/>
      <c r="C62" t="inlineStr">
        <is>
          <t>Lacistemataceae</t>
        </is>
      </c>
      <c r="D62" t="inlineStr">
        <is>
          <t>Lozania</t>
        </is>
      </c>
      <c r="E62" t="inlineStr">
        <is>
          <t>klugii</t>
        </is>
      </c>
      <c r="F62" t="inlineStr"/>
      <c r="G62" t="n">
        <v>70</v>
      </c>
      <c r="H62" t="n">
        <v>2006</v>
      </c>
      <c r="I62" t="n">
        <v>3904</v>
      </c>
      <c r="J62" t="inlineStr">
        <is>
          <t>plot 70 species 2</t>
        </is>
      </c>
      <c r="K62" t="n">
        <v>0.3999</v>
      </c>
      <c r="L62" t="n">
        <v>-31.98</v>
      </c>
      <c r="M62" t="n">
        <v>0.02297434690612491</v>
      </c>
      <c r="N62" t="n">
        <v>0.4308122505149927</v>
      </c>
      <c r="O62" t="n">
        <v>0.9111479573122239</v>
      </c>
      <c r="P62" t="n">
        <v>-33.91850746268657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inlineStr">
        <is>
          <t>revisar tag</t>
        </is>
      </c>
      <c r="W62" t="inlineStr">
        <is>
          <t>jh-p70-3904</t>
        </is>
      </c>
      <c r="X62" t="inlineStr">
        <is>
          <t>leaf herbarium</t>
        </is>
      </c>
      <c r="Y62" t="inlineStr"/>
      <c r="Z62" t="inlineStr">
        <is>
          <t>left_only</t>
        </is>
      </c>
    </row>
    <row r="63">
      <c r="A63" t="n">
        <v>2287</v>
      </c>
      <c r="B63" t="n">
        <v>8807</v>
      </c>
      <c r="C63" t="inlineStr">
        <is>
          <t>Fabaceae</t>
        </is>
      </c>
      <c r="D63" t="inlineStr">
        <is>
          <t>Browneopsis</t>
        </is>
      </c>
      <c r="E63" t="inlineStr">
        <is>
          <t>ucayalina</t>
        </is>
      </c>
      <c r="F63" t="n">
        <v>3199</v>
      </c>
      <c r="G63" t="n">
        <v>72</v>
      </c>
      <c r="H63" t="n">
        <v>2006</v>
      </c>
      <c r="I63" t="n">
        <v>3199</v>
      </c>
      <c r="J63" t="inlineStr">
        <is>
          <t>plot 72 #2287</t>
        </is>
      </c>
      <c r="K63" t="n">
        <v>46.84</v>
      </c>
      <c r="L63" t="n">
        <v>-30.1</v>
      </c>
      <c r="M63" t="n">
        <v>0.02007815288847567</v>
      </c>
      <c r="N63" t="n">
        <v>0.3433928843056873</v>
      </c>
      <c r="O63" t="n">
        <v>1.539246854783249</v>
      </c>
      <c r="P63" t="n">
        <v>-31.09513429751199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completo</t>
        </is>
      </c>
      <c r="W63" t="inlineStr">
        <is>
          <t>jh-p72-3199</t>
        </is>
      </c>
      <c r="X63" t="inlineStr">
        <is>
          <t>leaf herbarium</t>
        </is>
      </c>
      <c r="Y63" t="inlineStr"/>
      <c r="Z63" t="inlineStr">
        <is>
          <t>both</t>
        </is>
      </c>
    </row>
    <row r="64">
      <c r="A64" t="n">
        <v>2288</v>
      </c>
      <c r="B64" t="n">
        <v>8803</v>
      </c>
      <c r="C64" t="inlineStr">
        <is>
          <t>Lecythidaceae</t>
        </is>
      </c>
      <c r="D64" t="inlineStr">
        <is>
          <t>Eschweilera</t>
        </is>
      </c>
      <c r="E64" t="inlineStr"/>
      <c r="F64" t="n">
        <v>3196</v>
      </c>
      <c r="G64" t="n">
        <v>72</v>
      </c>
      <c r="H64" t="n">
        <v>2006</v>
      </c>
      <c r="I64" t="n">
        <v>4771</v>
      </c>
      <c r="J64" t="inlineStr">
        <is>
          <t>plot 72#2288</t>
        </is>
      </c>
      <c r="K64" t="n">
        <v>45.63</v>
      </c>
      <c r="L64" t="n">
        <v>-30.8</v>
      </c>
      <c r="M64" t="n">
        <v>0.01692454708258765</v>
      </c>
      <c r="N64" t="n">
        <v>0.4616651518746308</v>
      </c>
      <c r="O64" t="n">
        <v>3.401127291795787</v>
      </c>
      <c r="P64" t="n">
        <v>-32.31933006722114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inlineStr">
        <is>
          <t>completo</t>
        </is>
      </c>
      <c r="W64" t="inlineStr">
        <is>
          <t>jh-p72-4771</t>
        </is>
      </c>
      <c r="X64" t="inlineStr">
        <is>
          <t>leaf herbarium</t>
        </is>
      </c>
      <c r="Y64" t="inlineStr"/>
      <c r="Z64" t="inlineStr">
        <is>
          <t>both</t>
        </is>
      </c>
    </row>
    <row r="65">
      <c r="A65" t="n">
        <v>2289</v>
      </c>
      <c r="B65" t="n">
        <v>8804</v>
      </c>
      <c r="C65" t="inlineStr">
        <is>
          <t>Sapotaceae</t>
        </is>
      </c>
      <c r="D65" t="inlineStr">
        <is>
          <t>Pouteria</t>
        </is>
      </c>
      <c r="E65" t="inlineStr">
        <is>
          <t>guianensis</t>
        </is>
      </c>
      <c r="F65" t="n">
        <v>3206</v>
      </c>
      <c r="G65" t="n">
        <v>72</v>
      </c>
      <c r="H65" t="n">
        <v>2006</v>
      </c>
      <c r="I65" t="n">
        <v>3206</v>
      </c>
      <c r="J65" t="inlineStr">
        <is>
          <t>plot 72 #2289</t>
        </is>
      </c>
      <c r="K65" t="n">
        <v>45.5796569444605</v>
      </c>
      <c r="L65" t="n">
        <v>-31.9568923608235</v>
      </c>
      <c r="M65" t="n">
        <v>0.02068564388008138</v>
      </c>
      <c r="N65" t="n">
        <v>0.4721560726630625</v>
      </c>
      <c r="O65" t="n">
        <v>-0.3288103352275843</v>
      </c>
      <c r="P65" t="n">
        <v>-33.85891078956363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completo</t>
        </is>
      </c>
      <c r="W65" t="inlineStr">
        <is>
          <t>jh-p72-3206</t>
        </is>
      </c>
      <c r="X65" t="inlineStr">
        <is>
          <t>leaf herbarium</t>
        </is>
      </c>
      <c r="Y65" t="inlineStr"/>
      <c r="Z65" t="inlineStr">
        <is>
          <t>both</t>
        </is>
      </c>
    </row>
    <row r="66">
      <c r="A66" t="n">
        <v>2292</v>
      </c>
      <c r="B66" t="n">
        <v>8811</v>
      </c>
      <c r="C66" t="inlineStr">
        <is>
          <t>Moraceae</t>
        </is>
      </c>
      <c r="D66" t="inlineStr">
        <is>
          <t>Sorocea</t>
        </is>
      </c>
      <c r="E66" t="inlineStr">
        <is>
          <t>steinbachii</t>
        </is>
      </c>
      <c r="F66" t="n">
        <v>3195</v>
      </c>
      <c r="G66" t="n">
        <v>72</v>
      </c>
      <c r="H66" t="n">
        <v>2006</v>
      </c>
      <c r="I66" t="n">
        <v>3195</v>
      </c>
      <c r="J66" t="inlineStr">
        <is>
          <t>plot 72 #2292</t>
        </is>
      </c>
      <c r="K66" t="n">
        <v>43.28</v>
      </c>
      <c r="L66" t="n">
        <v>-31.33</v>
      </c>
      <c r="M66" t="inlineStr"/>
      <c r="N66" t="inlineStr"/>
      <c r="O66" t="inlineStr"/>
      <c r="P66" t="inlineStr"/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>
        <is>
          <t>pesar bulk</t>
        </is>
      </c>
      <c r="W66" t="inlineStr">
        <is>
          <t>jh-p72-3195</t>
        </is>
      </c>
      <c r="X66" t="inlineStr">
        <is>
          <t>leaf herbarium</t>
        </is>
      </c>
      <c r="Y66" t="inlineStr"/>
      <c r="Z66" t="inlineStr">
        <is>
          <t>both</t>
        </is>
      </c>
    </row>
    <row r="67">
      <c r="A67" t="n">
        <v>2297</v>
      </c>
      <c r="B67" t="inlineStr"/>
      <c r="C67" t="inlineStr">
        <is>
          <t>Myristicaceae</t>
        </is>
      </c>
      <c r="D67" t="inlineStr">
        <is>
          <t>Compsoneura</t>
        </is>
      </c>
      <c r="E67" t="inlineStr">
        <is>
          <t>aff sprucei</t>
        </is>
      </c>
      <c r="F67" t="n">
        <v>3212</v>
      </c>
      <c r="G67" t="n">
        <v>72</v>
      </c>
      <c r="H67" t="n">
        <v>2006</v>
      </c>
      <c r="I67" t="n">
        <v>3212</v>
      </c>
      <c r="J67" t="inlineStr">
        <is>
          <t>plot 72 #2297</t>
        </is>
      </c>
      <c r="K67" t="n">
        <v>45.87</v>
      </c>
      <c r="L67" t="n">
        <v>-32.32</v>
      </c>
      <c r="M67" t="n">
        <v>0.01837045833103159</v>
      </c>
      <c r="N67" t="n">
        <v>0.447351996784316</v>
      </c>
      <c r="O67" t="n">
        <v>1.542797633345417</v>
      </c>
      <c r="P67" t="n">
        <v>-33.23314572177282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completo</t>
        </is>
      </c>
      <c r="W67" t="inlineStr">
        <is>
          <t>jh-p72-3212</t>
        </is>
      </c>
      <c r="X67" t="inlineStr">
        <is>
          <t>leaf herbarium</t>
        </is>
      </c>
      <c r="Y67" t="inlineStr"/>
      <c r="Z67" t="inlineStr">
        <is>
          <t>both</t>
        </is>
      </c>
    </row>
    <row r="68">
      <c r="A68" t="n">
        <v>2297</v>
      </c>
      <c r="B68" t="inlineStr"/>
      <c r="C68" t="inlineStr">
        <is>
          <t>Myristicaceae</t>
        </is>
      </c>
      <c r="D68" t="inlineStr">
        <is>
          <t>Compsoneura</t>
        </is>
      </c>
      <c r="E68" t="inlineStr">
        <is>
          <t>aff sprucei</t>
        </is>
      </c>
      <c r="F68" t="n">
        <v>3212</v>
      </c>
      <c r="G68" t="n">
        <v>72</v>
      </c>
      <c r="H68" t="n">
        <v>2006</v>
      </c>
      <c r="I68" t="n">
        <v>4772</v>
      </c>
      <c r="J68" t="inlineStr">
        <is>
          <t>plot 72#2297</t>
        </is>
      </c>
      <c r="K68" t="n">
        <v>44.6</v>
      </c>
      <c r="L68" t="n">
        <v>-33.06</v>
      </c>
      <c r="M68" t="n">
        <v>0.01371596328094875</v>
      </c>
      <c r="N68" t="n">
        <v>0.4296876033053373</v>
      </c>
      <c r="O68" t="n">
        <v>2.762585499474881</v>
      </c>
      <c r="P68" t="n">
        <v>-33.8887091261251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completo</t>
        </is>
      </c>
      <c r="W68" t="inlineStr">
        <is>
          <t>jh-p72-4772</t>
        </is>
      </c>
      <c r="X68" t="inlineStr">
        <is>
          <t>leaf herbarium</t>
        </is>
      </c>
      <c r="Y68" t="inlineStr"/>
      <c r="Z68" t="inlineStr">
        <is>
          <t>both</t>
        </is>
      </c>
    </row>
    <row r="69">
      <c r="A69" t="n">
        <v>2303</v>
      </c>
      <c r="B69" t="n">
        <v>8695</v>
      </c>
      <c r="C69" t="inlineStr">
        <is>
          <t>Rubiaceae</t>
        </is>
      </c>
      <c r="D69" t="inlineStr">
        <is>
          <t>Pentagonia</t>
        </is>
      </c>
      <c r="E69" t="inlineStr">
        <is>
          <t>amazonica</t>
        </is>
      </c>
      <c r="F69" t="n">
        <v>3214</v>
      </c>
      <c r="G69" t="n">
        <v>72</v>
      </c>
      <c r="H69" t="n">
        <v>2006</v>
      </c>
      <c r="I69" t="n">
        <v>3214</v>
      </c>
      <c r="J69" t="inlineStr">
        <is>
          <t>plot 72 #2303</t>
        </is>
      </c>
      <c r="K69" t="n">
        <v>0.4488</v>
      </c>
      <c r="L69" t="n">
        <v>-30.83</v>
      </c>
      <c r="M69" t="inlineStr"/>
      <c r="N69" t="inlineStr"/>
      <c r="O69" t="inlineStr"/>
      <c r="P69" t="inlineStr"/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>
        <is>
          <t>pesar bulk</t>
        </is>
      </c>
      <c r="W69" t="inlineStr">
        <is>
          <t>jh-p72-3214</t>
        </is>
      </c>
      <c r="X69" t="inlineStr">
        <is>
          <t>leaf herbarium</t>
        </is>
      </c>
      <c r="Y69" t="inlineStr"/>
      <c r="Z69" t="inlineStr">
        <is>
          <t>both</t>
        </is>
      </c>
    </row>
    <row r="70">
      <c r="A70" t="n">
        <v>2303</v>
      </c>
      <c r="B70" t="n">
        <v>8695</v>
      </c>
      <c r="C70" t="inlineStr">
        <is>
          <t>Rubiaceae</t>
        </is>
      </c>
      <c r="D70" t="inlineStr">
        <is>
          <t>Pentagonia</t>
        </is>
      </c>
      <c r="E70" t="inlineStr">
        <is>
          <t>amazonica</t>
        </is>
      </c>
      <c r="F70" t="n">
        <v>3214</v>
      </c>
      <c r="G70" t="n">
        <v>72</v>
      </c>
      <c r="H70" t="n">
        <v>2006</v>
      </c>
      <c r="I70" t="n">
        <v>3214</v>
      </c>
      <c r="J70" t="inlineStr">
        <is>
          <t>plot 72 #2303</t>
        </is>
      </c>
      <c r="K70" t="n">
        <v>52.1703514062085</v>
      </c>
      <c r="L70" t="n">
        <v>-31.974735763936</v>
      </c>
      <c r="M70" t="inlineStr"/>
      <c r="N70" t="inlineStr"/>
      <c r="O70" t="inlineStr"/>
      <c r="P70" t="inlineStr"/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inlineStr">
        <is>
          <t>pesar bulk</t>
        </is>
      </c>
      <c r="W70" t="inlineStr">
        <is>
          <t>jh-p72-3214</t>
        </is>
      </c>
      <c r="X70" t="inlineStr">
        <is>
          <t>leaf herbarium</t>
        </is>
      </c>
      <c r="Y70" t="inlineStr"/>
      <c r="Z70" t="inlineStr">
        <is>
          <t>both</t>
        </is>
      </c>
    </row>
    <row r="71">
      <c r="A71" t="n">
        <v>2304</v>
      </c>
      <c r="B71" t="inlineStr"/>
      <c r="C71" t="inlineStr">
        <is>
          <t>Euphorbiaceae</t>
        </is>
      </c>
      <c r="D71" t="inlineStr">
        <is>
          <t>Mabea</t>
        </is>
      </c>
      <c r="E71" t="inlineStr">
        <is>
          <t>klugii</t>
        </is>
      </c>
      <c r="F71" t="n">
        <v>3215</v>
      </c>
      <c r="G71" t="n">
        <v>72</v>
      </c>
      <c r="H71" t="n">
        <v>2006</v>
      </c>
      <c r="I71" t="n">
        <v>4773</v>
      </c>
      <c r="J71" t="inlineStr">
        <is>
          <t>plot 72#2304</t>
        </is>
      </c>
      <c r="K71" t="n">
        <v>49.84</v>
      </c>
      <c r="L71" t="n">
        <v>-35.43</v>
      </c>
      <c r="M71" t="n">
        <v>0.02150847159201305</v>
      </c>
      <c r="N71" t="n">
        <v>0.4216127071010296</v>
      </c>
      <c r="O71" t="n">
        <v>0.9042223080041191</v>
      </c>
      <c r="P71" t="n">
        <v>-35.42828984846759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completo</t>
        </is>
      </c>
      <c r="W71" t="inlineStr">
        <is>
          <t>jh-p72-4773</t>
        </is>
      </c>
      <c r="X71" t="inlineStr">
        <is>
          <t>leaf herbarium</t>
        </is>
      </c>
      <c r="Y71" t="inlineStr"/>
      <c r="Z71" t="inlineStr">
        <is>
          <t>both</t>
        </is>
      </c>
    </row>
    <row r="72">
      <c r="A72" t="n">
        <v>2310</v>
      </c>
      <c r="B72" t="n">
        <v>8689</v>
      </c>
      <c r="C72" t="inlineStr">
        <is>
          <t>Myristicaceae</t>
        </is>
      </c>
      <c r="D72" t="inlineStr">
        <is>
          <t>Virola</t>
        </is>
      </c>
      <c r="E72" t="inlineStr">
        <is>
          <t>dixonii</t>
        </is>
      </c>
      <c r="F72" t="n">
        <v>3213</v>
      </c>
      <c r="G72" t="n">
        <v>72</v>
      </c>
      <c r="H72" t="n">
        <v>2006</v>
      </c>
      <c r="I72" t="n">
        <v>3213</v>
      </c>
      <c r="J72" t="inlineStr">
        <is>
          <t>plot 72 #2310</t>
        </is>
      </c>
      <c r="K72" t="n">
        <v>46.6494965106332</v>
      </c>
      <c r="L72" t="n">
        <v>-32.1413488554602</v>
      </c>
      <c r="M72" t="inlineStr"/>
      <c r="N72" t="inlineStr"/>
      <c r="O72" t="inlineStr"/>
      <c r="P72" t="inlineStr"/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inlineStr">
        <is>
          <t>pesar bulk</t>
        </is>
      </c>
      <c r="W72" t="inlineStr">
        <is>
          <t>jh-p72-3213</t>
        </is>
      </c>
      <c r="X72" t="inlineStr">
        <is>
          <t>leaf herbarium</t>
        </is>
      </c>
      <c r="Y72" t="inlineStr"/>
      <c r="Z72" t="inlineStr">
        <is>
          <t>both</t>
        </is>
      </c>
    </row>
    <row r="73">
      <c r="A73" t="n">
        <v>2314</v>
      </c>
      <c r="B73" t="n">
        <v>8693</v>
      </c>
      <c r="C73" t="inlineStr">
        <is>
          <t>Fabaceae</t>
        </is>
      </c>
      <c r="D73" t="inlineStr">
        <is>
          <t>Inga</t>
        </is>
      </c>
      <c r="E73" t="inlineStr">
        <is>
          <t>multinervis</t>
        </is>
      </c>
      <c r="F73" t="n">
        <v>3198</v>
      </c>
      <c r="G73" t="n">
        <v>72</v>
      </c>
      <c r="H73" t="n">
        <v>2006</v>
      </c>
      <c r="I73" t="n">
        <v>4774</v>
      </c>
      <c r="J73" t="inlineStr">
        <is>
          <t>plot 72#2314</t>
        </is>
      </c>
      <c r="K73" t="n">
        <v>44.19</v>
      </c>
      <c r="L73" t="n">
        <v>-30.84</v>
      </c>
      <c r="M73" t="n">
        <v>0.02608307431525463</v>
      </c>
      <c r="N73" t="n">
        <v>0.4639284919227962</v>
      </c>
      <c r="O73" t="n">
        <v>0.836352738993154</v>
      </c>
      <c r="P73" t="n">
        <v>-32.65129433406928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completo</t>
        </is>
      </c>
      <c r="W73" t="inlineStr">
        <is>
          <t>jh-p72-4774</t>
        </is>
      </c>
      <c r="X73" t="inlineStr">
        <is>
          <t>leaf herbarium</t>
        </is>
      </c>
      <c r="Y73" t="inlineStr"/>
      <c r="Z73" t="inlineStr">
        <is>
          <t>both</t>
        </is>
      </c>
    </row>
    <row r="74">
      <c r="A74" t="n">
        <v>2315</v>
      </c>
      <c r="B74" t="n">
        <v>8697</v>
      </c>
      <c r="C74" t="inlineStr">
        <is>
          <t>Myristicaceae</t>
        </is>
      </c>
      <c r="D74" t="inlineStr">
        <is>
          <t>Otoba</t>
        </is>
      </c>
      <c r="E74" t="inlineStr">
        <is>
          <t>parvifolia</t>
        </is>
      </c>
      <c r="F74" t="n">
        <v>3200</v>
      </c>
      <c r="G74" t="n">
        <v>72</v>
      </c>
      <c r="H74" t="n">
        <v>2006</v>
      </c>
      <c r="I74" t="n">
        <v>3200</v>
      </c>
      <c r="J74" t="inlineStr">
        <is>
          <t>plot 72 #2315</t>
        </is>
      </c>
      <c r="K74" t="n">
        <v>50.61</v>
      </c>
      <c r="L74" t="n">
        <v>-31.34</v>
      </c>
      <c r="M74" t="n">
        <v>0.0169351112461911</v>
      </c>
      <c r="N74" t="n">
        <v>0.4554017927741307</v>
      </c>
      <c r="O74" t="n">
        <v>-0.1708657680267547</v>
      </c>
      <c r="P74" t="n">
        <v>-32.42859063461319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completo</t>
        </is>
      </c>
      <c r="W74" t="inlineStr">
        <is>
          <t>jh-p72-3200</t>
        </is>
      </c>
      <c r="X74" t="inlineStr">
        <is>
          <t>leaf herbarium</t>
        </is>
      </c>
      <c r="Y74" t="inlineStr"/>
      <c r="Z74" t="inlineStr">
        <is>
          <t>both</t>
        </is>
      </c>
    </row>
    <row r="75">
      <c r="A75" t="n">
        <v>2319</v>
      </c>
      <c r="B75" t="n">
        <v>8699</v>
      </c>
      <c r="C75" t="inlineStr">
        <is>
          <t>Rutaceae</t>
        </is>
      </c>
      <c r="D75" t="inlineStr">
        <is>
          <t>Amyris</t>
        </is>
      </c>
      <c r="E75" t="inlineStr">
        <is>
          <t>macrocarpa</t>
        </is>
      </c>
      <c r="F75" t="n">
        <v>3197</v>
      </c>
      <c r="G75" t="n">
        <v>72</v>
      </c>
      <c r="H75" t="n">
        <v>2006</v>
      </c>
      <c r="I75" t="n">
        <v>3197</v>
      </c>
      <c r="J75" t="inlineStr">
        <is>
          <t>plot 72 #2319</t>
        </is>
      </c>
      <c r="K75" t="n">
        <v>57.5</v>
      </c>
      <c r="L75" t="n">
        <v>-33.69</v>
      </c>
      <c r="M75" t="n">
        <v>0.02354645022498682</v>
      </c>
      <c r="N75" t="n">
        <v>0.4781373222990032</v>
      </c>
      <c r="O75" t="n">
        <v>0.2993203404282081</v>
      </c>
      <c r="P75" t="n">
        <v>-34.48467585735446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completo</t>
        </is>
      </c>
      <c r="W75" t="inlineStr">
        <is>
          <t>jh-p72-3197</t>
        </is>
      </c>
      <c r="X75" t="inlineStr">
        <is>
          <t>leaf herbarium</t>
        </is>
      </c>
      <c r="Y75" t="inlineStr"/>
      <c r="Z75" t="inlineStr">
        <is>
          <t>both</t>
        </is>
      </c>
    </row>
    <row r="76">
      <c r="A76" t="n">
        <v>2375</v>
      </c>
      <c r="B76" t="n">
        <v>8854</v>
      </c>
      <c r="C76" t="inlineStr">
        <is>
          <t>Moraceae</t>
        </is>
      </c>
      <c r="D76" t="inlineStr">
        <is>
          <t>Sorocea</t>
        </is>
      </c>
      <c r="E76" t="inlineStr">
        <is>
          <t>pubivena</t>
        </is>
      </c>
      <c r="F76" t="n">
        <v>3268</v>
      </c>
      <c r="G76" t="n">
        <v>74</v>
      </c>
      <c r="H76" t="n">
        <v>2006</v>
      </c>
      <c r="I76" t="n">
        <v>3268</v>
      </c>
      <c r="J76" t="inlineStr">
        <is>
          <t>plot 74 #2375</t>
        </is>
      </c>
      <c r="K76" t="n">
        <v>43.8782733576757</v>
      </c>
      <c r="L76" t="n">
        <v>-31.0841010573067</v>
      </c>
      <c r="M76" t="n">
        <v>0.01904556402390133</v>
      </c>
      <c r="N76" t="n">
        <v>0.4053926156832251</v>
      </c>
      <c r="O76" t="n">
        <v>0.8437291042678349</v>
      </c>
      <c r="P76" t="n">
        <v>-31.6339683263074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completo</t>
        </is>
      </c>
      <c r="W76" t="inlineStr">
        <is>
          <t>jh-p74-3268</t>
        </is>
      </c>
      <c r="X76" t="inlineStr">
        <is>
          <t>leaf herbarium</t>
        </is>
      </c>
      <c r="Y76" t="inlineStr"/>
      <c r="Z76" t="inlineStr">
        <is>
          <t>both</t>
        </is>
      </c>
    </row>
    <row r="77">
      <c r="A77" t="n">
        <v>2375</v>
      </c>
      <c r="B77" t="n">
        <v>8854</v>
      </c>
      <c r="C77" t="inlineStr">
        <is>
          <t>Moraceae</t>
        </is>
      </c>
      <c r="D77" t="inlineStr">
        <is>
          <t>Sorocea</t>
        </is>
      </c>
      <c r="E77" t="inlineStr">
        <is>
          <t>pubivena</t>
        </is>
      </c>
      <c r="F77" t="n">
        <v>3268</v>
      </c>
      <c r="G77" t="n">
        <v>74</v>
      </c>
      <c r="H77" t="n">
        <v>2006</v>
      </c>
      <c r="I77" t="n">
        <v>3268</v>
      </c>
      <c r="J77" t="inlineStr">
        <is>
          <t>plot 74 #2375</t>
        </is>
      </c>
      <c r="K77" t="n">
        <v>43.8782733576757</v>
      </c>
      <c r="L77" t="n">
        <v>-31.0841010573067</v>
      </c>
      <c r="M77" t="inlineStr"/>
      <c r="N77" t="inlineStr"/>
      <c r="O77" t="inlineStr"/>
      <c r="P77" t="inlineStr"/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>
        <is>
          <t>pesar bulk</t>
        </is>
      </c>
      <c r="W77" t="inlineStr">
        <is>
          <t>jh-p74-3268</t>
        </is>
      </c>
      <c r="X77" t="inlineStr">
        <is>
          <t>leaf herbarium</t>
        </is>
      </c>
      <c r="Y77" t="inlineStr"/>
      <c r="Z77" t="inlineStr">
        <is>
          <t>both</t>
        </is>
      </c>
    </row>
    <row r="78">
      <c r="A78" t="n">
        <v>2376</v>
      </c>
      <c r="B78" t="n">
        <v>8855</v>
      </c>
      <c r="C78" t="inlineStr">
        <is>
          <t>Annonaceae</t>
        </is>
      </c>
      <c r="D78" t="inlineStr">
        <is>
          <t>Guatteria</t>
        </is>
      </c>
      <c r="E78" t="inlineStr"/>
      <c r="F78" t="inlineStr">
        <is>
          <t>same as 3262</t>
        </is>
      </c>
      <c r="G78" t="n">
        <v>74</v>
      </c>
      <c r="H78" t="n">
        <v>2006</v>
      </c>
      <c r="I78" t="n">
        <v>4776</v>
      </c>
      <c r="J78" t="inlineStr">
        <is>
          <t>plot 74#2376</t>
        </is>
      </c>
      <c r="K78" t="n">
        <v>45.38</v>
      </c>
      <c r="L78" t="n">
        <v>-33.85</v>
      </c>
      <c r="M78" t="n">
        <v>0.01405058873294463</v>
      </c>
      <c r="N78" t="n">
        <v>0.4732566022623262</v>
      </c>
      <c r="O78" t="n">
        <v>2.730291087635397</v>
      </c>
      <c r="P78" t="n">
        <v>-35.89836431265983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inlineStr">
        <is>
          <t>completo</t>
        </is>
      </c>
      <c r="W78" t="inlineStr">
        <is>
          <t>jh-p74-4776</t>
        </is>
      </c>
      <c r="X78" t="inlineStr">
        <is>
          <t>leaf herbarium</t>
        </is>
      </c>
      <c r="Y78" t="inlineStr"/>
      <c r="Z78" t="inlineStr">
        <is>
          <t>both</t>
        </is>
      </c>
    </row>
    <row r="79">
      <c r="A79" t="n">
        <v>2380</v>
      </c>
      <c r="B79" t="n">
        <v>8863</v>
      </c>
      <c r="C79" t="inlineStr">
        <is>
          <t>Lauraceae</t>
        </is>
      </c>
      <c r="D79" t="inlineStr">
        <is>
          <t>Pleurothyrium</t>
        </is>
      </c>
      <c r="E79" t="inlineStr"/>
      <c r="F79" t="n">
        <v>3273</v>
      </c>
      <c r="G79" t="n">
        <v>74</v>
      </c>
      <c r="H79" t="n">
        <v>2006</v>
      </c>
      <c r="I79" t="n">
        <v>3273</v>
      </c>
      <c r="J79" t="inlineStr">
        <is>
          <t>plot 74 #2380</t>
        </is>
      </c>
      <c r="K79" t="n">
        <v>0.4167</v>
      </c>
      <c r="L79" t="n">
        <v>-30.94</v>
      </c>
      <c r="M79" t="n">
        <v>0.01835124645386668</v>
      </c>
      <c r="N79" t="n">
        <v>0.4594386361041782</v>
      </c>
      <c r="O79" t="n">
        <v>1.366779054434234</v>
      </c>
      <c r="P79" t="n">
        <v>-33.72877955514635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inlineStr">
        <is>
          <t>completo</t>
        </is>
      </c>
      <c r="W79" t="inlineStr">
        <is>
          <t>jh-p74-3273</t>
        </is>
      </c>
      <c r="X79" t="inlineStr">
        <is>
          <t>leaf herbarium</t>
        </is>
      </c>
      <c r="Y79" t="inlineStr"/>
      <c r="Z79" t="inlineStr">
        <is>
          <t>both</t>
        </is>
      </c>
    </row>
    <row r="80">
      <c r="A80" t="n">
        <v>2382</v>
      </c>
      <c r="B80" t="n">
        <v>8859</v>
      </c>
      <c r="C80" t="inlineStr">
        <is>
          <t>Moraceae</t>
        </is>
      </c>
      <c r="D80" t="inlineStr">
        <is>
          <t>Pseudolmedia</t>
        </is>
      </c>
      <c r="E80" t="inlineStr">
        <is>
          <t>laevigata</t>
        </is>
      </c>
      <c r="F80" t="n">
        <v>3264</v>
      </c>
      <c r="G80" t="n">
        <v>74</v>
      </c>
      <c r="H80" t="n">
        <v>2006</v>
      </c>
      <c r="I80" t="n">
        <v>3264</v>
      </c>
      <c r="J80" t="inlineStr">
        <is>
          <t>plot 74 #2382, fruits</t>
        </is>
      </c>
      <c r="K80" t="n">
        <v>46.05</v>
      </c>
      <c r="L80" t="n">
        <v>-32.28</v>
      </c>
      <c r="M80" t="n">
        <v>0.01422843163485111</v>
      </c>
      <c r="N80" t="n">
        <v>0.4337865685673303</v>
      </c>
      <c r="O80" t="n">
        <v>0.6088378551688141</v>
      </c>
      <c r="P80" t="n">
        <v>-33.77476393995763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completo</t>
        </is>
      </c>
      <c r="W80" t="inlineStr">
        <is>
          <t>jh-p74-3264</t>
        </is>
      </c>
      <c r="X80" t="inlineStr">
        <is>
          <t>leaf herbarium</t>
        </is>
      </c>
      <c r="Y80" t="inlineStr"/>
      <c r="Z80" t="inlineStr">
        <is>
          <t>both</t>
        </is>
      </c>
    </row>
    <row r="81">
      <c r="A81" t="n">
        <v>2389</v>
      </c>
      <c r="B81" t="n">
        <v>8840</v>
      </c>
      <c r="C81" t="inlineStr">
        <is>
          <t>Sapotaceae</t>
        </is>
      </c>
      <c r="D81" t="inlineStr">
        <is>
          <t>Pouteria</t>
        </is>
      </c>
      <c r="E81" t="inlineStr">
        <is>
          <t>megaphylla</t>
        </is>
      </c>
      <c r="F81" t="n">
        <v>3269</v>
      </c>
      <c r="G81" t="n">
        <v>74</v>
      </c>
      <c r="H81" t="n">
        <v>2006</v>
      </c>
      <c r="I81" t="n">
        <v>3269</v>
      </c>
      <c r="J81" t="inlineStr">
        <is>
          <t>plot 74 #2389, white latex, old flowers</t>
        </is>
      </c>
      <c r="K81" t="n">
        <v>50.65810447704</v>
      </c>
      <c r="L81" t="n">
        <v>-32.325017436298</v>
      </c>
      <c r="M81" t="inlineStr"/>
      <c r="N81" t="inlineStr"/>
      <c r="O81" t="inlineStr"/>
      <c r="P81" t="inlineStr"/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inlineStr">
        <is>
          <t>pesar bulk</t>
        </is>
      </c>
      <c r="W81" t="inlineStr">
        <is>
          <t>jh-p74-3269</t>
        </is>
      </c>
      <c r="X81" t="inlineStr">
        <is>
          <t>leaf herbarium</t>
        </is>
      </c>
      <c r="Y81" t="inlineStr"/>
      <c r="Z81" t="inlineStr">
        <is>
          <t>both</t>
        </is>
      </c>
    </row>
    <row r="82">
      <c r="A82" t="n">
        <v>2390</v>
      </c>
      <c r="B82" t="n">
        <v>8839</v>
      </c>
      <c r="C82" t="inlineStr">
        <is>
          <t>Salicaceae</t>
        </is>
      </c>
      <c r="D82" t="inlineStr">
        <is>
          <t>Tetrathylacium</t>
        </is>
      </c>
      <c r="E82" t="inlineStr">
        <is>
          <t>macrophyllum</t>
        </is>
      </c>
      <c r="F82" t="n">
        <v>3280</v>
      </c>
      <c r="G82" t="n">
        <v>74</v>
      </c>
      <c r="H82" t="n">
        <v>2006</v>
      </c>
      <c r="I82" t="n">
        <v>3280</v>
      </c>
      <c r="J82" t="inlineStr">
        <is>
          <t>plot 74 #2390</t>
        </is>
      </c>
      <c r="K82" t="n">
        <v>40.2334470281567</v>
      </c>
      <c r="L82" t="n">
        <v>-31.2685056796215</v>
      </c>
      <c r="M82" t="inlineStr"/>
      <c r="N82" t="inlineStr"/>
      <c r="O82" t="inlineStr"/>
      <c r="P82" t="inlineStr"/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inlineStr">
        <is>
          <t>pesar bulk</t>
        </is>
      </c>
      <c r="W82" t="inlineStr">
        <is>
          <t>jh-p74-3280</t>
        </is>
      </c>
      <c r="X82" t="inlineStr">
        <is>
          <t>leaf herbarium</t>
        </is>
      </c>
      <c r="Y82" t="inlineStr"/>
      <c r="Z82" t="inlineStr">
        <is>
          <t>both</t>
        </is>
      </c>
    </row>
    <row r="83">
      <c r="A83" t="n">
        <v>2398</v>
      </c>
      <c r="B83" t="n">
        <v>8829</v>
      </c>
      <c r="C83" t="inlineStr">
        <is>
          <t>Sapotaceae</t>
        </is>
      </c>
      <c r="D83" t="inlineStr">
        <is>
          <t>Pouteria</t>
        </is>
      </c>
      <c r="E83" t="inlineStr">
        <is>
          <t>vernicosa</t>
        </is>
      </c>
      <c r="F83" t="inlineStr"/>
      <c r="G83" t="n">
        <v>74</v>
      </c>
      <c r="H83" t="n">
        <v>2006</v>
      </c>
      <c r="I83" t="n">
        <v>4779</v>
      </c>
      <c r="J83" t="inlineStr">
        <is>
          <t>plot 74#2398</t>
        </is>
      </c>
      <c r="K83" t="n">
        <v>45.05</v>
      </c>
      <c r="L83" t="n">
        <v>-30.27</v>
      </c>
      <c r="M83" t="n">
        <v>0.0178011137973586</v>
      </c>
      <c r="N83" t="n">
        <v>0.4617284294536678</v>
      </c>
      <c r="O83" t="n">
        <v>0.9498755270394895</v>
      </c>
      <c r="P83" t="n">
        <v>-32.69077831660897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completo</t>
        </is>
      </c>
      <c r="W83" t="inlineStr">
        <is>
          <t>jh-p74-4779</t>
        </is>
      </c>
      <c r="X83" t="inlineStr">
        <is>
          <t>leaf herbarium</t>
        </is>
      </c>
      <c r="Y83" t="inlineStr"/>
      <c r="Z83" t="inlineStr">
        <is>
          <t>both</t>
        </is>
      </c>
    </row>
    <row r="84">
      <c r="A84" t="inlineStr">
        <is>
          <t>2395</t>
        </is>
      </c>
      <c r="B84" t="inlineStr"/>
      <c r="C84" t="inlineStr">
        <is>
          <t>Melastomataceae</t>
        </is>
      </c>
      <c r="D84" t="inlineStr"/>
      <c r="E84" t="inlineStr"/>
      <c r="F84" t="inlineStr"/>
      <c r="G84" t="n">
        <v>74</v>
      </c>
      <c r="H84" t="n">
        <v>2006</v>
      </c>
      <c r="I84" t="n">
        <v>4778</v>
      </c>
      <c r="J84" t="inlineStr">
        <is>
          <t>plot 74#2395</t>
        </is>
      </c>
      <c r="K84" t="inlineStr"/>
      <c r="L84" t="inlineStr"/>
      <c r="M84" t="n">
        <v>0.0225403229883901</v>
      </c>
      <c r="N84" t="n">
        <v>0.3888943536618064</v>
      </c>
      <c r="O84" t="n">
        <v>2.3873536786976</v>
      </c>
      <c r="P84" t="n">
        <v>-33.74126687691703</v>
      </c>
      <c r="Q84" t="b">
        <v>1</v>
      </c>
      <c r="R84" t="b">
        <v>0</v>
      </c>
      <c r="S84" t="b">
        <v>0</v>
      </c>
      <c r="T84" t="b">
        <v>0</v>
      </c>
      <c r="U84" t="b">
        <v>1</v>
      </c>
      <c r="V84" t="inlineStr">
        <is>
          <t>pesar celulosa</t>
        </is>
      </c>
      <c r="W84" t="inlineStr">
        <is>
          <t>jh-p74-4778</t>
        </is>
      </c>
      <c r="X84" t="inlineStr">
        <is>
          <t>leaf herbarium</t>
        </is>
      </c>
      <c r="Y84" t="inlineStr"/>
      <c r="Z84" t="inlineStr"/>
    </row>
    <row r="85">
      <c r="A85" t="n">
        <v>2133</v>
      </c>
      <c r="B85" t="n">
        <v>8876</v>
      </c>
      <c r="C85" t="inlineStr">
        <is>
          <t>Sapotaceae</t>
        </is>
      </c>
      <c r="D85" t="inlineStr">
        <is>
          <t>Pouteria</t>
        </is>
      </c>
      <c r="E85" t="inlineStr">
        <is>
          <t>torta</t>
        </is>
      </c>
      <c r="F85" t="inlineStr">
        <is>
          <t>3918</t>
        </is>
      </c>
      <c r="G85" t="n">
        <v>68</v>
      </c>
      <c r="H85" t="n">
        <v>2025</v>
      </c>
      <c r="I85" t="inlineStr"/>
      <c r="J85" t="inlineStr"/>
      <c r="K85" t="n">
        <v>45.5859024917889</v>
      </c>
      <c r="L85" t="n">
        <v>-32.2573170187671</v>
      </c>
      <c r="M85" t="n">
        <v>0.017456195</v>
      </c>
      <c r="N85" t="n">
        <v>0.481396993</v>
      </c>
      <c r="O85" t="n">
        <v>-0.6320429292929319</v>
      </c>
      <c r="P85" t="n">
        <v>-34.2009276776246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completo</t>
        </is>
      </c>
      <c r="W85" t="inlineStr">
        <is>
          <t>p68-8876</t>
        </is>
      </c>
      <c r="X85" t="inlineStr">
        <is>
          <t>leaf pulverized</t>
        </is>
      </c>
      <c r="Y85" t="inlineStr">
        <is>
          <t>p68-8876</t>
        </is>
      </c>
      <c r="Z85" t="inlineStr"/>
    </row>
    <row r="86">
      <c r="A86" t="n">
        <v>2136</v>
      </c>
      <c r="B86" t="n">
        <v>8878</v>
      </c>
      <c r="C86" t="inlineStr">
        <is>
          <t>Rubiaceae</t>
        </is>
      </c>
      <c r="D86" t="inlineStr">
        <is>
          <t>Duroia</t>
        </is>
      </c>
      <c r="E86" t="inlineStr">
        <is>
          <t>hirsuta</t>
        </is>
      </c>
      <c r="F86" t="inlineStr">
        <is>
          <t>3920</t>
        </is>
      </c>
      <c r="G86" t="n">
        <v>68</v>
      </c>
      <c r="H86" t="n">
        <v>2025</v>
      </c>
      <c r="I86" t="inlineStr"/>
      <c r="J86" t="inlineStr"/>
      <c r="K86" t="inlineStr"/>
      <c r="L86" t="inlineStr"/>
      <c r="M86" t="n">
        <v>0.017277264</v>
      </c>
      <c r="N86" t="n">
        <v>0.437306213</v>
      </c>
      <c r="O86" t="n">
        <v>1.571260101010099</v>
      </c>
      <c r="P86" t="n">
        <v>-34.25249077412514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pesar celulosa</t>
        </is>
      </c>
      <c r="W86" t="inlineStr">
        <is>
          <t>p68-8878</t>
        </is>
      </c>
      <c r="X86" t="inlineStr">
        <is>
          <t>leaf pulverized</t>
        </is>
      </c>
      <c r="Y86" t="inlineStr">
        <is>
          <t>p68-8878</t>
        </is>
      </c>
      <c r="Z86" t="inlineStr"/>
    </row>
    <row r="87">
      <c r="A87" t="n">
        <v>2139</v>
      </c>
      <c r="B87" t="n">
        <v>8870</v>
      </c>
      <c r="C87" t="inlineStr">
        <is>
          <t>Lauraceae</t>
        </is>
      </c>
      <c r="D87" t="inlineStr">
        <is>
          <t>Ocotea</t>
        </is>
      </c>
      <c r="E87" t="inlineStr"/>
      <c r="F87" t="inlineStr">
        <is>
          <t>3923</t>
        </is>
      </c>
      <c r="G87" t="n">
        <v>68</v>
      </c>
      <c r="H87" t="n">
        <v>2025</v>
      </c>
      <c r="I87" t="inlineStr"/>
      <c r="J87" t="inlineStr"/>
      <c r="K87" t="n">
        <v>42.1422622215152</v>
      </c>
      <c r="L87" t="n">
        <v>-30.1393300132719</v>
      </c>
      <c r="M87" t="n">
        <v>0.021749615</v>
      </c>
      <c r="N87" t="n">
        <v>0.495438619</v>
      </c>
      <c r="O87" t="n">
        <v>-0.5456388888888914</v>
      </c>
      <c r="P87" t="n">
        <v>-34.0256131495228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inlineStr">
        <is>
          <t>completo</t>
        </is>
      </c>
      <c r="W87" t="inlineStr">
        <is>
          <t>p68-8870</t>
        </is>
      </c>
      <c r="X87" t="inlineStr">
        <is>
          <t>leaf pulverized</t>
        </is>
      </c>
      <c r="Y87" t="inlineStr">
        <is>
          <t>p68-8870</t>
        </is>
      </c>
      <c r="Z87" t="inlineStr"/>
    </row>
    <row r="88">
      <c r="A88" t="n">
        <v>2141</v>
      </c>
      <c r="B88" t="n">
        <v>8869</v>
      </c>
      <c r="C88" t="inlineStr">
        <is>
          <t>Sapotaceae</t>
        </is>
      </c>
      <c r="D88" t="inlineStr">
        <is>
          <t>Sarcaulus</t>
        </is>
      </c>
      <c r="E88" t="inlineStr">
        <is>
          <t>aff. oblatus</t>
        </is>
      </c>
      <c r="F88" t="inlineStr">
        <is>
          <t>3924</t>
        </is>
      </c>
      <c r="G88" t="n">
        <v>68</v>
      </c>
      <c r="H88" t="n">
        <v>2025</v>
      </c>
      <c r="I88" t="n">
        <v>8869</v>
      </c>
      <c r="J88" t="inlineStr"/>
      <c r="K88" t="n">
        <v>44.54</v>
      </c>
      <c r="L88" t="n">
        <v>-29.77</v>
      </c>
      <c r="M88" t="n">
        <v>0.01245650406992576</v>
      </c>
      <c r="N88" t="n">
        <v>0.4623296600125005</v>
      </c>
      <c r="O88" t="n">
        <v>0.2163299630070622</v>
      </c>
      <c r="P88" t="n">
        <v>-32.72903641196186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completo</t>
        </is>
      </c>
      <c r="W88" t="inlineStr">
        <is>
          <t>p68-8869</t>
        </is>
      </c>
      <c r="X88" t="inlineStr">
        <is>
          <t>leaf pulverized</t>
        </is>
      </c>
      <c r="Y88" t="inlineStr"/>
      <c r="Z88" t="inlineStr"/>
    </row>
    <row r="89">
      <c r="A89" t="n">
        <v>2142</v>
      </c>
      <c r="B89" t="n">
        <v>8867</v>
      </c>
      <c r="C89" t="inlineStr">
        <is>
          <t>Rhizophoraceae</t>
        </is>
      </c>
      <c r="D89" t="inlineStr">
        <is>
          <t>Cassipourea</t>
        </is>
      </c>
      <c r="E89" t="inlineStr">
        <is>
          <t>guianensis</t>
        </is>
      </c>
      <c r="F89" t="inlineStr">
        <is>
          <t>3925</t>
        </is>
      </c>
      <c r="G89" t="n">
        <v>68</v>
      </c>
      <c r="H89" t="n">
        <v>2025</v>
      </c>
      <c r="I89" t="inlineStr"/>
      <c r="J89" t="inlineStr"/>
      <c r="K89" t="n">
        <v>0.4051</v>
      </c>
      <c r="L89" t="n">
        <v>-31.99</v>
      </c>
      <c r="M89" t="n">
        <v>0.020640948</v>
      </c>
      <c r="N89" t="n">
        <v>0.440605127</v>
      </c>
      <c r="O89" t="n">
        <v>1.538858585858584</v>
      </c>
      <c r="P89" t="n">
        <v>-34.17514612937434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completo</t>
        </is>
      </c>
      <c r="W89" t="inlineStr">
        <is>
          <t>p68-8867</t>
        </is>
      </c>
      <c r="X89" t="inlineStr">
        <is>
          <t>leaf pulverized</t>
        </is>
      </c>
      <c r="Y89" t="inlineStr">
        <is>
          <t>p68-8867</t>
        </is>
      </c>
      <c r="Z89" t="inlineStr"/>
    </row>
    <row r="90">
      <c r="A90" t="n">
        <v>2142</v>
      </c>
      <c r="B90" t="n">
        <v>8867</v>
      </c>
      <c r="C90" t="inlineStr">
        <is>
          <t>Rhizophoraceae</t>
        </is>
      </c>
      <c r="D90" t="inlineStr">
        <is>
          <t>Cassipourea</t>
        </is>
      </c>
      <c r="E90" t="inlineStr">
        <is>
          <t>guianensis</t>
        </is>
      </c>
      <c r="F90" t="inlineStr">
        <is>
          <t>3925</t>
        </is>
      </c>
      <c r="G90" t="n">
        <v>68</v>
      </c>
      <c r="H90" t="n">
        <v>2025</v>
      </c>
      <c r="I90" t="inlineStr"/>
      <c r="J90" t="inlineStr"/>
      <c r="K90" t="n">
        <v>38.7624607513581</v>
      </c>
      <c r="L90" t="n">
        <v>-31.9057679989876</v>
      </c>
      <c r="M90" t="n">
        <v>0.020640948</v>
      </c>
      <c r="N90" t="n">
        <v>0.440605127</v>
      </c>
      <c r="O90" t="n">
        <v>1.538858585858584</v>
      </c>
      <c r="P90" t="n">
        <v>-34.17514612937434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completo</t>
        </is>
      </c>
      <c r="W90" t="inlineStr">
        <is>
          <t>p68-8867</t>
        </is>
      </c>
      <c r="X90" t="inlineStr">
        <is>
          <t>leaf pulverized</t>
        </is>
      </c>
      <c r="Y90" t="inlineStr">
        <is>
          <t>p68-8867</t>
        </is>
      </c>
      <c r="Z90" t="inlineStr"/>
    </row>
    <row r="91">
      <c r="A91" t="n">
        <v>2146</v>
      </c>
      <c r="B91" t="n">
        <v>8865</v>
      </c>
      <c r="C91" t="inlineStr">
        <is>
          <t>Violaceae</t>
        </is>
      </c>
      <c r="D91" t="inlineStr">
        <is>
          <t>Leonia</t>
        </is>
      </c>
      <c r="E91" t="inlineStr">
        <is>
          <t>glycycarpa</t>
        </is>
      </c>
      <c r="F91" t="inlineStr">
        <is>
          <t>3928</t>
        </is>
      </c>
      <c r="G91" t="n">
        <v>68</v>
      </c>
      <c r="H91" t="n">
        <v>2025</v>
      </c>
      <c r="I91" t="n">
        <v>9865</v>
      </c>
      <c r="J91" t="inlineStr"/>
      <c r="K91" t="n">
        <v>50.7386705764376</v>
      </c>
      <c r="L91" t="n">
        <v>-32.9258451761764</v>
      </c>
      <c r="M91" t="n">
        <v>0.02234992814914083</v>
      </c>
      <c r="N91" t="n">
        <v>0.4489033340843991</v>
      </c>
      <c r="O91" t="n">
        <v>2.108676665915091</v>
      </c>
      <c r="P91" t="n">
        <v>-33.46661356502295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completo</t>
        </is>
      </c>
      <c r="W91" t="inlineStr">
        <is>
          <t>p68-8865</t>
        </is>
      </c>
      <c r="X91" t="inlineStr">
        <is>
          <t>leaf pulverized</t>
        </is>
      </c>
      <c r="Y91" t="inlineStr"/>
      <c r="Z91" t="inlineStr"/>
    </row>
    <row r="92">
      <c r="A92" t="n">
        <v>2147</v>
      </c>
      <c r="B92" t="n">
        <v>8889</v>
      </c>
      <c r="C92" t="inlineStr">
        <is>
          <t>Euphorbiaceae</t>
        </is>
      </c>
      <c r="D92" t="inlineStr">
        <is>
          <t>Pseudosenefeldera</t>
        </is>
      </c>
      <c r="E92" t="inlineStr">
        <is>
          <t>inclinata</t>
        </is>
      </c>
      <c r="F92" t="inlineStr"/>
      <c r="G92" t="n">
        <v>68</v>
      </c>
      <c r="H92" t="n">
        <v>2025</v>
      </c>
      <c r="I92" t="inlineStr"/>
      <c r="J92" t="inlineStr"/>
      <c r="K92" t="n">
        <v>41.9886199891232</v>
      </c>
      <c r="L92" t="n">
        <v>-30.4633399452444</v>
      </c>
      <c r="M92" t="n">
        <v>0.024841004</v>
      </c>
      <c r="N92" t="n">
        <v>0.404913041</v>
      </c>
      <c r="O92" t="n">
        <v>1.312047979797978</v>
      </c>
      <c r="P92" t="n">
        <v>-31.78777476139979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completo</t>
        </is>
      </c>
      <c r="W92" t="inlineStr">
        <is>
          <t>p68-8889</t>
        </is>
      </c>
      <c r="X92" t="inlineStr">
        <is>
          <t>leaf pulverized</t>
        </is>
      </c>
      <c r="Y92" t="inlineStr">
        <is>
          <t>p68-8889</t>
        </is>
      </c>
      <c r="Z92" t="inlineStr"/>
    </row>
    <row r="93">
      <c r="A93" t="n">
        <v>2148</v>
      </c>
      <c r="B93" t="n">
        <v>8888</v>
      </c>
      <c r="C93" t="inlineStr">
        <is>
          <t>Simaroubaceae</t>
        </is>
      </c>
      <c r="D93" t="inlineStr">
        <is>
          <t>Simaba</t>
        </is>
      </c>
      <c r="E93" t="inlineStr">
        <is>
          <t>polyphylla</t>
        </is>
      </c>
      <c r="F93" t="inlineStr">
        <is>
          <t>3929</t>
        </is>
      </c>
      <c r="G93" t="n">
        <v>68</v>
      </c>
      <c r="H93" t="n">
        <v>2025</v>
      </c>
      <c r="I93" t="inlineStr"/>
      <c r="J93" t="inlineStr"/>
      <c r="K93" t="n">
        <v>45.0545859187322</v>
      </c>
      <c r="L93" t="n">
        <v>-33.0441162369113</v>
      </c>
      <c r="M93" t="n">
        <v>0.011420399</v>
      </c>
      <c r="N93" t="n">
        <v>0.430948024</v>
      </c>
      <c r="O93" t="n">
        <v>2.435300505050503</v>
      </c>
      <c r="P93" t="n">
        <v>-34.86093531283139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completo</t>
        </is>
      </c>
      <c r="W93" t="inlineStr">
        <is>
          <t>p68-8888</t>
        </is>
      </c>
      <c r="X93" t="inlineStr">
        <is>
          <t>leaf pulverized</t>
        </is>
      </c>
      <c r="Y93" t="inlineStr">
        <is>
          <t>p68-8888</t>
        </is>
      </c>
      <c r="Z93" t="inlineStr"/>
    </row>
    <row r="94">
      <c r="A94" t="n">
        <v>2154</v>
      </c>
      <c r="B94" t="n">
        <v>8885</v>
      </c>
      <c r="C94" t="inlineStr">
        <is>
          <t>Apocynaceae</t>
        </is>
      </c>
      <c r="D94" t="inlineStr">
        <is>
          <t>Aspidosperma</t>
        </is>
      </c>
      <c r="E94" t="inlineStr">
        <is>
          <t>aff. excelsum</t>
        </is>
      </c>
      <c r="F94" t="inlineStr">
        <is>
          <t>3921</t>
        </is>
      </c>
      <c r="G94" t="n">
        <v>68</v>
      </c>
      <c r="H94" t="n">
        <v>2025</v>
      </c>
      <c r="I94" t="inlineStr"/>
      <c r="J94" t="inlineStr"/>
      <c r="K94" t="inlineStr"/>
      <c r="L94" t="inlineStr"/>
      <c r="M94" t="n">
        <v>0.015294916</v>
      </c>
      <c r="N94" t="n">
        <v>0.488282508</v>
      </c>
      <c r="O94" t="n">
        <v>0.8692272727272705</v>
      </c>
      <c r="P94" t="n">
        <v>-33.91217433722163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pesar celulosa</t>
        </is>
      </c>
      <c r="W94" t="inlineStr">
        <is>
          <t>p68-8885</t>
        </is>
      </c>
      <c r="X94" t="inlineStr">
        <is>
          <t>leaf pulverized</t>
        </is>
      </c>
      <c r="Y94" t="inlineStr">
        <is>
          <t>p68-8885</t>
        </is>
      </c>
      <c r="Z94" t="inlineStr"/>
    </row>
    <row r="95">
      <c r="A95" t="n">
        <v>2155</v>
      </c>
      <c r="B95" t="n">
        <v>8883</v>
      </c>
      <c r="C95" t="inlineStr">
        <is>
          <t>Melastomataceae</t>
        </is>
      </c>
      <c r="D95" t="inlineStr">
        <is>
          <t>Miconia</t>
        </is>
      </c>
      <c r="E95" t="inlineStr">
        <is>
          <t>sp</t>
        </is>
      </c>
      <c r="F95">
        <f>3899</f>
        <v/>
      </c>
      <c r="G95" t="n">
        <v>68</v>
      </c>
      <c r="H95" t="n">
        <v>2025</v>
      </c>
      <c r="I95" t="inlineStr"/>
      <c r="J95" t="inlineStr"/>
      <c r="K95" t="n">
        <v>40.9764178729058</v>
      </c>
      <c r="L95" t="n">
        <v>-30.0244515471261</v>
      </c>
      <c r="M95" t="n">
        <v>0.014952077</v>
      </c>
      <c r="N95" t="n">
        <v>0.406260288</v>
      </c>
      <c r="O95" t="n">
        <v>2.392098484848483</v>
      </c>
      <c r="P95" t="n">
        <v>-31.90121357370095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completo</t>
        </is>
      </c>
      <c r="W95" t="inlineStr">
        <is>
          <t>p68-8883</t>
        </is>
      </c>
      <c r="X95" t="inlineStr">
        <is>
          <t>leaf pulverized</t>
        </is>
      </c>
      <c r="Y95" t="inlineStr">
        <is>
          <t>p68-8883</t>
        </is>
      </c>
      <c r="Z95" t="inlineStr"/>
    </row>
    <row r="96">
      <c r="A96" t="inlineStr"/>
      <c r="B96" t="n">
        <v>8640</v>
      </c>
      <c r="C96" t="inlineStr"/>
      <c r="D96" t="inlineStr"/>
      <c r="E96" t="inlineStr"/>
      <c r="F96" t="inlineStr"/>
      <c r="G96" t="n">
        <v>68</v>
      </c>
      <c r="H96" t="n">
        <v>2025</v>
      </c>
      <c r="I96" t="n">
        <v>8640</v>
      </c>
      <c r="J96" t="inlineStr"/>
      <c r="K96" t="n">
        <v>44.8257164326167</v>
      </c>
      <c r="L96" t="n">
        <v>-27.3770370113265</v>
      </c>
      <c r="M96" t="inlineStr"/>
      <c r="N96" t="inlineStr"/>
      <c r="O96" t="inlineStr"/>
      <c r="P96" t="inlineStr"/>
      <c r="Q96" t="b">
        <v>0</v>
      </c>
      <c r="R96" t="b">
        <v>1</v>
      </c>
      <c r="S96" t="b">
        <v>0</v>
      </c>
      <c r="T96" t="b">
        <v>1</v>
      </c>
      <c r="U96" t="b">
        <v>1</v>
      </c>
      <c r="V96" t="inlineStr">
        <is>
          <t>pesar bulk; falta familia</t>
        </is>
      </c>
      <c r="W96" t="inlineStr">
        <is>
          <t>p68-8640</t>
        </is>
      </c>
      <c r="X96" t="inlineStr">
        <is>
          <t>leaf pulverized</t>
        </is>
      </c>
      <c r="Y96" t="inlineStr"/>
      <c r="Z96" t="inlineStr"/>
    </row>
    <row r="97">
      <c r="A97" t="n">
        <v>2167</v>
      </c>
      <c r="B97" t="n">
        <v>3609</v>
      </c>
      <c r="C97" t="inlineStr">
        <is>
          <t>Euphorbiaceae</t>
        </is>
      </c>
      <c r="D97" t="inlineStr">
        <is>
          <t>Pseudosenefeldera</t>
        </is>
      </c>
      <c r="E97" t="inlineStr">
        <is>
          <t>inclinata</t>
        </is>
      </c>
      <c r="F97" t="inlineStr"/>
      <c r="G97" t="n">
        <v>69</v>
      </c>
      <c r="H97" t="n">
        <v>2025</v>
      </c>
      <c r="I97" t="inlineStr"/>
      <c r="J97" t="inlineStr"/>
      <c r="K97" t="n">
        <v>42.2153607736312</v>
      </c>
      <c r="L97" t="n">
        <v>-30.6732666344141</v>
      </c>
      <c r="M97" t="n">
        <v>0.02341087029895825</v>
      </c>
      <c r="N97" t="n">
        <v>0.433943697942952</v>
      </c>
      <c r="O97" t="n">
        <v>-0.63</v>
      </c>
      <c r="P97" t="n">
        <v>-32.26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completo</t>
        </is>
      </c>
      <c r="W97" t="inlineStr">
        <is>
          <t>p69-3609</t>
        </is>
      </c>
      <c r="X97" t="inlineStr">
        <is>
          <t>leaf pulverized</t>
        </is>
      </c>
      <c r="Y97" t="inlineStr">
        <is>
          <t>p69-3609</t>
        </is>
      </c>
      <c r="Z97" t="inlineStr"/>
    </row>
    <row r="98">
      <c r="A98" t="n">
        <v>2171</v>
      </c>
      <c r="B98" t="n">
        <v>3605</v>
      </c>
      <c r="C98" t="inlineStr">
        <is>
          <t>Moraceae</t>
        </is>
      </c>
      <c r="D98" t="inlineStr">
        <is>
          <t>Ficus</t>
        </is>
      </c>
      <c r="E98" t="inlineStr">
        <is>
          <t>pulchella</t>
        </is>
      </c>
      <c r="F98" t="inlineStr">
        <is>
          <t>3841</t>
        </is>
      </c>
      <c r="G98" t="n">
        <v>69</v>
      </c>
      <c r="H98" t="n">
        <v>2025</v>
      </c>
      <c r="I98" t="inlineStr"/>
      <c r="J98" t="inlineStr"/>
      <c r="K98" t="n">
        <v>0.3583</v>
      </c>
      <c r="L98" t="n">
        <v>-29.27</v>
      </c>
      <c r="M98" t="n">
        <v>0.02213145516022583</v>
      </c>
      <c r="N98" t="n">
        <v>0.4282614261488554</v>
      </c>
      <c r="O98" t="n">
        <v>0.46</v>
      </c>
      <c r="P98" t="n">
        <v>-31.85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completo</t>
        </is>
      </c>
      <c r="W98" t="inlineStr">
        <is>
          <t>p69-3605</t>
        </is>
      </c>
      <c r="X98" t="inlineStr">
        <is>
          <t>leaf pulverized</t>
        </is>
      </c>
      <c r="Y98" t="inlineStr">
        <is>
          <t>p69-3605</t>
        </is>
      </c>
      <c r="Z98" t="inlineStr"/>
    </row>
    <row r="99">
      <c r="A99" t="n">
        <v>2171</v>
      </c>
      <c r="B99" t="n">
        <v>3605</v>
      </c>
      <c r="C99" t="inlineStr">
        <is>
          <t>Moraceae</t>
        </is>
      </c>
      <c r="D99" t="inlineStr">
        <is>
          <t>Ficus</t>
        </is>
      </c>
      <c r="E99" t="inlineStr">
        <is>
          <t>pulchella</t>
        </is>
      </c>
      <c r="F99" t="inlineStr">
        <is>
          <t>3841</t>
        </is>
      </c>
      <c r="G99" t="n">
        <v>69</v>
      </c>
      <c r="H99" t="n">
        <v>2025</v>
      </c>
      <c r="I99" t="inlineStr"/>
      <c r="J99" t="inlineStr"/>
      <c r="K99" t="n">
        <v>34.9329096455498</v>
      </c>
      <c r="L99" t="n">
        <v>-29.1899606205167</v>
      </c>
      <c r="M99" t="n">
        <v>0.02213145516022583</v>
      </c>
      <c r="N99" t="n">
        <v>0.4282614261488554</v>
      </c>
      <c r="O99" t="n">
        <v>0.46</v>
      </c>
      <c r="P99" t="n">
        <v>-31.85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completo</t>
        </is>
      </c>
      <c r="W99" t="inlineStr">
        <is>
          <t>p69-3605</t>
        </is>
      </c>
      <c r="X99" t="inlineStr">
        <is>
          <t>leaf pulverized</t>
        </is>
      </c>
      <c r="Y99" t="inlineStr">
        <is>
          <t>p69-3605</t>
        </is>
      </c>
      <c r="Z99" t="inlineStr"/>
    </row>
    <row r="100">
      <c r="A100" t="n">
        <v>2172</v>
      </c>
      <c r="B100" t="n">
        <v>3606</v>
      </c>
      <c r="C100" t="inlineStr">
        <is>
          <t>Moraceae</t>
        </is>
      </c>
      <c r="D100" t="inlineStr">
        <is>
          <t>Batocarpus</t>
        </is>
      </c>
      <c r="E100" t="inlineStr">
        <is>
          <t>orinocensis</t>
        </is>
      </c>
      <c r="F100" t="inlineStr">
        <is>
          <t>3842</t>
        </is>
      </c>
      <c r="G100" t="n">
        <v>69</v>
      </c>
      <c r="H100" t="n">
        <v>2025</v>
      </c>
      <c r="I100" t="inlineStr"/>
      <c r="J100" t="inlineStr"/>
      <c r="K100" t="n">
        <v>45.5937982420793</v>
      </c>
      <c r="L100" t="n">
        <v>-30.7104219532734</v>
      </c>
      <c r="M100" t="n">
        <v>0.02485796670088971</v>
      </c>
      <c r="N100" t="n">
        <v>0.4378430142968719</v>
      </c>
      <c r="O100" t="n">
        <v>0.12</v>
      </c>
      <c r="P100" t="n">
        <v>-31.98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completo</t>
        </is>
      </c>
      <c r="W100" t="inlineStr">
        <is>
          <t>p69-3606</t>
        </is>
      </c>
      <c r="X100" t="inlineStr">
        <is>
          <t>leaf pulverized</t>
        </is>
      </c>
      <c r="Y100" t="inlineStr">
        <is>
          <t>p69-3606</t>
        </is>
      </c>
      <c r="Z100" t="inlineStr"/>
    </row>
    <row r="101">
      <c r="A101" t="n">
        <v>2177</v>
      </c>
      <c r="B101" t="n">
        <v>3617</v>
      </c>
      <c r="C101" t="inlineStr">
        <is>
          <t>Fabaceae</t>
        </is>
      </c>
      <c r="D101" t="inlineStr">
        <is>
          <t>Browneopsis</t>
        </is>
      </c>
      <c r="E101" t="inlineStr">
        <is>
          <t>ucayalina</t>
        </is>
      </c>
      <c r="F101" t="inlineStr">
        <is>
          <t>3844</t>
        </is>
      </c>
      <c r="G101" t="n">
        <v>69</v>
      </c>
      <c r="H101" t="n">
        <v>2025</v>
      </c>
      <c r="I101" t="inlineStr"/>
      <c r="J101" t="inlineStr"/>
      <c r="K101" t="n">
        <v>42.5482890591904</v>
      </c>
      <c r="L101" t="n">
        <v>-30.1388182040637</v>
      </c>
      <c r="M101" t="n">
        <v>0.01853964833900083</v>
      </c>
      <c r="N101" t="n">
        <v>0.4430114955907127</v>
      </c>
      <c r="O101" t="n">
        <v>2.34</v>
      </c>
      <c r="P101" t="n">
        <v>-32.61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completo</t>
        </is>
      </c>
      <c r="W101" t="inlineStr">
        <is>
          <t>p69-8617</t>
        </is>
      </c>
      <c r="X101" t="inlineStr">
        <is>
          <t>leaf pulverized</t>
        </is>
      </c>
      <c r="Y101" t="inlineStr">
        <is>
          <t>p69-8617</t>
        </is>
      </c>
      <c r="Z101" t="inlineStr"/>
    </row>
    <row r="102">
      <c r="A102" t="n">
        <v>2179</v>
      </c>
      <c r="B102" t="n">
        <v>3619</v>
      </c>
      <c r="C102" t="inlineStr">
        <is>
          <t>Salicaceae</t>
        </is>
      </c>
      <c r="D102" t="inlineStr">
        <is>
          <t>Tetrathylacium</t>
        </is>
      </c>
      <c r="E102" t="inlineStr">
        <is>
          <t>macrophyllum</t>
        </is>
      </c>
      <c r="F102" t="inlineStr"/>
      <c r="G102" t="n">
        <v>69</v>
      </c>
      <c r="H102" t="n">
        <v>2025</v>
      </c>
      <c r="I102" t="inlineStr"/>
      <c r="J102" t="inlineStr"/>
      <c r="K102" t="n">
        <v>43.2832197782582</v>
      </c>
      <c r="L102" t="n">
        <v>-32.3631333555326</v>
      </c>
      <c r="M102" t="n">
        <v>0.01915534221097701</v>
      </c>
      <c r="N102" t="n">
        <v>0.4350616092673997</v>
      </c>
      <c r="O102" t="n">
        <v>-0.12</v>
      </c>
      <c r="P102" t="n">
        <v>-34.07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completo</t>
        </is>
      </c>
      <c r="W102" t="inlineStr">
        <is>
          <t>p69-3619</t>
        </is>
      </c>
      <c r="X102" t="inlineStr">
        <is>
          <t>leaf pulverized</t>
        </is>
      </c>
      <c r="Y102" t="inlineStr">
        <is>
          <t>p69-3619</t>
        </is>
      </c>
      <c r="Z102" t="inlineStr"/>
    </row>
    <row r="103">
      <c r="A103" t="n">
        <v>2180</v>
      </c>
      <c r="B103" t="n">
        <v>3612</v>
      </c>
      <c r="C103" t="inlineStr">
        <is>
          <t>Myristicaceae</t>
        </is>
      </c>
      <c r="D103" t="inlineStr">
        <is>
          <t>Otoba</t>
        </is>
      </c>
      <c r="E103" t="inlineStr">
        <is>
          <t>parvifolia</t>
        </is>
      </c>
      <c r="F103" t="inlineStr"/>
      <c r="G103" t="n">
        <v>69</v>
      </c>
      <c r="H103" t="n">
        <v>2025</v>
      </c>
      <c r="I103" t="inlineStr"/>
      <c r="J103" t="inlineStr"/>
      <c r="K103" t="n">
        <v>49.475400021233</v>
      </c>
      <c r="L103" t="n">
        <v>-30.3754078922675</v>
      </c>
      <c r="M103" t="n">
        <v>0.0144700480896215</v>
      </c>
      <c r="N103" t="n">
        <v>0.4792818843283498</v>
      </c>
      <c r="O103" t="n">
        <v>-0.86</v>
      </c>
      <c r="P103" t="n">
        <v>-31.62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completo</t>
        </is>
      </c>
      <c r="W103" t="inlineStr">
        <is>
          <t>p69-3612</t>
        </is>
      </c>
      <c r="X103" t="inlineStr">
        <is>
          <t>leaf pulverized</t>
        </is>
      </c>
      <c r="Y103" t="inlineStr">
        <is>
          <t>p69-3612</t>
        </is>
      </c>
      <c r="Z103" t="inlineStr"/>
    </row>
    <row r="104">
      <c r="A104" t="n">
        <v>2184</v>
      </c>
      <c r="B104" t="n">
        <v>8892</v>
      </c>
      <c r="C104" t="inlineStr">
        <is>
          <t>Rubiaceae</t>
        </is>
      </c>
      <c r="D104" t="inlineStr">
        <is>
          <t>Pentagonia</t>
        </is>
      </c>
      <c r="E104" t="inlineStr">
        <is>
          <t>amazonica</t>
        </is>
      </c>
      <c r="F104" t="inlineStr">
        <is>
          <t>3847</t>
        </is>
      </c>
      <c r="G104" t="n">
        <v>69</v>
      </c>
      <c r="H104" t="n">
        <v>2025</v>
      </c>
      <c r="I104" t="inlineStr"/>
      <c r="J104" t="inlineStr"/>
      <c r="K104" t="n">
        <v>42.8070573375508</v>
      </c>
      <c r="L104" t="n">
        <v>-32.6885972072656</v>
      </c>
      <c r="M104" t="n">
        <v>0.01810419616968846</v>
      </c>
      <c r="N104" t="n">
        <v>0.4657246583502926</v>
      </c>
      <c r="O104" t="n">
        <v>2.56</v>
      </c>
      <c r="P104" t="n">
        <v>-34.8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completo</t>
        </is>
      </c>
      <c r="W104" t="inlineStr">
        <is>
          <t>p69-8892</t>
        </is>
      </c>
      <c r="X104" t="inlineStr">
        <is>
          <t>leaf pulverized</t>
        </is>
      </c>
      <c r="Y104" t="inlineStr">
        <is>
          <t>p69-8892</t>
        </is>
      </c>
      <c r="Z104" t="inlineStr"/>
    </row>
    <row r="105">
      <c r="A105" t="n">
        <v>2185</v>
      </c>
      <c r="B105" t="n">
        <v>8891</v>
      </c>
      <c r="C105" t="inlineStr">
        <is>
          <t>Sapindaceae</t>
        </is>
      </c>
      <c r="D105" t="inlineStr">
        <is>
          <t>Allophylus</t>
        </is>
      </c>
      <c r="E105" t="inlineStr">
        <is>
          <t>punctatus</t>
        </is>
      </c>
      <c r="F105" t="inlineStr">
        <is>
          <t>3848</t>
        </is>
      </c>
      <c r="G105" t="n">
        <v>69</v>
      </c>
      <c r="H105" t="n">
        <v>2025</v>
      </c>
      <c r="I105" t="inlineStr"/>
      <c r="J105" t="inlineStr"/>
      <c r="K105" t="n">
        <v>42.1646348035949</v>
      </c>
      <c r="L105" t="n">
        <v>-32.95862784708</v>
      </c>
      <c r="M105" t="n">
        <v>0.02990649007833678</v>
      </c>
      <c r="N105" t="n">
        <v>0.442290096180273</v>
      </c>
      <c r="O105" t="n">
        <v>-0.03</v>
      </c>
      <c r="P105" t="n">
        <v>-35.22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completo</t>
        </is>
      </c>
      <c r="W105" t="inlineStr">
        <is>
          <t>p69-8891</t>
        </is>
      </c>
      <c r="X105" t="inlineStr">
        <is>
          <t>leaf pulverized</t>
        </is>
      </c>
      <c r="Y105" t="inlineStr">
        <is>
          <t>p69-8891</t>
        </is>
      </c>
      <c r="Z105" t="inlineStr"/>
    </row>
    <row r="106">
      <c r="A106" t="n">
        <v>2190</v>
      </c>
      <c r="B106" t="n">
        <v>8899</v>
      </c>
      <c r="C106" t="inlineStr">
        <is>
          <t>Lacistemataceae</t>
        </is>
      </c>
      <c r="D106" t="inlineStr">
        <is>
          <t>Lozania</t>
        </is>
      </c>
      <c r="E106" t="inlineStr">
        <is>
          <t>klugii</t>
        </is>
      </c>
      <c r="F106" t="inlineStr">
        <is>
          <t>3850</t>
        </is>
      </c>
      <c r="G106" t="n">
        <v>69</v>
      </c>
      <c r="H106" t="n">
        <v>2025</v>
      </c>
      <c r="I106" t="n">
        <v>8899</v>
      </c>
      <c r="J106" t="inlineStr"/>
      <c r="K106" t="n">
        <v>45.58</v>
      </c>
      <c r="L106" t="n">
        <v>-31.71</v>
      </c>
      <c r="M106" t="n">
        <v>0.02424633156897932</v>
      </c>
      <c r="N106" t="n">
        <v>0.458128613555163</v>
      </c>
      <c r="O106" t="n">
        <v>1.196791821189593</v>
      </c>
      <c r="P106" t="n">
        <v>-33.40482562381237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completo</t>
        </is>
      </c>
      <c r="W106" t="inlineStr">
        <is>
          <t>p69-8899</t>
        </is>
      </c>
      <c r="X106" t="inlineStr">
        <is>
          <t>leaf pulverized</t>
        </is>
      </c>
      <c r="Y106" t="inlineStr"/>
      <c r="Z106" t="inlineStr"/>
    </row>
    <row r="107">
      <c r="A107" t="n">
        <v>2191</v>
      </c>
      <c r="B107" t="n">
        <v>8898</v>
      </c>
      <c r="C107" t="inlineStr">
        <is>
          <t>Euphorbiaceae</t>
        </is>
      </c>
      <c r="D107" t="inlineStr">
        <is>
          <t>Pseudosenefeldera</t>
        </is>
      </c>
      <c r="E107" t="inlineStr">
        <is>
          <t>inclinata</t>
        </is>
      </c>
      <c r="F107" t="inlineStr"/>
      <c r="G107" t="n">
        <v>69</v>
      </c>
      <c r="H107" t="n">
        <v>2025</v>
      </c>
      <c r="I107" t="inlineStr"/>
      <c r="J107" t="inlineStr"/>
      <c r="K107" t="n">
        <v>41.0106971326434</v>
      </c>
      <c r="L107" t="n">
        <v>-31.2602916893349</v>
      </c>
      <c r="M107" t="n">
        <v>0.02685294930046833</v>
      </c>
      <c r="N107" t="n">
        <v>0.4356585352943561</v>
      </c>
      <c r="O107" t="n">
        <v>0.66</v>
      </c>
      <c r="P107" t="n">
        <v>-33.2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completo</t>
        </is>
      </c>
      <c r="W107" t="inlineStr">
        <is>
          <t>p69-8898</t>
        </is>
      </c>
      <c r="X107" t="inlineStr">
        <is>
          <t>leaf pulverized</t>
        </is>
      </c>
      <c r="Y107" t="inlineStr">
        <is>
          <t>p69-8898</t>
        </is>
      </c>
      <c r="Z107" t="inlineStr"/>
    </row>
    <row r="108">
      <c r="A108" t="n">
        <v>2195</v>
      </c>
      <c r="B108" t="n">
        <v>8895</v>
      </c>
      <c r="C108" t="inlineStr">
        <is>
          <t>Celastraceae</t>
        </is>
      </c>
      <c r="D108" t="inlineStr">
        <is>
          <t>Salacia</t>
        </is>
      </c>
      <c r="E108" t="inlineStr">
        <is>
          <t>aff. cordata</t>
        </is>
      </c>
      <c r="F108" t="inlineStr">
        <is>
          <t>3852</t>
        </is>
      </c>
      <c r="G108" t="n">
        <v>69</v>
      </c>
      <c r="H108" t="n">
        <v>2025</v>
      </c>
      <c r="I108" t="inlineStr"/>
      <c r="J108" t="inlineStr"/>
      <c r="K108" t="n">
        <v>48.7370403004821</v>
      </c>
      <c r="L108" t="n">
        <v>-35.0508631508533</v>
      </c>
      <c r="M108" t="n">
        <v>0.02466862000311886</v>
      </c>
      <c r="N108" t="n">
        <v>0.4874293332468896</v>
      </c>
      <c r="O108" t="n">
        <v>2.82</v>
      </c>
      <c r="P108" t="n">
        <v>-36.94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completo</t>
        </is>
      </c>
      <c r="W108" t="inlineStr">
        <is>
          <t>p69-8895</t>
        </is>
      </c>
      <c r="X108" t="inlineStr">
        <is>
          <t>leaf pulverized</t>
        </is>
      </c>
      <c r="Y108" t="inlineStr">
        <is>
          <t>p69-8895</t>
        </is>
      </c>
      <c r="Z108" t="inlineStr"/>
    </row>
    <row r="109">
      <c r="A109" t="n">
        <v>2197</v>
      </c>
      <c r="B109" t="n">
        <v>8894</v>
      </c>
      <c r="C109" t="inlineStr">
        <is>
          <t>Moraceae</t>
        </is>
      </c>
      <c r="D109" t="inlineStr">
        <is>
          <t>Brosimum</t>
        </is>
      </c>
      <c r="E109" t="inlineStr">
        <is>
          <t>lactescens</t>
        </is>
      </c>
      <c r="F109" t="inlineStr">
        <is>
          <t>3853</t>
        </is>
      </c>
      <c r="G109" t="n">
        <v>69</v>
      </c>
      <c r="H109" t="n">
        <v>2025</v>
      </c>
      <c r="I109" t="n">
        <v>8894</v>
      </c>
      <c r="J109" t="inlineStr"/>
      <c r="K109" t="n">
        <v>46.54</v>
      </c>
      <c r="L109" t="n">
        <v>-30.79</v>
      </c>
      <c r="M109" t="n">
        <v>0.01844715935121516</v>
      </c>
      <c r="N109" t="n">
        <v>0.4404883832314956</v>
      </c>
      <c r="O109" t="n">
        <v>2.494400036023943</v>
      </c>
      <c r="P109" t="n">
        <v>-32.13088081399432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completo</t>
        </is>
      </c>
      <c r="W109" t="inlineStr">
        <is>
          <t>p69-8894</t>
        </is>
      </c>
      <c r="X109" t="inlineStr">
        <is>
          <t>leaf pulverized</t>
        </is>
      </c>
      <c r="Y109" t="inlineStr"/>
      <c r="Z109" t="inlineStr"/>
    </row>
    <row r="110">
      <c r="A110" t="n">
        <v>2199</v>
      </c>
      <c r="B110" t="n">
        <v>8893</v>
      </c>
      <c r="C110" t="inlineStr">
        <is>
          <t>Moraceae</t>
        </is>
      </c>
      <c r="D110" t="inlineStr">
        <is>
          <t>Pseudolmedia</t>
        </is>
      </c>
      <c r="E110" t="inlineStr">
        <is>
          <t>macrophylla</t>
        </is>
      </c>
      <c r="F110" t="inlineStr">
        <is>
          <t>3855</t>
        </is>
      </c>
      <c r="G110" t="n">
        <v>69</v>
      </c>
      <c r="H110" t="n">
        <v>2025</v>
      </c>
      <c r="I110" t="n">
        <v>8893</v>
      </c>
      <c r="J110" t="inlineStr"/>
      <c r="K110" t="n">
        <v>43.4988316896495</v>
      </c>
      <c r="L110" t="n">
        <v>-33.7079403532742</v>
      </c>
      <c r="M110" t="n">
        <v>0.0140003582445462</v>
      </c>
      <c r="N110" t="n">
        <v>0.3883734423353893</v>
      </c>
      <c r="O110" t="n">
        <v>0.8692445291019997</v>
      </c>
      <c r="P110" t="n">
        <v>-35.5916730458568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completo</t>
        </is>
      </c>
      <c r="W110" t="inlineStr">
        <is>
          <t>p69-8893</t>
        </is>
      </c>
      <c r="X110" t="inlineStr">
        <is>
          <t>leaf pulverized</t>
        </is>
      </c>
      <c r="Y110" t="inlineStr"/>
      <c r="Z110" t="inlineStr"/>
    </row>
    <row r="111">
      <c r="A111" t="n">
        <v>2202</v>
      </c>
      <c r="B111" t="n">
        <v>3658</v>
      </c>
      <c r="C111" t="inlineStr">
        <is>
          <t>Achariaceae</t>
        </is>
      </c>
      <c r="D111" t="inlineStr">
        <is>
          <t>Lindackeria</t>
        </is>
      </c>
      <c r="E111" t="inlineStr">
        <is>
          <t>paludosa</t>
        </is>
      </c>
      <c r="F111" t="n">
        <v>3873</v>
      </c>
      <c r="G111" t="n">
        <v>70</v>
      </c>
      <c r="H111" t="n">
        <v>2025</v>
      </c>
      <c r="I111" t="inlineStr"/>
      <c r="J111" t="inlineStr"/>
      <c r="K111" t="n">
        <v>40.7185817747011</v>
      </c>
      <c r="L111" t="n">
        <v>-31.5051012323677</v>
      </c>
      <c r="M111" t="n">
        <v>0.022130638</v>
      </c>
      <c r="N111" t="n">
        <v>0.436691485</v>
      </c>
      <c r="O111" t="n">
        <v>2.122085858585857</v>
      </c>
      <c r="P111" t="n">
        <v>-33.32435503711559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completo</t>
        </is>
      </c>
      <c r="W111" t="inlineStr">
        <is>
          <t>p70-3658</t>
        </is>
      </c>
      <c r="X111" t="inlineStr">
        <is>
          <t>leaf pulverized</t>
        </is>
      </c>
      <c r="Y111" t="inlineStr">
        <is>
          <t>p70-3658</t>
        </is>
      </c>
      <c r="Z111" t="inlineStr"/>
    </row>
    <row r="112">
      <c r="A112" t="n">
        <v>2202</v>
      </c>
      <c r="B112" t="n">
        <v>3658</v>
      </c>
      <c r="C112" t="inlineStr">
        <is>
          <t>Achariaceae</t>
        </is>
      </c>
      <c r="D112" t="inlineStr">
        <is>
          <t>Lindackeria</t>
        </is>
      </c>
      <c r="E112" t="inlineStr">
        <is>
          <t>paludosa</t>
        </is>
      </c>
      <c r="F112" t="n">
        <v>3873</v>
      </c>
      <c r="G112" t="n">
        <v>70</v>
      </c>
      <c r="H112" t="n">
        <v>2025</v>
      </c>
      <c r="I112" t="n">
        <v>3658</v>
      </c>
      <c r="J112" t="inlineStr"/>
      <c r="K112" t="n">
        <v>45.45</v>
      </c>
      <c r="L112" t="n">
        <v>-32.26</v>
      </c>
      <c r="M112" t="n">
        <v>0.022130638</v>
      </c>
      <c r="N112" t="n">
        <v>0.436691485</v>
      </c>
      <c r="O112" t="n">
        <v>2.122085858585857</v>
      </c>
      <c r="P112" t="n">
        <v>-33.32435503711559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completo</t>
        </is>
      </c>
      <c r="W112" t="inlineStr">
        <is>
          <t>p70-3658</t>
        </is>
      </c>
      <c r="X112" t="inlineStr">
        <is>
          <t>leaf pulverized</t>
        </is>
      </c>
      <c r="Y112" t="inlineStr">
        <is>
          <t>p70-3658</t>
        </is>
      </c>
      <c r="Z112" t="inlineStr"/>
    </row>
    <row r="113">
      <c r="A113" t="n">
        <v>2205</v>
      </c>
      <c r="B113" t="n">
        <v>3654</v>
      </c>
      <c r="C113" t="inlineStr">
        <is>
          <t>Rubiaceae</t>
        </is>
      </c>
      <c r="D113" t="inlineStr">
        <is>
          <t>Faramea</t>
        </is>
      </c>
      <c r="E113" t="inlineStr">
        <is>
          <t>parvibractea</t>
        </is>
      </c>
      <c r="F113" t="inlineStr">
        <is>
          <t>3876</t>
        </is>
      </c>
      <c r="G113" t="n">
        <v>70</v>
      </c>
      <c r="H113" t="n">
        <v>2025</v>
      </c>
      <c r="I113" t="inlineStr"/>
      <c r="J113" t="inlineStr"/>
      <c r="K113" t="n">
        <v>42.1253720851618</v>
      </c>
      <c r="L113" t="n">
        <v>-32.879883759186</v>
      </c>
      <c r="M113" t="n">
        <v>0.02201823142746578</v>
      </c>
      <c r="N113" t="n">
        <v>0.3956347601824302</v>
      </c>
      <c r="O113" t="n">
        <v>1.86</v>
      </c>
      <c r="P113" t="n">
        <v>-33.86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completo</t>
        </is>
      </c>
      <c r="W113" t="inlineStr">
        <is>
          <t>p70-3654</t>
        </is>
      </c>
      <c r="X113" t="inlineStr">
        <is>
          <t>leaf pulverized</t>
        </is>
      </c>
      <c r="Y113" t="inlineStr">
        <is>
          <t>p70-3654</t>
        </is>
      </c>
      <c r="Z113" t="inlineStr"/>
    </row>
    <row r="114">
      <c r="A114" t="n">
        <v>2205</v>
      </c>
      <c r="B114" t="n">
        <v>3654</v>
      </c>
      <c r="C114" t="inlineStr">
        <is>
          <t>Rubiaceae</t>
        </is>
      </c>
      <c r="D114" t="inlineStr">
        <is>
          <t>Faramea</t>
        </is>
      </c>
      <c r="E114" t="inlineStr">
        <is>
          <t>parvibractea</t>
        </is>
      </c>
      <c r="F114" t="n">
        <v>3876</v>
      </c>
      <c r="G114" t="n">
        <v>70</v>
      </c>
      <c r="H114" t="n">
        <v>2025</v>
      </c>
      <c r="I114" t="inlineStr"/>
      <c r="J114" t="inlineStr"/>
      <c r="K114" t="n">
        <v>42.1253720851618</v>
      </c>
      <c r="L114" t="n">
        <v>-32.879883759186</v>
      </c>
      <c r="M114" t="n">
        <v>0.02201823142746578</v>
      </c>
      <c r="N114" t="n">
        <v>0.3956347601824302</v>
      </c>
      <c r="O114" t="n">
        <v>1.86</v>
      </c>
      <c r="P114" t="n">
        <v>-33.86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completo</t>
        </is>
      </c>
      <c r="W114" t="inlineStr">
        <is>
          <t>p70-3654</t>
        </is>
      </c>
      <c r="X114" t="inlineStr">
        <is>
          <t>leaf pulverized</t>
        </is>
      </c>
      <c r="Y114" t="inlineStr">
        <is>
          <t>p70-3654</t>
        </is>
      </c>
      <c r="Z114" t="inlineStr"/>
    </row>
    <row r="115">
      <c r="A115" t="n">
        <v>2210</v>
      </c>
      <c r="B115" t="n">
        <v>3649</v>
      </c>
      <c r="C115" t="inlineStr">
        <is>
          <t>Sapotaceae</t>
        </is>
      </c>
      <c r="D115" t="inlineStr">
        <is>
          <t>Micropholis</t>
        </is>
      </c>
      <c r="E115" t="inlineStr">
        <is>
          <t>guyanensis</t>
        </is>
      </c>
      <c r="F115" t="n">
        <v>3878</v>
      </c>
      <c r="G115" t="n">
        <v>70</v>
      </c>
      <c r="H115" t="n">
        <v>2025</v>
      </c>
      <c r="I115" t="inlineStr"/>
      <c r="J115" t="inlineStr"/>
      <c r="K115" t="n">
        <v>42.9613720358194</v>
      </c>
      <c r="L115" t="n">
        <v>-28.8520520712957</v>
      </c>
      <c r="M115" t="n">
        <v>0.021352396</v>
      </c>
      <c r="N115" t="n">
        <v>0.483725522</v>
      </c>
      <c r="O115" t="n">
        <v>2.737714646464645</v>
      </c>
      <c r="P115" t="n">
        <v>-31.18964284199364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completo</t>
        </is>
      </c>
      <c r="W115" t="inlineStr">
        <is>
          <t>p70-3649</t>
        </is>
      </c>
      <c r="X115" t="inlineStr">
        <is>
          <t>leaf pulverized</t>
        </is>
      </c>
      <c r="Y115" t="inlineStr">
        <is>
          <t>p70-3649</t>
        </is>
      </c>
      <c r="Z115" t="inlineStr"/>
    </row>
    <row r="116">
      <c r="A116" t="n">
        <v>2217</v>
      </c>
      <c r="B116" t="n">
        <v>3624</v>
      </c>
      <c r="C116" t="inlineStr">
        <is>
          <t>Myristicaceae</t>
        </is>
      </c>
      <c r="D116" t="inlineStr">
        <is>
          <t>Virola</t>
        </is>
      </c>
      <c r="E116" t="inlineStr">
        <is>
          <t>flexuosa</t>
        </is>
      </c>
      <c r="F116" t="n">
        <v>3881</v>
      </c>
      <c r="G116" t="n">
        <v>70</v>
      </c>
      <c r="H116" t="n">
        <v>2025</v>
      </c>
      <c r="I116" t="n">
        <v>3624</v>
      </c>
      <c r="J116" t="inlineStr"/>
      <c r="K116" t="n">
        <v>52.95</v>
      </c>
      <c r="L116" t="n">
        <v>-32.36</v>
      </c>
      <c r="M116" t="n">
        <v>0.02427045373167286</v>
      </c>
      <c r="N116" t="n">
        <v>0.4751152935178116</v>
      </c>
      <c r="O116" t="n">
        <v>2.326243273844904</v>
      </c>
      <c r="P116" t="n">
        <v>-33.02171698766686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completo</t>
        </is>
      </c>
      <c r="W116" t="inlineStr">
        <is>
          <t>p70-3624</t>
        </is>
      </c>
      <c r="X116" t="inlineStr">
        <is>
          <t>leaf pulverized</t>
        </is>
      </c>
      <c r="Y116" t="inlineStr"/>
      <c r="Z116" t="inlineStr"/>
    </row>
    <row r="117">
      <c r="A117" t="n">
        <v>2218</v>
      </c>
      <c r="B117" t="n">
        <v>3623</v>
      </c>
      <c r="C117" t="inlineStr">
        <is>
          <t>Melastomataceae</t>
        </is>
      </c>
      <c r="D117" t="inlineStr">
        <is>
          <t>Miconia</t>
        </is>
      </c>
      <c r="E117" t="inlineStr">
        <is>
          <t>elata</t>
        </is>
      </c>
      <c r="F117" t="n">
        <v>3882</v>
      </c>
      <c r="G117" t="n">
        <v>70</v>
      </c>
      <c r="H117" t="n">
        <v>2025</v>
      </c>
      <c r="I117" t="inlineStr"/>
      <c r="J117" t="inlineStr"/>
      <c r="K117" t="n">
        <v>50.0511194882133</v>
      </c>
      <c r="L117" t="n">
        <v>-32.9644172724988</v>
      </c>
      <c r="M117" t="n">
        <v>0.02344245815416083</v>
      </c>
      <c r="N117" t="n">
        <v>0.4632356375118532</v>
      </c>
      <c r="O117" t="n">
        <v>1.86</v>
      </c>
      <c r="P117" t="n">
        <v>-33.18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completo</t>
        </is>
      </c>
      <c r="W117" t="inlineStr">
        <is>
          <t>p70-3623</t>
        </is>
      </c>
      <c r="X117" t="inlineStr">
        <is>
          <t>leaf pulverized</t>
        </is>
      </c>
      <c r="Y117" t="inlineStr">
        <is>
          <t>p70-3623</t>
        </is>
      </c>
      <c r="Z117" t="inlineStr"/>
    </row>
    <row r="118">
      <c r="A118" t="n">
        <v>2220</v>
      </c>
      <c r="B118" t="n">
        <v>3622</v>
      </c>
      <c r="C118" t="inlineStr">
        <is>
          <t>Clusiaceae</t>
        </is>
      </c>
      <c r="D118" t="inlineStr">
        <is>
          <t>Chrysochlamys</t>
        </is>
      </c>
      <c r="E118" t="inlineStr">
        <is>
          <t>membranacea</t>
        </is>
      </c>
      <c r="F118" t="n">
        <v>3892</v>
      </c>
      <c r="G118" t="n">
        <v>70</v>
      </c>
      <c r="H118" t="n">
        <v>2025</v>
      </c>
      <c r="I118" t="inlineStr"/>
      <c r="J118" t="inlineStr"/>
      <c r="K118" t="n">
        <v>42.2106791938408</v>
      </c>
      <c r="L118" t="n">
        <v>-33.0984094704943</v>
      </c>
      <c r="M118" t="n">
        <v>0.01468680313508528</v>
      </c>
      <c r="N118" t="n">
        <v>0.4178782536686835</v>
      </c>
      <c r="O118" t="n">
        <v>1.41</v>
      </c>
      <c r="P118" t="n">
        <v>-33.8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completo</t>
        </is>
      </c>
      <c r="W118" t="inlineStr">
        <is>
          <t>p70-3622</t>
        </is>
      </c>
      <c r="X118" t="inlineStr">
        <is>
          <t>leaf pulverized</t>
        </is>
      </c>
      <c r="Y118" t="inlineStr">
        <is>
          <t>p70-3622</t>
        </is>
      </c>
      <c r="Z118" t="inlineStr"/>
    </row>
    <row r="119">
      <c r="A119" t="n">
        <v>2224</v>
      </c>
      <c r="B119" t="n">
        <v>3629</v>
      </c>
      <c r="C119" t="inlineStr">
        <is>
          <t>Meliaceae</t>
        </is>
      </c>
      <c r="D119" t="inlineStr">
        <is>
          <t>Trichilia</t>
        </is>
      </c>
      <c r="E119" t="inlineStr">
        <is>
          <t>septentrionalis</t>
        </is>
      </c>
      <c r="F119" t="n">
        <v>3885</v>
      </c>
      <c r="G119" t="n">
        <v>70</v>
      </c>
      <c r="H119" t="n">
        <v>2025</v>
      </c>
      <c r="I119" t="inlineStr"/>
      <c r="J119" t="inlineStr"/>
      <c r="K119" t="n">
        <v>42.4863567490847</v>
      </c>
      <c r="L119" t="n">
        <v>-30.9830539249629</v>
      </c>
      <c r="M119" t="n">
        <v>0.03545007406100038</v>
      </c>
      <c r="N119" t="n">
        <v>0.4812524582095935</v>
      </c>
      <c r="O119" t="n">
        <v>1.94</v>
      </c>
      <c r="P119" t="n">
        <v>-32.25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completo</t>
        </is>
      </c>
      <c r="W119" t="inlineStr">
        <is>
          <t>p70-3629</t>
        </is>
      </c>
      <c r="X119" t="inlineStr">
        <is>
          <t>leaf pulverized</t>
        </is>
      </c>
      <c r="Y119" t="inlineStr">
        <is>
          <t>p70-3629</t>
        </is>
      </c>
      <c r="Z119" t="inlineStr"/>
    </row>
    <row r="120">
      <c r="A120" t="n">
        <v>2233</v>
      </c>
      <c r="B120" t="n">
        <v>3642</v>
      </c>
      <c r="C120" t="inlineStr">
        <is>
          <t>Rubiaceae</t>
        </is>
      </c>
      <c r="D120" t="inlineStr">
        <is>
          <t>Chimarrhis</t>
        </is>
      </c>
      <c r="E120" t="inlineStr">
        <is>
          <t>cf glabriflora</t>
        </is>
      </c>
      <c r="F120" t="n">
        <v>3897</v>
      </c>
      <c r="G120" t="n">
        <v>70</v>
      </c>
      <c r="H120" t="n">
        <v>2025</v>
      </c>
      <c r="I120" t="inlineStr"/>
      <c r="J120" t="inlineStr"/>
      <c r="K120" t="n">
        <v>42.3110226596482</v>
      </c>
      <c r="L120" t="n">
        <v>-29.0136864851214</v>
      </c>
      <c r="M120" t="n">
        <v>0.01994461056810911</v>
      </c>
      <c r="N120" t="n">
        <v>0.4625106483743614</v>
      </c>
      <c r="O120" t="n">
        <v>1.91</v>
      </c>
      <c r="P120" t="n">
        <v>-31.42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completo</t>
        </is>
      </c>
      <c r="W120" t="inlineStr">
        <is>
          <t>p70-3642</t>
        </is>
      </c>
      <c r="X120" t="inlineStr">
        <is>
          <t>leaf pulverized</t>
        </is>
      </c>
      <c r="Y120" t="inlineStr">
        <is>
          <t>p70-3642</t>
        </is>
      </c>
      <c r="Z120" t="inlineStr"/>
    </row>
    <row r="121">
      <c r="A121" t="n">
        <v>2238</v>
      </c>
      <c r="B121" t="n">
        <v>3635</v>
      </c>
      <c r="C121" t="inlineStr">
        <is>
          <t>Annonaceae</t>
        </is>
      </c>
      <c r="D121" t="inlineStr">
        <is>
          <t>Annona</t>
        </is>
      </c>
      <c r="E121" t="inlineStr">
        <is>
          <t>helosioides</t>
        </is>
      </c>
      <c r="F121" t="n">
        <v>3889</v>
      </c>
      <c r="G121" t="n">
        <v>70</v>
      </c>
      <c r="H121" t="n">
        <v>2025</v>
      </c>
      <c r="I121" t="inlineStr"/>
      <c r="J121" t="inlineStr"/>
      <c r="K121" t="n">
        <v>0.4147</v>
      </c>
      <c r="L121" t="n">
        <v>-33.34</v>
      </c>
      <c r="M121" t="n">
        <v>0.02329030068816614</v>
      </c>
      <c r="N121" t="n">
        <v>0.4286406242211068</v>
      </c>
      <c r="O121" t="n">
        <v>0.67</v>
      </c>
      <c r="P121" t="n">
        <v>-34.74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completo</t>
        </is>
      </c>
      <c r="W121" t="inlineStr">
        <is>
          <t>p70-3635</t>
        </is>
      </c>
      <c r="X121" t="inlineStr">
        <is>
          <t>leaf pulverized</t>
        </is>
      </c>
      <c r="Y121" t="inlineStr">
        <is>
          <t>p70-3635</t>
        </is>
      </c>
      <c r="Z121" t="inlineStr"/>
    </row>
    <row r="122">
      <c r="A122" t="n">
        <v>2239</v>
      </c>
      <c r="B122" t="n">
        <v>3643</v>
      </c>
      <c r="C122" t="inlineStr">
        <is>
          <t>Melastomataceae</t>
        </is>
      </c>
      <c r="D122" t="inlineStr">
        <is>
          <t>Miconia</t>
        </is>
      </c>
      <c r="E122" t="inlineStr"/>
      <c r="F122" t="n">
        <v>3899</v>
      </c>
      <c r="G122" t="n">
        <v>70</v>
      </c>
      <c r="H122" t="n">
        <v>2025</v>
      </c>
      <c r="I122" t="n">
        <v>3643</v>
      </c>
      <c r="J122" t="inlineStr"/>
      <c r="K122" t="n">
        <v>46.0901105921165</v>
      </c>
      <c r="L122" t="n">
        <v>-31.501955307122</v>
      </c>
      <c r="M122" t="n">
        <v>0.02072311918279543</v>
      </c>
      <c r="N122" t="n">
        <v>0.4566504070584768</v>
      </c>
      <c r="O122" t="n">
        <v>2.193788836234638</v>
      </c>
      <c r="P122" t="n">
        <v>-33.15107748731418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completo</t>
        </is>
      </c>
      <c r="W122" t="inlineStr">
        <is>
          <t>p70-3643</t>
        </is>
      </c>
      <c r="X122" t="inlineStr">
        <is>
          <t>leaf pulverized</t>
        </is>
      </c>
      <c r="Y122" t="inlineStr"/>
      <c r="Z122" t="inlineStr"/>
    </row>
    <row r="123">
      <c r="A123" t="n">
        <v>2245</v>
      </c>
      <c r="B123" t="n">
        <v>3634</v>
      </c>
      <c r="C123" t="inlineStr">
        <is>
          <t>Annonaceae</t>
        </is>
      </c>
      <c r="D123" t="inlineStr">
        <is>
          <t>Guatteria</t>
        </is>
      </c>
      <c r="E123" t="inlineStr">
        <is>
          <t>cf multivenia</t>
        </is>
      </c>
      <c r="F123" t="n">
        <v>3902</v>
      </c>
      <c r="G123" t="n">
        <v>70</v>
      </c>
      <c r="H123" t="n">
        <v>2025</v>
      </c>
      <c r="I123" t="inlineStr"/>
      <c r="J123" t="inlineStr"/>
      <c r="K123" t="n">
        <v>42.6405238957477</v>
      </c>
      <c r="L123" t="n">
        <v>-33.9862141392051</v>
      </c>
      <c r="M123" t="n">
        <v>0.01173829239074074</v>
      </c>
      <c r="N123" t="n">
        <v>0.4273580210356233</v>
      </c>
      <c r="O123" t="n">
        <v>0.86</v>
      </c>
      <c r="P123" t="n">
        <v>-35.61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completo</t>
        </is>
      </c>
      <c r="W123" t="inlineStr">
        <is>
          <t>p70-3634</t>
        </is>
      </c>
      <c r="X123" t="inlineStr">
        <is>
          <t>leaf pulverized</t>
        </is>
      </c>
      <c r="Y123" t="inlineStr">
        <is>
          <t>p70-3634</t>
        </is>
      </c>
      <c r="Z123" t="inlineStr"/>
    </row>
    <row r="124">
      <c r="A124" t="n">
        <v>2246</v>
      </c>
      <c r="B124" t="n">
        <v>3631</v>
      </c>
      <c r="C124" t="inlineStr">
        <is>
          <t>Lauraceae</t>
        </is>
      </c>
      <c r="D124" t="inlineStr">
        <is>
          <t>Mespilodaphne</t>
        </is>
      </c>
      <c r="E124" t="inlineStr">
        <is>
          <t>quixos</t>
        </is>
      </c>
      <c r="F124" t="n">
        <v>3903</v>
      </c>
      <c r="G124" t="n">
        <v>70</v>
      </c>
      <c r="H124" t="n">
        <v>2025</v>
      </c>
      <c r="I124" t="n">
        <v>3631</v>
      </c>
      <c r="J124" t="inlineStr"/>
      <c r="K124" t="n">
        <v>43.77</v>
      </c>
      <c r="L124" t="n">
        <v>-31.43</v>
      </c>
      <c r="M124" t="n">
        <v>0.01948619510337348</v>
      </c>
      <c r="N124" t="n">
        <v>0.4721467438734823</v>
      </c>
      <c r="O124" t="n">
        <v>-0.02643156320996337</v>
      </c>
      <c r="P124" t="n">
        <v>-33.88208264312594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completo</t>
        </is>
      </c>
      <c r="W124" t="inlineStr">
        <is>
          <t>p70-3631</t>
        </is>
      </c>
      <c r="X124" t="inlineStr">
        <is>
          <t>leaf pulverized</t>
        </is>
      </c>
      <c r="Y124" t="inlineStr"/>
      <c r="Z124" t="inlineStr"/>
    </row>
    <row r="125">
      <c r="A125" t="inlineStr"/>
      <c r="B125" t="n">
        <v>3645</v>
      </c>
      <c r="C125" t="inlineStr">
        <is>
          <t>Salicacia</t>
        </is>
      </c>
      <c r="D125" t="inlineStr">
        <is>
          <t>Laetia</t>
        </is>
      </c>
      <c r="E125" t="inlineStr"/>
      <c r="F125" t="inlineStr"/>
      <c r="G125" t="n">
        <v>70</v>
      </c>
      <c r="H125" t="n">
        <v>2025</v>
      </c>
      <c r="I125" t="inlineStr"/>
      <c r="J125" t="inlineStr"/>
      <c r="K125" t="n">
        <v>42.6221781327326</v>
      </c>
      <c r="L125" t="n">
        <v>-33.053099414117</v>
      </c>
      <c r="M125" t="inlineStr"/>
      <c r="N125" t="inlineStr"/>
      <c r="O125" t="inlineStr"/>
      <c r="P125" t="inlineStr"/>
      <c r="Q125" t="b">
        <v>0</v>
      </c>
      <c r="R125" t="b">
        <v>1</v>
      </c>
      <c r="S125" t="b">
        <v>0</v>
      </c>
      <c r="T125" t="b">
        <v>0</v>
      </c>
      <c r="U125" t="b">
        <v>1</v>
      </c>
      <c r="V125" t="inlineStr">
        <is>
          <t>pesar bulk</t>
        </is>
      </c>
      <c r="W125" t="inlineStr">
        <is>
          <t>p70-3645</t>
        </is>
      </c>
      <c r="X125" t="inlineStr">
        <is>
          <t>leaf pulverized</t>
        </is>
      </c>
      <c r="Y125" t="inlineStr"/>
      <c r="Z125" t="inlineStr"/>
    </row>
    <row r="126">
      <c r="A126" t="inlineStr"/>
      <c r="B126" t="n">
        <v>3650</v>
      </c>
      <c r="C126" t="inlineStr">
        <is>
          <t>indet</t>
        </is>
      </c>
      <c r="D126" t="inlineStr"/>
      <c r="E126" t="inlineStr"/>
      <c r="F126" t="inlineStr"/>
      <c r="G126" t="n">
        <v>70</v>
      </c>
      <c r="H126" t="n">
        <v>2025</v>
      </c>
      <c r="I126" t="inlineStr"/>
      <c r="J126" t="inlineStr"/>
      <c r="K126" t="n">
        <v>42.13</v>
      </c>
      <c r="L126" t="n">
        <v>-31.61</v>
      </c>
      <c r="M126" t="inlineStr"/>
      <c r="N126" t="inlineStr"/>
      <c r="O126" t="inlineStr"/>
      <c r="P126" t="inlineStr"/>
      <c r="Q126" t="b">
        <v>0</v>
      </c>
      <c r="R126" t="b">
        <v>1</v>
      </c>
      <c r="S126" t="b">
        <v>0</v>
      </c>
      <c r="T126" t="b">
        <v>0</v>
      </c>
      <c r="U126" t="b">
        <v>1</v>
      </c>
      <c r="V126" t="inlineStr">
        <is>
          <t>pesar bulk</t>
        </is>
      </c>
      <c r="W126" t="inlineStr">
        <is>
          <t>p70-3650</t>
        </is>
      </c>
      <c r="X126" t="inlineStr">
        <is>
          <t>leaf pulverized</t>
        </is>
      </c>
      <c r="Y126" t="inlineStr"/>
      <c r="Z126" t="inlineStr"/>
    </row>
    <row r="127">
      <c r="A127" t="n">
        <v>2288</v>
      </c>
      <c r="B127" t="n">
        <v>8803</v>
      </c>
      <c r="C127" t="inlineStr">
        <is>
          <t>Lecythidaceae</t>
        </is>
      </c>
      <c r="D127" t="inlineStr">
        <is>
          <t>Eschweilera</t>
        </is>
      </c>
      <c r="E127" t="inlineStr"/>
      <c r="F127" t="n">
        <v>3196</v>
      </c>
      <c r="G127" t="n">
        <v>72</v>
      </c>
      <c r="H127" t="n">
        <v>2025</v>
      </c>
      <c r="I127" t="inlineStr"/>
      <c r="J127" t="inlineStr"/>
      <c r="K127" t="n">
        <v>42.0082033106923</v>
      </c>
      <c r="L127" t="n">
        <v>-31.0055258755093</v>
      </c>
      <c r="M127" t="n">
        <v>0.013534934</v>
      </c>
      <c r="N127" t="n">
        <v>0.4586319</v>
      </c>
      <c r="O127" t="n">
        <v>2.284093434343433</v>
      </c>
      <c r="P127" t="n">
        <v>-32.93247550371157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completo</t>
        </is>
      </c>
      <c r="W127" t="inlineStr">
        <is>
          <t>p72-8803</t>
        </is>
      </c>
      <c r="X127" t="inlineStr">
        <is>
          <t>leaf pulverized</t>
        </is>
      </c>
      <c r="Y127" t="inlineStr">
        <is>
          <t>p72-8803</t>
        </is>
      </c>
      <c r="Z127" t="inlineStr"/>
    </row>
    <row r="128">
      <c r="A128" t="n">
        <v>2289</v>
      </c>
      <c r="B128" t="n">
        <v>8804</v>
      </c>
      <c r="C128" t="inlineStr">
        <is>
          <t>Sapotaceae</t>
        </is>
      </c>
      <c r="D128" t="inlineStr">
        <is>
          <t>Pouteria</t>
        </is>
      </c>
      <c r="E128" t="inlineStr">
        <is>
          <t>guianensis</t>
        </is>
      </c>
      <c r="F128" t="n">
        <v>3206</v>
      </c>
      <c r="G128" t="n">
        <v>72</v>
      </c>
      <c r="H128" t="n">
        <v>2025</v>
      </c>
      <c r="I128" t="inlineStr"/>
      <c r="J128" t="inlineStr"/>
      <c r="K128" t="n">
        <v>44.1750069808239</v>
      </c>
      <c r="L128" t="n">
        <v>-32.9490118438408</v>
      </c>
      <c r="M128" t="n">
        <v>0.016758675</v>
      </c>
      <c r="N128" t="n">
        <v>0.473760231</v>
      </c>
      <c r="O128" t="n">
        <v>1.76566919191919</v>
      </c>
      <c r="P128" t="n">
        <v>-34.8712479321315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completo</t>
        </is>
      </c>
      <c r="W128" t="inlineStr">
        <is>
          <t>p72-8804</t>
        </is>
      </c>
      <c r="X128" t="inlineStr">
        <is>
          <t>leaf pulverized</t>
        </is>
      </c>
      <c r="Y128" t="inlineStr">
        <is>
          <t>p72-8804</t>
        </is>
      </c>
      <c r="Z128" t="inlineStr"/>
    </row>
    <row r="129">
      <c r="A129" t="n">
        <v>2292</v>
      </c>
      <c r="B129" t="n">
        <v>8811</v>
      </c>
      <c r="C129" t="inlineStr">
        <is>
          <t>Moraceae</t>
        </is>
      </c>
      <c r="D129" t="inlineStr">
        <is>
          <t>Sorocea</t>
        </is>
      </c>
      <c r="E129" t="inlineStr">
        <is>
          <t>steinbachii</t>
        </is>
      </c>
      <c r="F129" t="n">
        <v>3195</v>
      </c>
      <c r="G129" t="n">
        <v>72</v>
      </c>
      <c r="H129" t="n">
        <v>2025</v>
      </c>
      <c r="I129" t="inlineStr"/>
      <c r="J129" t="inlineStr"/>
      <c r="K129" t="n">
        <v>48.2294756543818</v>
      </c>
      <c r="L129" t="n">
        <v>-29.5365889785962</v>
      </c>
      <c r="M129" t="n">
        <v>0.021918119</v>
      </c>
      <c r="N129" t="n">
        <v>0.409271254</v>
      </c>
      <c r="O129" t="n">
        <v>1.970878787878786</v>
      </c>
      <c r="P129" t="n">
        <v>-33.44810646871687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completo</t>
        </is>
      </c>
      <c r="W129" t="inlineStr">
        <is>
          <t>p72-8811</t>
        </is>
      </c>
      <c r="X129" t="inlineStr">
        <is>
          <t>leaf pulverized</t>
        </is>
      </c>
      <c r="Y129" t="inlineStr">
        <is>
          <t>p72-8811</t>
        </is>
      </c>
      <c r="Z129" t="inlineStr"/>
    </row>
    <row r="130">
      <c r="A130" t="n">
        <v>2303</v>
      </c>
      <c r="B130" t="n">
        <v>8695</v>
      </c>
      <c r="C130" t="inlineStr">
        <is>
          <t>Rubiaceae</t>
        </is>
      </c>
      <c r="D130" t="inlineStr">
        <is>
          <t>Pentagonia</t>
        </is>
      </c>
      <c r="E130" t="inlineStr">
        <is>
          <t>amazonica</t>
        </is>
      </c>
      <c r="F130" t="n">
        <v>3214</v>
      </c>
      <c r="G130" t="n">
        <v>72</v>
      </c>
      <c r="H130" t="n">
        <v>2025</v>
      </c>
      <c r="I130" t="inlineStr"/>
      <c r="J130" t="inlineStr"/>
      <c r="K130" t="n">
        <v>42.8309647382475</v>
      </c>
      <c r="L130" t="n">
        <v>-31.9553391744547</v>
      </c>
      <c r="M130" t="n">
        <v>0.019071872</v>
      </c>
      <c r="N130" t="n">
        <v>0.460067295</v>
      </c>
      <c r="O130" t="n">
        <v>2.867320707070705</v>
      </c>
      <c r="P130" t="n">
        <v>-33.52029480381761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completo</t>
        </is>
      </c>
      <c r="W130" t="inlineStr">
        <is>
          <t>p72-8695</t>
        </is>
      </c>
      <c r="X130" t="inlineStr">
        <is>
          <t>leaf pulverized</t>
        </is>
      </c>
      <c r="Y130" t="inlineStr">
        <is>
          <t>p72-8695</t>
        </is>
      </c>
      <c r="Z130" t="inlineStr"/>
    </row>
    <row r="131">
      <c r="A131" t="n">
        <v>2309</v>
      </c>
      <c r="B131" t="n">
        <v>8690</v>
      </c>
      <c r="C131" t="inlineStr">
        <is>
          <t>Myrtaceae</t>
        </is>
      </c>
      <c r="D131" t="inlineStr">
        <is>
          <t>Eugenia</t>
        </is>
      </c>
      <c r="E131" t="inlineStr"/>
      <c r="F131" t="n">
        <v>3209</v>
      </c>
      <c r="G131" t="n">
        <v>72</v>
      </c>
      <c r="H131" t="n">
        <v>2025</v>
      </c>
      <c r="I131" t="inlineStr"/>
      <c r="J131" t="inlineStr"/>
      <c r="K131" t="n">
        <v>46.4981335324543</v>
      </c>
      <c r="L131" t="n">
        <v>-29.06502482523</v>
      </c>
      <c r="M131" t="n">
        <v>0.039906421</v>
      </c>
      <c r="N131" t="n">
        <v>0.432175376</v>
      </c>
      <c r="O131" t="n">
        <v>2.370497474747473</v>
      </c>
      <c r="P131" t="n">
        <v>-29.56024899257688</v>
      </c>
      <c r="Q131" t="b">
        <v>0</v>
      </c>
      <c r="R131" t="b">
        <v>0</v>
      </c>
      <c r="S131" t="b">
        <v>0</v>
      </c>
      <c r="T131" t="b">
        <v>0</v>
      </c>
      <c r="U131" t="b">
        <v>1</v>
      </c>
      <c r="V131" t="inlineStr">
        <is>
          <t>completo</t>
        </is>
      </c>
      <c r="W131" t="inlineStr">
        <is>
          <t>p72-8690</t>
        </is>
      </c>
      <c r="X131" t="inlineStr">
        <is>
          <t>leaf pulverized</t>
        </is>
      </c>
      <c r="Y131" t="inlineStr">
        <is>
          <t>p72-8690</t>
        </is>
      </c>
      <c r="Z131" t="inlineStr"/>
    </row>
    <row r="132">
      <c r="A132" t="n">
        <v>2310</v>
      </c>
      <c r="B132" t="n">
        <v>8689</v>
      </c>
      <c r="C132" t="inlineStr">
        <is>
          <t>Myristicaceae</t>
        </is>
      </c>
      <c r="D132" t="inlineStr">
        <is>
          <t>Virola</t>
        </is>
      </c>
      <c r="E132" t="inlineStr">
        <is>
          <t>dixonii</t>
        </is>
      </c>
      <c r="F132" t="n">
        <v>3213</v>
      </c>
      <c r="G132" t="n">
        <v>72</v>
      </c>
      <c r="H132" t="n">
        <v>2025</v>
      </c>
      <c r="I132" t="inlineStr"/>
      <c r="J132" t="inlineStr"/>
      <c r="K132" t="n">
        <v>45.5806811724309</v>
      </c>
      <c r="L132" t="n">
        <v>-31.5216615977631</v>
      </c>
      <c r="M132" t="n">
        <v>0.015163699</v>
      </c>
      <c r="N132" t="n">
        <v>0.468505884</v>
      </c>
      <c r="O132" t="n">
        <v>2.74851515151515</v>
      </c>
      <c r="P132" t="n">
        <v>-32.67466002120891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completo</t>
        </is>
      </c>
      <c r="W132" t="inlineStr">
        <is>
          <t>p72-8689</t>
        </is>
      </c>
      <c r="X132" t="inlineStr">
        <is>
          <t>leaf pulverized</t>
        </is>
      </c>
      <c r="Y132" t="inlineStr">
        <is>
          <t>p72-8689</t>
        </is>
      </c>
      <c r="Z132" t="inlineStr"/>
    </row>
    <row r="133">
      <c r="A133" t="n">
        <v>2314</v>
      </c>
      <c r="B133" t="n">
        <v>8693</v>
      </c>
      <c r="C133" t="inlineStr">
        <is>
          <t>Fabaceae</t>
        </is>
      </c>
      <c r="D133" t="inlineStr">
        <is>
          <t>Inga</t>
        </is>
      </c>
      <c r="E133" t="inlineStr">
        <is>
          <t>multinervis</t>
        </is>
      </c>
      <c r="F133" t="n">
        <v>3198</v>
      </c>
      <c r="G133" t="n">
        <v>72</v>
      </c>
      <c r="H133" t="n">
        <v>2025</v>
      </c>
      <c r="I133" t="n">
        <v>8693</v>
      </c>
      <c r="J133" t="inlineStr"/>
      <c r="K133" t="n">
        <v>47.23</v>
      </c>
      <c r="L133" t="n">
        <v>-32.18</v>
      </c>
      <c r="M133" t="n">
        <v>0.02542784573637153</v>
      </c>
      <c r="N133" t="n">
        <v>0.4667250763199911</v>
      </c>
      <c r="O133" t="n">
        <v>-0.4411991989087207</v>
      </c>
      <c r="P133" t="n">
        <v>-33.82113297787679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completo</t>
        </is>
      </c>
      <c r="W133" t="inlineStr">
        <is>
          <t>p72-8693</t>
        </is>
      </c>
      <c r="X133" t="inlineStr">
        <is>
          <t>leaf pulverized</t>
        </is>
      </c>
      <c r="Y133" t="inlineStr"/>
      <c r="Z133" t="inlineStr"/>
    </row>
    <row r="134">
      <c r="A134" t="n">
        <v>2315</v>
      </c>
      <c r="B134" t="n">
        <v>8697</v>
      </c>
      <c r="C134" t="inlineStr">
        <is>
          <t>Myristicaceae</t>
        </is>
      </c>
      <c r="D134" t="inlineStr">
        <is>
          <t>Otoba</t>
        </is>
      </c>
      <c r="E134" t="inlineStr">
        <is>
          <t>parvifolia</t>
        </is>
      </c>
      <c r="F134" t="n">
        <v>3200</v>
      </c>
      <c r="G134" t="n">
        <v>72</v>
      </c>
      <c r="H134" t="n">
        <v>2025</v>
      </c>
      <c r="I134" t="inlineStr"/>
      <c r="J134" t="inlineStr"/>
      <c r="K134" t="n">
        <v>42.7507551767448</v>
      </c>
      <c r="L134" t="n">
        <v>-32.234447004374</v>
      </c>
      <c r="M134" t="n">
        <v>0.01496271</v>
      </c>
      <c r="N134" t="n">
        <v>0.480305405</v>
      </c>
      <c r="O134" t="n">
        <v>1.290446969696968</v>
      </c>
      <c r="P134" t="n">
        <v>-30.84932640509014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completo</t>
        </is>
      </c>
      <c r="W134" t="inlineStr">
        <is>
          <t>p72-8697</t>
        </is>
      </c>
      <c r="X134" t="inlineStr">
        <is>
          <t>leaf pulverized</t>
        </is>
      </c>
      <c r="Y134" t="inlineStr">
        <is>
          <t>p72-8697</t>
        </is>
      </c>
      <c r="Z134" t="inlineStr"/>
    </row>
    <row r="135">
      <c r="A135" t="n">
        <v>2319</v>
      </c>
      <c r="B135" t="n">
        <v>8699</v>
      </c>
      <c r="C135" t="inlineStr">
        <is>
          <t>Rutaceae</t>
        </is>
      </c>
      <c r="D135" t="inlineStr">
        <is>
          <t>Amyris</t>
        </is>
      </c>
      <c r="E135" t="inlineStr">
        <is>
          <t>macrocarpa</t>
        </is>
      </c>
      <c r="F135" t="n">
        <v>3197</v>
      </c>
      <c r="G135" t="n">
        <v>72</v>
      </c>
      <c r="H135" t="n">
        <v>2025</v>
      </c>
      <c r="I135" t="inlineStr"/>
      <c r="J135" t="inlineStr"/>
      <c r="K135" t="n">
        <v>41.9002689842602</v>
      </c>
      <c r="L135" t="n">
        <v>-33.239736248638</v>
      </c>
      <c r="M135" t="n">
        <v>0.019942396</v>
      </c>
      <c r="N135" t="n">
        <v>0.460964682</v>
      </c>
      <c r="O135" t="n">
        <v>1.160840909090907</v>
      </c>
      <c r="P135" t="n">
        <v>-34.56186935312832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completo</t>
        </is>
      </c>
      <c r="W135" t="inlineStr">
        <is>
          <t>p72-8699</t>
        </is>
      </c>
      <c r="X135" t="inlineStr">
        <is>
          <t>leaf pulverized</t>
        </is>
      </c>
      <c r="Y135" t="inlineStr">
        <is>
          <t>p72-8699</t>
        </is>
      </c>
      <c r="Z135" t="inlineStr"/>
    </row>
    <row r="136">
      <c r="A136" t="inlineStr"/>
      <c r="B136" t="n">
        <v>8688</v>
      </c>
      <c r="C136" t="inlineStr">
        <is>
          <t>Meliaceae</t>
        </is>
      </c>
      <c r="D136" t="inlineStr">
        <is>
          <t>Guarea</t>
        </is>
      </c>
      <c r="E136" t="inlineStr">
        <is>
          <t>sp.</t>
        </is>
      </c>
      <c r="F136" t="inlineStr"/>
      <c r="G136" t="n">
        <v>72</v>
      </c>
      <c r="H136" t="n">
        <v>2025</v>
      </c>
      <c r="I136" t="inlineStr"/>
      <c r="J136" t="inlineStr"/>
      <c r="K136" t="n">
        <v>40.8654154955345</v>
      </c>
      <c r="L136" t="n">
        <v>-28.7781098108072</v>
      </c>
      <c r="M136" t="n">
        <v>0.026106295</v>
      </c>
      <c r="N136" t="n">
        <v>0.456459654</v>
      </c>
      <c r="O136" t="n">
        <v>2.867320707070705</v>
      </c>
      <c r="P136" t="n">
        <v>-30.49869734888653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completo</t>
        </is>
      </c>
      <c r="W136" t="inlineStr">
        <is>
          <t>p72-8688</t>
        </is>
      </c>
      <c r="X136" t="inlineStr">
        <is>
          <t>leaf pulverized</t>
        </is>
      </c>
      <c r="Y136" t="inlineStr">
        <is>
          <t>p72-8688</t>
        </is>
      </c>
      <c r="Z136" t="inlineStr"/>
    </row>
    <row r="137">
      <c r="A137" t="n">
        <v>2368</v>
      </c>
      <c r="B137" t="n">
        <v>8849</v>
      </c>
      <c r="C137" t="inlineStr">
        <is>
          <t>Calophyllaceae</t>
        </is>
      </c>
      <c r="D137" t="inlineStr">
        <is>
          <t>Marila</t>
        </is>
      </c>
      <c r="E137" t="inlineStr">
        <is>
          <t>grandiflora</t>
        </is>
      </c>
      <c r="F137" t="n">
        <v>3163</v>
      </c>
      <c r="G137" t="n">
        <v>74</v>
      </c>
      <c r="H137" t="n">
        <v>2025</v>
      </c>
      <c r="I137" t="inlineStr"/>
      <c r="J137" t="inlineStr"/>
      <c r="K137" t="n">
        <v>42.584605794486</v>
      </c>
      <c r="L137" t="n">
        <v>-31.2207105692877</v>
      </c>
      <c r="M137" t="n">
        <v>0.0157979699642389</v>
      </c>
      <c r="N137" t="n">
        <v>0.4892875807439671</v>
      </c>
      <c r="O137" t="n">
        <v>0.44</v>
      </c>
      <c r="P137" t="n">
        <v>-33.24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completo</t>
        </is>
      </c>
      <c r="W137" t="inlineStr">
        <is>
          <t>p74-8849</t>
        </is>
      </c>
      <c r="X137" t="inlineStr">
        <is>
          <t>leaf pulverized</t>
        </is>
      </c>
      <c r="Y137" t="inlineStr">
        <is>
          <t>p74-8849</t>
        </is>
      </c>
      <c r="Z137" t="inlineStr"/>
    </row>
    <row r="138">
      <c r="A138" t="n">
        <v>2374</v>
      </c>
      <c r="B138" t="n">
        <v>8853</v>
      </c>
      <c r="C138" t="inlineStr">
        <is>
          <t>Myrtaceae</t>
        </is>
      </c>
      <c r="D138" t="inlineStr">
        <is>
          <t>Eugenia</t>
        </is>
      </c>
      <c r="E138" t="inlineStr"/>
      <c r="F138" t="n">
        <v>3266</v>
      </c>
      <c r="G138" t="n">
        <v>74</v>
      </c>
      <c r="H138" t="n">
        <v>2025</v>
      </c>
      <c r="I138" t="inlineStr"/>
      <c r="J138" t="inlineStr"/>
      <c r="K138" t="n">
        <v>43.9837046243642</v>
      </c>
      <c r="L138" t="n">
        <v>-33.1595942086546</v>
      </c>
      <c r="M138" t="n">
        <v>0.01315526705850149</v>
      </c>
      <c r="N138" t="n">
        <v>0.4473774700942126</v>
      </c>
      <c r="O138" t="n">
        <v>-0.42</v>
      </c>
      <c r="P138" t="n">
        <v>-34.64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inlineStr">
        <is>
          <t>completo</t>
        </is>
      </c>
      <c r="W138" t="inlineStr">
        <is>
          <t>p74-8853</t>
        </is>
      </c>
      <c r="X138" t="inlineStr">
        <is>
          <t>leaf pulverized</t>
        </is>
      </c>
      <c r="Y138" t="inlineStr">
        <is>
          <t>p74-8853</t>
        </is>
      </c>
      <c r="Z138" t="inlineStr"/>
    </row>
    <row r="139">
      <c r="A139" t="n">
        <v>2375</v>
      </c>
      <c r="B139" t="n">
        <v>8854</v>
      </c>
      <c r="C139" t="inlineStr">
        <is>
          <t>Moraceae</t>
        </is>
      </c>
      <c r="D139" t="inlineStr">
        <is>
          <t>Sorocea</t>
        </is>
      </c>
      <c r="E139" t="inlineStr">
        <is>
          <t>pubivena</t>
        </is>
      </c>
      <c r="F139" t="n">
        <v>3268</v>
      </c>
      <c r="G139" t="n">
        <v>74</v>
      </c>
      <c r="H139" t="n">
        <v>2025</v>
      </c>
      <c r="I139" t="inlineStr"/>
      <c r="J139" t="inlineStr"/>
      <c r="K139" t="n">
        <v>41.94733475458</v>
      </c>
      <c r="L139" t="n">
        <v>-29.5062469126404</v>
      </c>
      <c r="M139" t="n">
        <v>0.02065846271337194</v>
      </c>
      <c r="N139" t="n">
        <v>0.3932217774359631</v>
      </c>
      <c r="O139" t="n">
        <v>-0.3</v>
      </c>
      <c r="P139" t="n">
        <v>-31.32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completo</t>
        </is>
      </c>
      <c r="W139" t="inlineStr">
        <is>
          <t>p74-8854</t>
        </is>
      </c>
      <c r="X139" t="inlineStr">
        <is>
          <t>leaf pulverized</t>
        </is>
      </c>
      <c r="Y139" t="inlineStr">
        <is>
          <t>p74-8854</t>
        </is>
      </c>
      <c r="Z139" t="inlineStr"/>
    </row>
    <row r="140">
      <c r="A140" t="n">
        <v>2376</v>
      </c>
      <c r="B140" t="n">
        <v>8855</v>
      </c>
      <c r="C140" t="inlineStr">
        <is>
          <t>Annonaceae</t>
        </is>
      </c>
      <c r="D140" t="inlineStr">
        <is>
          <t>Guatteria</t>
        </is>
      </c>
      <c r="E140" t="inlineStr"/>
      <c r="F140" t="inlineStr">
        <is>
          <t>same as 3262</t>
        </is>
      </c>
      <c r="G140" t="n">
        <v>74</v>
      </c>
      <c r="H140" t="n">
        <v>2025</v>
      </c>
      <c r="I140" t="n">
        <v>8855</v>
      </c>
      <c r="J140" t="inlineStr"/>
      <c r="K140" t="n">
        <v>44.84</v>
      </c>
      <c r="L140" t="n">
        <v>-32.69</v>
      </c>
      <c r="M140" t="n">
        <v>0.01267796706827776</v>
      </c>
      <c r="N140" t="n">
        <v>0.4200181121551486</v>
      </c>
      <c r="O140" t="n">
        <v>0.4521413591416198</v>
      </c>
      <c r="P140" t="n">
        <v>-34.28859239299114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inlineStr">
        <is>
          <t>completo</t>
        </is>
      </c>
      <c r="W140" t="inlineStr">
        <is>
          <t>p74-8855</t>
        </is>
      </c>
      <c r="X140" t="inlineStr">
        <is>
          <t>leaf pulverized</t>
        </is>
      </c>
      <c r="Y140" t="inlineStr"/>
      <c r="Z140" t="inlineStr"/>
    </row>
    <row r="141">
      <c r="A141" t="n">
        <v>2380</v>
      </c>
      <c r="B141" t="n">
        <v>8863</v>
      </c>
      <c r="C141" t="inlineStr">
        <is>
          <t>Lauraceae</t>
        </is>
      </c>
      <c r="D141" t="inlineStr">
        <is>
          <t>Pleurothyrium</t>
        </is>
      </c>
      <c r="E141" t="inlineStr"/>
      <c r="F141" t="n">
        <v>3273</v>
      </c>
      <c r="G141" t="n">
        <v>74</v>
      </c>
      <c r="H141" t="n">
        <v>2025</v>
      </c>
      <c r="I141" t="inlineStr"/>
      <c r="J141" t="inlineStr"/>
      <c r="K141" t="n">
        <v>39.9182128244988</v>
      </c>
      <c r="L141" t="n">
        <v>-30.9506111161297</v>
      </c>
      <c r="M141" t="n">
        <v>0.01887504041753914</v>
      </c>
      <c r="N141" t="n">
        <v>0.4521728216082592</v>
      </c>
      <c r="O141" t="n">
        <v>-0.82</v>
      </c>
      <c r="P141" t="n">
        <v>-34.43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completo</t>
        </is>
      </c>
      <c r="W141" t="inlineStr">
        <is>
          <t>p74-8863</t>
        </is>
      </c>
      <c r="X141" t="inlineStr">
        <is>
          <t>leaf pulverized</t>
        </is>
      </c>
      <c r="Y141" t="inlineStr">
        <is>
          <t>p74-8863</t>
        </is>
      </c>
      <c r="Z141" t="inlineStr"/>
    </row>
    <row r="142">
      <c r="A142" t="n">
        <v>2380</v>
      </c>
      <c r="B142" t="n">
        <v>8863</v>
      </c>
      <c r="C142" t="inlineStr">
        <is>
          <t>Lauraceae</t>
        </is>
      </c>
      <c r="D142" t="inlineStr">
        <is>
          <t>Pleurothyrium</t>
        </is>
      </c>
      <c r="E142" t="inlineStr"/>
      <c r="F142" t="n">
        <v>3273</v>
      </c>
      <c r="G142" t="n">
        <v>74</v>
      </c>
      <c r="H142" t="n">
        <v>2025</v>
      </c>
      <c r="I142" t="inlineStr"/>
      <c r="J142" t="inlineStr"/>
      <c r="K142" t="n">
        <v>0.4445</v>
      </c>
      <c r="L142" t="n">
        <v>-31.32</v>
      </c>
      <c r="M142" t="n">
        <v>0.01887504041753914</v>
      </c>
      <c r="N142" t="n">
        <v>0.4521728216082592</v>
      </c>
      <c r="O142" t="n">
        <v>-0.82</v>
      </c>
      <c r="P142" t="n">
        <v>-34.43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completo</t>
        </is>
      </c>
      <c r="W142" t="inlineStr">
        <is>
          <t>p74-8863</t>
        </is>
      </c>
      <c r="X142" t="inlineStr">
        <is>
          <t>leaf pulverized</t>
        </is>
      </c>
      <c r="Y142" t="inlineStr">
        <is>
          <t>p74-8863</t>
        </is>
      </c>
      <c r="Z142" t="inlineStr"/>
    </row>
    <row r="143">
      <c r="A143" t="n">
        <v>2382</v>
      </c>
      <c r="B143" t="n">
        <v>8859</v>
      </c>
      <c r="C143" t="inlineStr">
        <is>
          <t>Moraceae</t>
        </is>
      </c>
      <c r="D143" t="inlineStr">
        <is>
          <t>Pseudolmedia</t>
        </is>
      </c>
      <c r="E143" t="inlineStr">
        <is>
          <t>laevigata</t>
        </is>
      </c>
      <c r="F143" t="n">
        <v>3264</v>
      </c>
      <c r="G143" t="n">
        <v>74</v>
      </c>
      <c r="H143" t="n">
        <v>2025</v>
      </c>
      <c r="I143" t="inlineStr"/>
      <c r="J143" t="inlineStr"/>
      <c r="K143" t="n">
        <v>42.1040303643344</v>
      </c>
      <c r="L143" t="n">
        <v>-33.2155181816902</v>
      </c>
      <c r="M143" t="n">
        <v>0.01519611827639625</v>
      </c>
      <c r="N143" t="n">
        <v>0.3990582769402648</v>
      </c>
      <c r="O143" t="n">
        <v>0.5</v>
      </c>
      <c r="P143" t="n">
        <v>-34.77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completo</t>
        </is>
      </c>
      <c r="W143" t="inlineStr">
        <is>
          <t>p74-8859</t>
        </is>
      </c>
      <c r="X143" t="inlineStr">
        <is>
          <t>leaf pulverized</t>
        </is>
      </c>
      <c r="Y143" t="inlineStr">
        <is>
          <t>p74-8859</t>
        </is>
      </c>
      <c r="Z143" t="inlineStr"/>
    </row>
    <row r="144">
      <c r="A144" t="n">
        <v>2388</v>
      </c>
      <c r="B144" t="n">
        <v>8838</v>
      </c>
      <c r="C144" t="inlineStr">
        <is>
          <t>Sapotaceae</t>
        </is>
      </c>
      <c r="D144" t="inlineStr">
        <is>
          <t>Pouteria</t>
        </is>
      </c>
      <c r="E144" t="inlineStr">
        <is>
          <t>cuspidata</t>
        </is>
      </c>
      <c r="F144" t="inlineStr">
        <is>
          <t>same as 3244</t>
        </is>
      </c>
      <c r="G144" t="n">
        <v>74</v>
      </c>
      <c r="H144" t="n">
        <v>2025</v>
      </c>
      <c r="I144" t="inlineStr"/>
      <c r="J144" t="inlineStr"/>
      <c r="K144" t="n">
        <v>45.6563961631267</v>
      </c>
      <c r="L144" t="n">
        <v>-31.408251888962</v>
      </c>
      <c r="M144" t="n">
        <v>0.01506027773689399</v>
      </c>
      <c r="N144" t="n">
        <v>0.4810743319827603</v>
      </c>
      <c r="O144" t="n">
        <v>0.25</v>
      </c>
      <c r="P144" t="n">
        <v>-33.65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completo</t>
        </is>
      </c>
      <c r="W144" t="inlineStr">
        <is>
          <t>p74-8838</t>
        </is>
      </c>
      <c r="X144" t="inlineStr">
        <is>
          <t>leaf pulverized</t>
        </is>
      </c>
      <c r="Y144" t="inlineStr">
        <is>
          <t>p74-8838</t>
        </is>
      </c>
      <c r="Z144" t="inlineStr"/>
    </row>
    <row r="145">
      <c r="A145" t="n">
        <v>2389</v>
      </c>
      <c r="B145" t="n">
        <v>8840</v>
      </c>
      <c r="C145" t="inlineStr">
        <is>
          <t>Sapotaceae</t>
        </is>
      </c>
      <c r="D145" t="inlineStr">
        <is>
          <t>Pouteria</t>
        </is>
      </c>
      <c r="E145" t="inlineStr">
        <is>
          <t>megaphylla</t>
        </is>
      </c>
      <c r="F145" t="n">
        <v>3269</v>
      </c>
      <c r="G145" t="n">
        <v>74</v>
      </c>
      <c r="H145" t="n">
        <v>2025</v>
      </c>
      <c r="I145" t="inlineStr"/>
      <c r="J145" t="inlineStr"/>
      <c r="K145" t="n">
        <v>44.5740328512561</v>
      </c>
      <c r="L145" t="n">
        <v>-33.5302479904779</v>
      </c>
      <c r="M145" t="n">
        <v>0.013054872322637</v>
      </c>
      <c r="N145" t="n">
        <v>0.4551252723799056</v>
      </c>
      <c r="O145" t="n">
        <v>-1.16</v>
      </c>
      <c r="P145" t="n">
        <v>-34.88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completo</t>
        </is>
      </c>
      <c r="W145" t="inlineStr">
        <is>
          <t>p74-8840</t>
        </is>
      </c>
      <c r="X145" t="inlineStr">
        <is>
          <t>leaf pulverized</t>
        </is>
      </c>
      <c r="Y145" t="inlineStr">
        <is>
          <t>p74-8840</t>
        </is>
      </c>
      <c r="Z145" t="inlineStr"/>
    </row>
    <row r="146">
      <c r="A146" t="n">
        <v>2390</v>
      </c>
      <c r="B146" t="n">
        <v>8839</v>
      </c>
      <c r="C146" t="inlineStr">
        <is>
          <t>Salicaceae</t>
        </is>
      </c>
      <c r="D146" t="inlineStr">
        <is>
          <t>Tetrathylacium</t>
        </is>
      </c>
      <c r="E146" t="inlineStr">
        <is>
          <t>macrophyllum</t>
        </is>
      </c>
      <c r="F146" t="n">
        <v>3280</v>
      </c>
      <c r="G146" t="n">
        <v>74</v>
      </c>
      <c r="H146" t="n">
        <v>2025</v>
      </c>
      <c r="I146" t="n">
        <v>8839</v>
      </c>
      <c r="J146" t="inlineStr"/>
      <c r="K146" t="n">
        <v>47.43</v>
      </c>
      <c r="L146" t="n">
        <v>-33.56</v>
      </c>
      <c r="M146" t="n">
        <v>0.02064776750558031</v>
      </c>
      <c r="N146" t="n">
        <v>0.4192067594363539</v>
      </c>
      <c r="O146" t="n">
        <v>-1.097854219839444</v>
      </c>
      <c r="P146" t="n">
        <v>-34.66376741181293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completo</t>
        </is>
      </c>
      <c r="W146" t="inlineStr">
        <is>
          <t>p74-8839</t>
        </is>
      </c>
      <c r="X146" t="inlineStr">
        <is>
          <t>leaf pulverized</t>
        </is>
      </c>
      <c r="Y146" t="inlineStr"/>
      <c r="Z146" t="inlineStr"/>
    </row>
    <row r="147">
      <c r="A147" t="n">
        <v>2393</v>
      </c>
      <c r="B147" t="n">
        <v>8832</v>
      </c>
      <c r="C147" t="inlineStr">
        <is>
          <t>Violaceae</t>
        </is>
      </c>
      <c r="D147" t="inlineStr">
        <is>
          <t>Leonia</t>
        </is>
      </c>
      <c r="E147" t="inlineStr">
        <is>
          <t>longifolium</t>
        </is>
      </c>
      <c r="F147" t="n">
        <v>3270</v>
      </c>
      <c r="G147" t="n">
        <v>74</v>
      </c>
      <c r="H147" t="n">
        <v>2025</v>
      </c>
      <c r="I147" t="inlineStr"/>
      <c r="J147" t="inlineStr"/>
      <c r="K147" t="n">
        <v>40.509559197114</v>
      </c>
      <c r="L147" t="n">
        <v>-32.1358652529169</v>
      </c>
      <c r="M147" t="inlineStr"/>
      <c r="N147" t="inlineStr"/>
      <c r="O147" t="inlineStr"/>
      <c r="P147" t="inlineStr"/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>
        <is>
          <t>pesar bulk</t>
        </is>
      </c>
      <c r="W147" t="inlineStr">
        <is>
          <t>p74-8832</t>
        </is>
      </c>
      <c r="X147" t="inlineStr">
        <is>
          <t>leaf pulverized</t>
        </is>
      </c>
      <c r="Y147" t="inlineStr"/>
      <c r="Z147" t="inlineStr"/>
    </row>
    <row r="148">
      <c r="A148" t="n">
        <v>2398</v>
      </c>
      <c r="B148" t="n">
        <v>8829</v>
      </c>
      <c r="C148" t="inlineStr">
        <is>
          <t>Sapotaceae</t>
        </is>
      </c>
      <c r="D148" t="inlineStr">
        <is>
          <t>Pouteria</t>
        </is>
      </c>
      <c r="E148" t="inlineStr">
        <is>
          <t>vernicosa</t>
        </is>
      </c>
      <c r="F148" t="inlineStr"/>
      <c r="G148" t="n">
        <v>74</v>
      </c>
      <c r="H148" t="n">
        <v>2025</v>
      </c>
      <c r="I148" t="n">
        <v>8829</v>
      </c>
      <c r="J148" t="inlineStr"/>
      <c r="K148" t="n">
        <v>49.45</v>
      </c>
      <c r="L148" t="n">
        <v>-32.67</v>
      </c>
      <c r="M148" t="n">
        <v>0.01478326609717292</v>
      </c>
      <c r="N148" t="n">
        <v>0.4472376407343944</v>
      </c>
      <c r="O148" t="n">
        <v>1.278813389479717</v>
      </c>
      <c r="P148" t="n">
        <v>-34.79099254006313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completo</t>
        </is>
      </c>
      <c r="W148" t="inlineStr">
        <is>
          <t>p74-8829</t>
        </is>
      </c>
      <c r="X148" t="inlineStr">
        <is>
          <t>leaf pulverized</t>
        </is>
      </c>
      <c r="Y148" t="inlineStr"/>
      <c r="Z148" t="inlineStr"/>
    </row>
    <row r="149">
      <c r="A149" t="n">
        <v>2399</v>
      </c>
      <c r="B149" t="n">
        <v>8830</v>
      </c>
      <c r="C149" t="inlineStr">
        <is>
          <t>Moraceae</t>
        </is>
      </c>
      <c r="D149" t="inlineStr">
        <is>
          <t>Pseudolmedia</t>
        </is>
      </c>
      <c r="E149" t="inlineStr">
        <is>
          <t>laevis</t>
        </is>
      </c>
      <c r="F149" t="n">
        <v>3265</v>
      </c>
      <c r="G149" t="n">
        <v>74</v>
      </c>
      <c r="H149" t="n">
        <v>2025</v>
      </c>
      <c r="I149" t="n">
        <v>8830</v>
      </c>
      <c r="J149" t="inlineStr"/>
      <c r="K149" t="n">
        <v>45.35</v>
      </c>
      <c r="L149" t="n">
        <v>-30.61</v>
      </c>
      <c r="M149" t="n">
        <v>0.01604169277097844</v>
      </c>
      <c r="N149" t="n">
        <v>0.4064424404546074</v>
      </c>
      <c r="O149" t="n">
        <v>1.184250654591758</v>
      </c>
      <c r="P149" t="n">
        <v>-32.35057997101688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completo</t>
        </is>
      </c>
      <c r="W149" t="inlineStr">
        <is>
          <t>p74-8830</t>
        </is>
      </c>
      <c r="X149" t="inlineStr">
        <is>
          <t>leaf pulverized</t>
        </is>
      </c>
      <c r="Y149" t="inlineStr"/>
      <c r="Z1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old_treeID</t>
        </is>
      </c>
      <c r="B1" s="1" t="inlineStr">
        <is>
          <t>new_TreeID</t>
        </is>
      </c>
      <c r="C1" s="1" t="inlineStr">
        <is>
          <t>family</t>
        </is>
      </c>
      <c r="D1" s="1" t="inlineStr">
        <is>
          <t>genus</t>
        </is>
      </c>
      <c r="E1" s="1" t="inlineStr">
        <is>
          <t>species</t>
        </is>
      </c>
      <c r="F1" s="1" t="inlineStr">
        <is>
          <t>JH herbarium collections</t>
        </is>
      </c>
      <c r="G1" s="1" t="inlineStr">
        <is>
          <t>Plot</t>
        </is>
      </c>
      <c r="H1" s="1" t="inlineStr">
        <is>
          <t>Year</t>
        </is>
      </c>
      <c r="I1" s="1" t="inlineStr">
        <is>
          <t>numeroCampo</t>
        </is>
      </c>
      <c r="J1" s="1" t="inlineStr">
        <is>
          <t>description</t>
        </is>
      </c>
      <c r="K1" s="1" t="inlineStr">
        <is>
          <t>[C]%</t>
        </is>
      </c>
      <c r="L1" s="1" t="inlineStr">
        <is>
          <t>δ13C (‰ v.s.V-PDB)</t>
        </is>
      </c>
      <c r="M1" s="1" t="inlineStr">
        <is>
          <t>[N]</t>
        </is>
      </c>
      <c r="N1" s="1" t="inlineStr">
        <is>
          <t>[C_b]%</t>
        </is>
      </c>
      <c r="O1" s="1" t="inlineStr">
        <is>
          <t>δ15N (‰ v.s. V-PDB)</t>
        </is>
      </c>
      <c r="P1" s="1" t="inlineStr">
        <is>
          <t>bulk_δ13C (‰ v.s.V-PDB)</t>
        </is>
      </c>
      <c r="Q1" s="1" t="inlineStr">
        <is>
          <t>falta_celulosa</t>
        </is>
      </c>
      <c r="R1" s="1" t="inlineStr">
        <is>
          <t>falta_bulk</t>
        </is>
      </c>
      <c r="S1" s="1" t="inlineStr">
        <is>
          <t>falta_tag</t>
        </is>
      </c>
      <c r="T1" s="1" t="inlineStr">
        <is>
          <t>falta_familia</t>
        </is>
      </c>
      <c r="U1" s="1" t="inlineStr">
        <is>
          <t>falta_taxonomia</t>
        </is>
      </c>
      <c r="V1" s="1" t="inlineStr">
        <is>
          <t>pendiente</t>
        </is>
      </c>
      <c r="W1" s="1" t="inlineStr">
        <is>
          <t>Sample-ID</t>
        </is>
      </c>
      <c r="X1" s="1" t="inlineStr">
        <is>
          <t>Type</t>
        </is>
      </c>
      <c r="Y1" s="1" t="inlineStr">
        <is>
          <t>sample-ID</t>
        </is>
      </c>
      <c r="Z1" s="1" t="inlineStr">
        <is>
          <t>_merge</t>
        </is>
      </c>
    </row>
    <row r="2">
      <c r="A2" t="n">
        <v>2148</v>
      </c>
      <c r="B2" t="n">
        <v>8888</v>
      </c>
      <c r="C2" t="inlineStr">
        <is>
          <t>Simaroubaceae</t>
        </is>
      </c>
      <c r="D2" t="inlineStr">
        <is>
          <t>Simaba</t>
        </is>
      </c>
      <c r="E2" t="inlineStr">
        <is>
          <t>polyphylla</t>
        </is>
      </c>
      <c r="F2" t="inlineStr">
        <is>
          <t>3929</t>
        </is>
      </c>
      <c r="G2" t="n">
        <v>68</v>
      </c>
      <c r="H2" t="n">
        <v>2006</v>
      </c>
      <c r="I2" t="n">
        <v>3929</v>
      </c>
      <c r="J2" t="inlineStr">
        <is>
          <t>plot 68 #2148</t>
        </is>
      </c>
      <c r="K2" t="n">
        <v>46.39</v>
      </c>
      <c r="L2" t="n">
        <v>-30.97</v>
      </c>
      <c r="M2" t="inlineStr"/>
      <c r="N2" t="inlineStr"/>
      <c r="O2" t="inlineStr"/>
      <c r="P2" t="inlineStr"/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>
        <is>
          <t>pesar bulk</t>
        </is>
      </c>
      <c r="W2" t="inlineStr">
        <is>
          <t>jh-p68-3929</t>
        </is>
      </c>
      <c r="X2" t="inlineStr">
        <is>
          <t>leaf herbarium</t>
        </is>
      </c>
      <c r="Y2" t="inlineStr"/>
      <c r="Z2" t="inlineStr">
        <is>
          <t>both</t>
        </is>
      </c>
    </row>
    <row r="3">
      <c r="A3" t="inlineStr">
        <is>
          <t>2154</t>
        </is>
      </c>
      <c r="B3" t="inlineStr"/>
      <c r="C3" t="inlineStr">
        <is>
          <t>Apocynaceae</t>
        </is>
      </c>
      <c r="D3" t="inlineStr">
        <is>
          <t>Aspidosperma</t>
        </is>
      </c>
      <c r="E3" t="inlineStr">
        <is>
          <t>aff. excelsum</t>
        </is>
      </c>
      <c r="F3" t="inlineStr"/>
      <c r="G3" t="n">
        <v>68</v>
      </c>
      <c r="H3" t="n">
        <v>2006</v>
      </c>
      <c r="I3" t="n">
        <v>3921</v>
      </c>
      <c r="J3" t="inlineStr">
        <is>
          <t>plot 68 #2154</t>
        </is>
      </c>
      <c r="K3" t="inlineStr"/>
      <c r="L3" t="inlineStr"/>
      <c r="M3" t="inlineStr"/>
      <c r="N3" t="inlineStr"/>
      <c r="O3" t="inlineStr"/>
      <c r="P3" t="inlineStr"/>
      <c r="Q3" t="b">
        <v>1</v>
      </c>
      <c r="R3" t="b">
        <v>1</v>
      </c>
      <c r="S3" t="b">
        <v>0</v>
      </c>
      <c r="T3" t="b">
        <v>0</v>
      </c>
      <c r="U3" t="b">
        <v>0</v>
      </c>
      <c r="V3" t="inlineStr">
        <is>
          <t>pesar celulosa; pesar bulk</t>
        </is>
      </c>
      <c r="W3" t="inlineStr">
        <is>
          <t>jh-p68-3921</t>
        </is>
      </c>
      <c r="X3" t="inlineStr">
        <is>
          <t>leaf herbarium</t>
        </is>
      </c>
      <c r="Y3" t="inlineStr"/>
      <c r="Z3" t="inlineStr"/>
    </row>
    <row r="4">
      <c r="A4" t="inlineStr"/>
      <c r="B4" t="inlineStr"/>
      <c r="C4" t="inlineStr">
        <is>
          <t>Lauraceae</t>
        </is>
      </c>
      <c r="D4" t="inlineStr"/>
      <c r="E4" t="inlineStr"/>
      <c r="F4" t="inlineStr"/>
      <c r="G4" t="n">
        <v>68</v>
      </c>
      <c r="H4" t="n">
        <v>2006</v>
      </c>
      <c r="I4" t="n">
        <v>3939</v>
      </c>
      <c r="J4" t="inlineStr">
        <is>
          <t>plot 68 species 15</t>
        </is>
      </c>
      <c r="K4" t="n">
        <v>43.988840957983</v>
      </c>
      <c r="L4" t="n">
        <v>-32.2331863143944</v>
      </c>
      <c r="M4" t="inlineStr"/>
      <c r="N4" t="inlineStr"/>
      <c r="O4" t="inlineStr"/>
      <c r="P4" t="inlineStr"/>
      <c r="Q4" t="b">
        <v>0</v>
      </c>
      <c r="R4" t="b">
        <v>1</v>
      </c>
      <c r="S4" t="b">
        <v>1</v>
      </c>
      <c r="T4" t="b">
        <v>0</v>
      </c>
      <c r="U4" t="b">
        <v>1</v>
      </c>
      <c r="V4" t="inlineStr">
        <is>
          <t>pesar bulk; revisar tag</t>
        </is>
      </c>
      <c r="W4" t="inlineStr">
        <is>
          <t>jh-p68-3939</t>
        </is>
      </c>
      <c r="X4" t="inlineStr">
        <is>
          <t>leaf herbarium</t>
        </is>
      </c>
      <c r="Y4" t="inlineStr"/>
      <c r="Z4" t="inlineStr">
        <is>
          <t>left_only</t>
        </is>
      </c>
    </row>
    <row r="5">
      <c r="A5" t="n">
        <v>2198</v>
      </c>
      <c r="B5" t="inlineStr"/>
      <c r="C5" t="inlineStr">
        <is>
          <t>Lauraceae</t>
        </is>
      </c>
      <c r="D5" t="inlineStr">
        <is>
          <t>Ocotea</t>
        </is>
      </c>
      <c r="E5" t="inlineStr">
        <is>
          <t>aff. oblonga</t>
        </is>
      </c>
      <c r="F5" t="inlineStr">
        <is>
          <t>3854</t>
        </is>
      </c>
      <c r="G5" t="n">
        <v>69</v>
      </c>
      <c r="H5" t="n">
        <v>2006</v>
      </c>
      <c r="I5" t="n">
        <v>3854</v>
      </c>
      <c r="J5" t="inlineStr">
        <is>
          <t>plot 69 #2198</t>
        </is>
      </c>
      <c r="K5" t="n">
        <v>46.16</v>
      </c>
      <c r="L5" t="n">
        <v>-31.73</v>
      </c>
      <c r="M5" t="inlineStr"/>
      <c r="N5" t="inlineStr"/>
      <c r="O5" t="inlineStr"/>
      <c r="P5" t="inlineStr"/>
      <c r="Q5" t="b">
        <v>0</v>
      </c>
      <c r="R5" t="b">
        <v>1</v>
      </c>
      <c r="S5" t="b">
        <v>0</v>
      </c>
      <c r="T5" t="b">
        <v>0</v>
      </c>
      <c r="U5" t="b">
        <v>0</v>
      </c>
      <c r="V5" t="inlineStr">
        <is>
          <t>pesar bulk</t>
        </is>
      </c>
      <c r="W5" t="inlineStr">
        <is>
          <t>jh-p69-3854</t>
        </is>
      </c>
      <c r="X5" t="inlineStr">
        <is>
          <t>leaf herbarium</t>
        </is>
      </c>
      <c r="Y5" t="inlineStr"/>
      <c r="Z5" t="inlineStr">
        <is>
          <t>both</t>
        </is>
      </c>
    </row>
    <row r="6">
      <c r="A6" t="n">
        <v>2199</v>
      </c>
      <c r="B6" t="n">
        <v>8893</v>
      </c>
      <c r="C6" t="inlineStr">
        <is>
          <t>Moraceae</t>
        </is>
      </c>
      <c r="D6" t="inlineStr">
        <is>
          <t>Pseudolmedia</t>
        </is>
      </c>
      <c r="E6" t="inlineStr">
        <is>
          <t>macrophylla</t>
        </is>
      </c>
      <c r="F6" t="inlineStr">
        <is>
          <t>3855</t>
        </is>
      </c>
      <c r="G6" t="n">
        <v>69</v>
      </c>
      <c r="H6" t="n">
        <v>2006</v>
      </c>
      <c r="I6" t="n">
        <v>3855</v>
      </c>
      <c r="J6" t="inlineStr">
        <is>
          <t>plot 69 #2199</t>
        </is>
      </c>
      <c r="K6" t="n">
        <v>38.87</v>
      </c>
      <c r="L6" t="n">
        <v>-31.99</v>
      </c>
      <c r="M6" t="n">
        <v>0.01404400641663709</v>
      </c>
      <c r="N6" t="n">
        <v>0.3260915198222447</v>
      </c>
      <c r="O6" t="n">
        <v>1.519034811921506</v>
      </c>
      <c r="P6" t="inlineStr"/>
      <c r="Q6" t="b">
        <v>0</v>
      </c>
      <c r="R6" t="b">
        <v>1</v>
      </c>
      <c r="S6" t="b">
        <v>0</v>
      </c>
      <c r="T6" t="b">
        <v>0</v>
      </c>
      <c r="U6" t="b">
        <v>0</v>
      </c>
      <c r="V6" t="inlineStr">
        <is>
          <t>pesar bulk</t>
        </is>
      </c>
      <c r="W6" t="inlineStr">
        <is>
          <t>jh-p69-3855</t>
        </is>
      </c>
      <c r="X6" t="inlineStr">
        <is>
          <t>leaf herbarium</t>
        </is>
      </c>
      <c r="Y6" t="inlineStr"/>
      <c r="Z6" t="inlineStr">
        <is>
          <t>both</t>
        </is>
      </c>
    </row>
    <row r="7">
      <c r="A7" t="inlineStr">
        <is>
          <t>2184</t>
        </is>
      </c>
      <c r="B7" t="inlineStr"/>
      <c r="C7" t="inlineStr">
        <is>
          <t>Rubiaceae</t>
        </is>
      </c>
      <c r="D7" t="inlineStr">
        <is>
          <t>Pentagonia</t>
        </is>
      </c>
      <c r="E7" t="inlineStr">
        <is>
          <t>cf amazonica</t>
        </is>
      </c>
      <c r="F7" t="inlineStr"/>
      <c r="G7" t="n">
        <v>69</v>
      </c>
      <c r="H7" t="n">
        <v>2006</v>
      </c>
      <c r="I7" t="n">
        <v>3847</v>
      </c>
      <c r="J7" t="inlineStr">
        <is>
          <t>plot 69 #2184</t>
        </is>
      </c>
      <c r="K7" t="inlineStr"/>
      <c r="L7" t="inlineStr"/>
      <c r="M7" t="n">
        <v>0.01616047977319605</v>
      </c>
      <c r="N7" t="n">
        <v>0.4757676245029103</v>
      </c>
      <c r="O7" t="n">
        <v>0.8898964665387099</v>
      </c>
      <c r="P7" t="n">
        <v>-34.4827340454474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pesar celulosa</t>
        </is>
      </c>
      <c r="W7" t="inlineStr">
        <is>
          <t>jh-p69-3847</t>
        </is>
      </c>
      <c r="X7" t="inlineStr">
        <is>
          <t>leaf herbarium</t>
        </is>
      </c>
      <c r="Y7" t="inlineStr"/>
      <c r="Z7" t="inlineStr"/>
    </row>
    <row r="8">
      <c r="A8" t="n">
        <v>2207</v>
      </c>
      <c r="B8" t="n">
        <v>3647</v>
      </c>
      <c r="C8" t="inlineStr">
        <is>
          <t>Moraceae</t>
        </is>
      </c>
      <c r="D8" t="inlineStr">
        <is>
          <t>Maclura</t>
        </is>
      </c>
      <c r="E8" t="inlineStr">
        <is>
          <t>tinctoria</t>
        </is>
      </c>
      <c r="F8" t="n">
        <v>3877</v>
      </c>
      <c r="G8" t="n">
        <v>70</v>
      </c>
      <c r="H8" t="n">
        <v>2006</v>
      </c>
      <c r="I8" t="n">
        <v>3877</v>
      </c>
      <c r="J8" t="inlineStr">
        <is>
          <t>plot 70 #2207</t>
        </is>
      </c>
      <c r="K8" t="n">
        <v>49.2922799802687</v>
      </c>
      <c r="L8" t="n">
        <v>-26.6330136161936</v>
      </c>
      <c r="M8" t="inlineStr"/>
      <c r="N8" t="inlineStr"/>
      <c r="O8" t="inlineStr"/>
      <c r="P8" t="inlineStr"/>
      <c r="Q8" t="b">
        <v>0</v>
      </c>
      <c r="R8" t="b">
        <v>1</v>
      </c>
      <c r="S8" t="b">
        <v>0</v>
      </c>
      <c r="T8" t="b">
        <v>0</v>
      </c>
      <c r="U8" t="b">
        <v>0</v>
      </c>
      <c r="V8" t="inlineStr">
        <is>
          <t>pesar bulk</t>
        </is>
      </c>
      <c r="W8" t="inlineStr">
        <is>
          <t>jh-p70-3877</t>
        </is>
      </c>
      <c r="X8" t="inlineStr">
        <is>
          <t>leaf herbarium</t>
        </is>
      </c>
      <c r="Y8" t="inlineStr"/>
      <c r="Z8" t="inlineStr">
        <is>
          <t>both</t>
        </is>
      </c>
    </row>
    <row r="9">
      <c r="A9" t="n">
        <v>2245</v>
      </c>
      <c r="B9" t="n">
        <v>3634</v>
      </c>
      <c r="C9" t="inlineStr">
        <is>
          <t>Annonaceae</t>
        </is>
      </c>
      <c r="D9" t="inlineStr">
        <is>
          <t>Guatteria</t>
        </is>
      </c>
      <c r="E9" t="inlineStr">
        <is>
          <t>cf multivenia</t>
        </is>
      </c>
      <c r="F9" t="n">
        <v>3902</v>
      </c>
      <c r="G9" t="n">
        <v>70</v>
      </c>
      <c r="H9" t="n">
        <v>2006</v>
      </c>
      <c r="I9" t="n">
        <v>3902</v>
      </c>
      <c r="J9" t="inlineStr">
        <is>
          <t>plot 70 #2245</t>
        </is>
      </c>
      <c r="K9" t="n">
        <v>0.4613</v>
      </c>
      <c r="L9" t="n">
        <v>-30.43</v>
      </c>
      <c r="M9" t="inlineStr"/>
      <c r="N9" t="inlineStr"/>
      <c r="O9" t="inlineStr"/>
      <c r="P9" t="inlineStr"/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>
        <is>
          <t>pesar bulk</t>
        </is>
      </c>
      <c r="W9" t="inlineStr">
        <is>
          <t>jh-p70-3902</t>
        </is>
      </c>
      <c r="X9" t="inlineStr">
        <is>
          <t>leaf herbarium</t>
        </is>
      </c>
      <c r="Y9" t="inlineStr"/>
      <c r="Z9" t="inlineStr">
        <is>
          <t>both</t>
        </is>
      </c>
    </row>
    <row r="10">
      <c r="A10" t="n">
        <v>2246</v>
      </c>
      <c r="B10" t="n">
        <v>3631</v>
      </c>
      <c r="C10" t="inlineStr">
        <is>
          <t>Lauraceae</t>
        </is>
      </c>
      <c r="D10" t="inlineStr">
        <is>
          <t>Mespilodaphne</t>
        </is>
      </c>
      <c r="E10" t="inlineStr">
        <is>
          <t>quixos</t>
        </is>
      </c>
      <c r="F10" t="n">
        <v>3903</v>
      </c>
      <c r="G10" t="n">
        <v>70</v>
      </c>
      <c r="H10" t="n">
        <v>2006</v>
      </c>
      <c r="I10" t="n">
        <v>3903</v>
      </c>
      <c r="J10" t="inlineStr">
        <is>
          <t>plot 70 #2246</t>
        </is>
      </c>
      <c r="K10" t="n">
        <v>0.4292</v>
      </c>
      <c r="L10" t="n">
        <v>-28.3</v>
      </c>
      <c r="M10" t="inlineStr"/>
      <c r="N10" t="inlineStr"/>
      <c r="O10" t="inlineStr"/>
      <c r="P10" t="inlineStr"/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inlineStr">
        <is>
          <t>pesar bulk</t>
        </is>
      </c>
      <c r="W10" t="inlineStr">
        <is>
          <t>jh-p70-3903</t>
        </is>
      </c>
      <c r="X10" t="inlineStr">
        <is>
          <t>leaf herbarium</t>
        </is>
      </c>
      <c r="Y10" t="inlineStr"/>
      <c r="Z10" t="inlineStr">
        <is>
          <t>both</t>
        </is>
      </c>
    </row>
    <row r="11">
      <c r="A11" t="inlineStr">
        <is>
          <t>2200</t>
        </is>
      </c>
      <c r="B11" t="inlineStr"/>
      <c r="C11" t="inlineStr">
        <is>
          <t>Lecythidaceae</t>
        </is>
      </c>
      <c r="D11" t="inlineStr">
        <is>
          <t>Gustavia</t>
        </is>
      </c>
      <c r="E11" t="inlineStr">
        <is>
          <t>hexapetala</t>
        </is>
      </c>
      <c r="F11" t="inlineStr"/>
      <c r="G11" t="n">
        <v>70</v>
      </c>
      <c r="H11" t="n">
        <v>2006</v>
      </c>
      <c r="I11" t="n">
        <v>3871</v>
      </c>
      <c r="J11" t="inlineStr">
        <is>
          <t>plot 70 #2200</t>
        </is>
      </c>
      <c r="K11" t="inlineStr"/>
      <c r="L11" t="inlineStr"/>
      <c r="M11" t="n">
        <v>0.02738487420611629</v>
      </c>
      <c r="N11" t="n">
        <v>0.429322799364861</v>
      </c>
      <c r="O11" t="n">
        <v>2.050335386928069</v>
      </c>
      <c r="P11" t="n">
        <v>-33.25301127948046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pesar celulosa</t>
        </is>
      </c>
      <c r="W11" t="inlineStr">
        <is>
          <t>jh-p70-3871</t>
        </is>
      </c>
      <c r="X11" t="inlineStr">
        <is>
          <t>leaf herbarium</t>
        </is>
      </c>
      <c r="Y11" t="inlineStr"/>
      <c r="Z11" t="inlineStr"/>
    </row>
    <row r="12">
      <c r="A12" t="inlineStr">
        <is>
          <t>2201</t>
        </is>
      </c>
      <c r="B12" t="inlineStr"/>
      <c r="C12" t="inlineStr">
        <is>
          <t>Sterculiaceae</t>
        </is>
      </c>
      <c r="D12" t="inlineStr">
        <is>
          <t>Sterculia</t>
        </is>
      </c>
      <c r="E12" t="inlineStr">
        <is>
          <t>apeibophylla</t>
        </is>
      </c>
      <c r="F12" t="inlineStr"/>
      <c r="G12" t="n">
        <v>70</v>
      </c>
      <c r="H12" t="n">
        <v>2006</v>
      </c>
      <c r="I12" t="n">
        <v>3872</v>
      </c>
      <c r="J12" t="inlineStr">
        <is>
          <t>plot 70 #2201</t>
        </is>
      </c>
      <c r="K12" t="inlineStr"/>
      <c r="L12" t="inlineStr"/>
      <c r="M12" t="n">
        <v>0.02003418218823768</v>
      </c>
      <c r="N12" t="n">
        <v>0.4617060293808474</v>
      </c>
      <c r="O12" t="n">
        <v>0.4631463463321133</v>
      </c>
      <c r="P12" t="n">
        <v>-31.28201255784346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pesar celulosa</t>
        </is>
      </c>
      <c r="W12" t="inlineStr">
        <is>
          <t>jh-p70-3872</t>
        </is>
      </c>
      <c r="X12" t="inlineStr">
        <is>
          <t>leaf herbarium</t>
        </is>
      </c>
      <c r="Y12" t="inlineStr"/>
      <c r="Z12" t="inlineStr"/>
    </row>
    <row r="13">
      <c r="A13" t="inlineStr">
        <is>
          <t>2204</t>
        </is>
      </c>
      <c r="B13" t="inlineStr"/>
      <c r="C13" t="inlineStr">
        <is>
          <t>Rutaceae</t>
        </is>
      </c>
      <c r="D13" t="inlineStr">
        <is>
          <t>Amyris</t>
        </is>
      </c>
      <c r="E13" t="inlineStr">
        <is>
          <t>macrocarpa</t>
        </is>
      </c>
      <c r="F13" t="inlineStr"/>
      <c r="G13" t="n">
        <v>70</v>
      </c>
      <c r="H13" t="n">
        <v>2006</v>
      </c>
      <c r="I13" t="n">
        <v>3886</v>
      </c>
      <c r="J13" t="inlineStr">
        <is>
          <t>plot 70 #2204</t>
        </is>
      </c>
      <c r="K13" t="inlineStr"/>
      <c r="L13" t="inlineStr"/>
      <c r="M13" t="inlineStr"/>
      <c r="N13" t="inlineStr"/>
      <c r="O13" t="inlineStr"/>
      <c r="P13" t="inlineStr"/>
      <c r="Q13" t="b">
        <v>1</v>
      </c>
      <c r="R13" t="b">
        <v>1</v>
      </c>
      <c r="S13" t="b">
        <v>0</v>
      </c>
      <c r="T13" t="b">
        <v>0</v>
      </c>
      <c r="U13" t="b">
        <v>0</v>
      </c>
      <c r="V13" t="inlineStr">
        <is>
          <t>pesar celulosa; pesar bulk</t>
        </is>
      </c>
      <c r="W13" t="inlineStr">
        <is>
          <t>jh-p70-3886</t>
        </is>
      </c>
      <c r="X13" t="inlineStr">
        <is>
          <t>leaf herbarium</t>
        </is>
      </c>
      <c r="Y13" t="inlineStr"/>
      <c r="Z13" t="inlineStr"/>
    </row>
    <row r="14">
      <c r="A14" t="inlineStr">
        <is>
          <t>2224</t>
        </is>
      </c>
      <c r="B14" t="inlineStr"/>
      <c r="C14" t="inlineStr">
        <is>
          <t>Meliaceae</t>
        </is>
      </c>
      <c r="D14" t="inlineStr">
        <is>
          <t>Trichilia</t>
        </is>
      </c>
      <c r="E14" t="inlineStr">
        <is>
          <t>septentrionalis</t>
        </is>
      </c>
      <c r="F14" t="inlineStr"/>
      <c r="G14" t="n">
        <v>70</v>
      </c>
      <c r="H14" t="n">
        <v>2006</v>
      </c>
      <c r="I14" t="n">
        <v>3885</v>
      </c>
      <c r="J14" t="inlineStr">
        <is>
          <t>plot 70 #2224</t>
        </is>
      </c>
      <c r="K14" t="inlineStr"/>
      <c r="L14" t="inlineStr"/>
      <c r="M14" t="inlineStr"/>
      <c r="N14" t="inlineStr"/>
      <c r="O14" t="inlineStr"/>
      <c r="P14" t="inlineStr"/>
      <c r="Q14" t="b">
        <v>1</v>
      </c>
      <c r="R14" t="b">
        <v>1</v>
      </c>
      <c r="S14" t="b">
        <v>0</v>
      </c>
      <c r="T14" t="b">
        <v>0</v>
      </c>
      <c r="U14" t="b">
        <v>0</v>
      </c>
      <c r="V14" t="inlineStr">
        <is>
          <t>pesar celulosa; pesar bulk</t>
        </is>
      </c>
      <c r="W14" t="inlineStr">
        <is>
          <t>jh-p70-3885</t>
        </is>
      </c>
      <c r="X14" t="inlineStr">
        <is>
          <t>leaf herbarium</t>
        </is>
      </c>
      <c r="Y14" t="inlineStr"/>
      <c r="Z14" t="inlineStr"/>
    </row>
    <row r="15">
      <c r="A15" t="inlineStr">
        <is>
          <t>2232</t>
        </is>
      </c>
      <c r="B15" t="inlineStr"/>
      <c r="C15" t="inlineStr">
        <is>
          <t>Fabaceae</t>
        </is>
      </c>
      <c r="D15" t="inlineStr">
        <is>
          <t>Inga</t>
        </is>
      </c>
      <c r="E15" t="inlineStr">
        <is>
          <t>thibaudiana</t>
        </is>
      </c>
      <c r="F15" t="inlineStr"/>
      <c r="G15" t="n">
        <v>70</v>
      </c>
      <c r="H15" t="n">
        <v>2006</v>
      </c>
      <c r="I15" t="n">
        <v>3896</v>
      </c>
      <c r="J15" t="inlineStr">
        <is>
          <t>plot 70 #2232, fruits</t>
        </is>
      </c>
      <c r="K15" t="inlineStr"/>
      <c r="L15" t="inlineStr"/>
      <c r="M15" t="n">
        <v>0.02179528852779789</v>
      </c>
      <c r="N15" t="n">
        <v>0.4572908626144426</v>
      </c>
      <c r="O15" t="n">
        <v>-1.839442044060619</v>
      </c>
      <c r="P15" t="n">
        <v>-31.53652257825765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pesar celulosa</t>
        </is>
      </c>
      <c r="W15" t="inlineStr">
        <is>
          <t>jh-p70-3896</t>
        </is>
      </c>
      <c r="X15" t="inlineStr">
        <is>
          <t>leaf herbarium</t>
        </is>
      </c>
      <c r="Y15" t="inlineStr"/>
      <c r="Z15" t="inlineStr"/>
    </row>
    <row r="16">
      <c r="A16" t="inlineStr">
        <is>
          <t>2235</t>
        </is>
      </c>
      <c r="B16" t="inlineStr"/>
      <c r="C16" t="inlineStr">
        <is>
          <t>Euphorbiaceae</t>
        </is>
      </c>
      <c r="D16" t="inlineStr">
        <is>
          <t>Tetrorchidium</t>
        </is>
      </c>
      <c r="E16" t="inlineStr">
        <is>
          <t>macrophyllum</t>
        </is>
      </c>
      <c r="F16" t="inlineStr"/>
      <c r="G16" t="n">
        <v>70</v>
      </c>
      <c r="H16" t="n">
        <v>2006</v>
      </c>
      <c r="I16" t="n">
        <v>3898</v>
      </c>
      <c r="J16" t="inlineStr">
        <is>
          <t>plot 70 #2235</t>
        </is>
      </c>
      <c r="K16" t="inlineStr"/>
      <c r="L16" t="inlineStr"/>
      <c r="M16" t="n">
        <v>0.03578390490376519</v>
      </c>
      <c r="N16" t="n">
        <v>0.4483231232350463</v>
      </c>
      <c r="O16" t="n">
        <v>1.944879003351917</v>
      </c>
      <c r="P16" t="n">
        <v>-33.25378349899499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pesar celulosa</t>
        </is>
      </c>
      <c r="W16" t="inlineStr">
        <is>
          <t>jh-p70-3898</t>
        </is>
      </c>
      <c r="X16" t="inlineStr">
        <is>
          <t>leaf herbarium</t>
        </is>
      </c>
      <c r="Y16" t="inlineStr"/>
      <c r="Z16" t="inlineStr"/>
    </row>
    <row r="17">
      <c r="A17" t="inlineStr"/>
      <c r="B17" t="inlineStr"/>
      <c r="C17" t="inlineStr">
        <is>
          <t>Lacistemataceae</t>
        </is>
      </c>
      <c r="D17" t="inlineStr">
        <is>
          <t>Lozania</t>
        </is>
      </c>
      <c r="E17" t="inlineStr">
        <is>
          <t>klugii</t>
        </is>
      </c>
      <c r="F17" t="inlineStr"/>
      <c r="G17" t="n">
        <v>70</v>
      </c>
      <c r="H17" t="n">
        <v>2006</v>
      </c>
      <c r="I17" t="n">
        <v>3904</v>
      </c>
      <c r="J17" t="inlineStr">
        <is>
          <t>plot 70 species 2</t>
        </is>
      </c>
      <c r="K17" t="n">
        <v>0.3999</v>
      </c>
      <c r="L17" t="n">
        <v>-31.98</v>
      </c>
      <c r="M17" t="n">
        <v>0.02297434690612491</v>
      </c>
      <c r="N17" t="n">
        <v>0.4308122505149927</v>
      </c>
      <c r="O17" t="n">
        <v>0.9111479573122239</v>
      </c>
      <c r="P17" t="n">
        <v>-33.91850746268657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revisar tag</t>
        </is>
      </c>
      <c r="W17" t="inlineStr">
        <is>
          <t>jh-p70-3904</t>
        </is>
      </c>
      <c r="X17" t="inlineStr">
        <is>
          <t>leaf herbarium</t>
        </is>
      </c>
      <c r="Y17" t="inlineStr"/>
      <c r="Z17" t="inlineStr">
        <is>
          <t>left_only</t>
        </is>
      </c>
    </row>
    <row r="18">
      <c r="A18" t="n">
        <v>2292</v>
      </c>
      <c r="B18" t="n">
        <v>8811</v>
      </c>
      <c r="C18" t="inlineStr">
        <is>
          <t>Moraceae</t>
        </is>
      </c>
      <c r="D18" t="inlineStr">
        <is>
          <t>Sorocea</t>
        </is>
      </c>
      <c r="E18" t="inlineStr">
        <is>
          <t>steinbachii</t>
        </is>
      </c>
      <c r="F18" t="n">
        <v>3195</v>
      </c>
      <c r="G18" t="n">
        <v>72</v>
      </c>
      <c r="H18" t="n">
        <v>2006</v>
      </c>
      <c r="I18" t="n">
        <v>3195</v>
      </c>
      <c r="J18" t="inlineStr">
        <is>
          <t>plot 72 #2292</t>
        </is>
      </c>
      <c r="K18" t="n">
        <v>43.28</v>
      </c>
      <c r="L18" t="n">
        <v>-31.33</v>
      </c>
      <c r="M18" t="inlineStr"/>
      <c r="N18" t="inlineStr"/>
      <c r="O18" t="inlineStr"/>
      <c r="P18" t="inlineStr"/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>
        <is>
          <t>pesar bulk</t>
        </is>
      </c>
      <c r="W18" t="inlineStr">
        <is>
          <t>jh-p72-3195</t>
        </is>
      </c>
      <c r="X18" t="inlineStr">
        <is>
          <t>leaf herbarium</t>
        </is>
      </c>
      <c r="Y18" t="inlineStr"/>
      <c r="Z18" t="inlineStr">
        <is>
          <t>both</t>
        </is>
      </c>
    </row>
    <row r="19">
      <c r="A19" t="n">
        <v>2303</v>
      </c>
      <c r="B19" t="n">
        <v>8695</v>
      </c>
      <c r="C19" t="inlineStr">
        <is>
          <t>Rubiaceae</t>
        </is>
      </c>
      <c r="D19" t="inlineStr">
        <is>
          <t>Pentagonia</t>
        </is>
      </c>
      <c r="E19" t="inlineStr">
        <is>
          <t>amazonica</t>
        </is>
      </c>
      <c r="F19" t="n">
        <v>3214</v>
      </c>
      <c r="G19" t="n">
        <v>72</v>
      </c>
      <c r="H19" t="n">
        <v>2006</v>
      </c>
      <c r="I19" t="n">
        <v>3214</v>
      </c>
      <c r="J19" t="inlineStr">
        <is>
          <t>plot 72 #2303</t>
        </is>
      </c>
      <c r="K19" t="n">
        <v>0.4488</v>
      </c>
      <c r="L19" t="n">
        <v>-30.83</v>
      </c>
      <c r="M19" t="inlineStr"/>
      <c r="N19" t="inlineStr"/>
      <c r="O19" t="inlineStr"/>
      <c r="P19" t="inlineStr"/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inlineStr">
        <is>
          <t>pesar bulk</t>
        </is>
      </c>
      <c r="W19" t="inlineStr">
        <is>
          <t>jh-p72-3214</t>
        </is>
      </c>
      <c r="X19" t="inlineStr">
        <is>
          <t>leaf herbarium</t>
        </is>
      </c>
      <c r="Y19" t="inlineStr"/>
      <c r="Z19" t="inlineStr">
        <is>
          <t>both</t>
        </is>
      </c>
    </row>
    <row r="20">
      <c r="A20" t="n">
        <v>2303</v>
      </c>
      <c r="B20" t="n">
        <v>8695</v>
      </c>
      <c r="C20" t="inlineStr">
        <is>
          <t>Rubiaceae</t>
        </is>
      </c>
      <c r="D20" t="inlineStr">
        <is>
          <t>Pentagonia</t>
        </is>
      </c>
      <c r="E20" t="inlineStr">
        <is>
          <t>amazonica</t>
        </is>
      </c>
      <c r="F20" t="n">
        <v>3214</v>
      </c>
      <c r="G20" t="n">
        <v>72</v>
      </c>
      <c r="H20" t="n">
        <v>2006</v>
      </c>
      <c r="I20" t="n">
        <v>3214</v>
      </c>
      <c r="J20" t="inlineStr">
        <is>
          <t>plot 72 #2303</t>
        </is>
      </c>
      <c r="K20" t="n">
        <v>52.1703514062085</v>
      </c>
      <c r="L20" t="n">
        <v>-31.974735763936</v>
      </c>
      <c r="M20" t="inlineStr"/>
      <c r="N20" t="inlineStr"/>
      <c r="O20" t="inlineStr"/>
      <c r="P20" t="inlineStr"/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inlineStr">
        <is>
          <t>pesar bulk</t>
        </is>
      </c>
      <c r="W20" t="inlineStr">
        <is>
          <t>jh-p72-3214</t>
        </is>
      </c>
      <c r="X20" t="inlineStr">
        <is>
          <t>leaf herbarium</t>
        </is>
      </c>
      <c r="Y20" t="inlineStr"/>
      <c r="Z20" t="inlineStr">
        <is>
          <t>both</t>
        </is>
      </c>
    </row>
    <row r="21">
      <c r="A21" t="n">
        <v>2310</v>
      </c>
      <c r="B21" t="n">
        <v>8689</v>
      </c>
      <c r="C21" t="inlineStr">
        <is>
          <t>Myristicaceae</t>
        </is>
      </c>
      <c r="D21" t="inlineStr">
        <is>
          <t>Virola</t>
        </is>
      </c>
      <c r="E21" t="inlineStr">
        <is>
          <t>dixonii</t>
        </is>
      </c>
      <c r="F21" t="n">
        <v>3213</v>
      </c>
      <c r="G21" t="n">
        <v>72</v>
      </c>
      <c r="H21" t="n">
        <v>2006</v>
      </c>
      <c r="I21" t="n">
        <v>3213</v>
      </c>
      <c r="J21" t="inlineStr">
        <is>
          <t>plot 72 #2310</t>
        </is>
      </c>
      <c r="K21" t="n">
        <v>46.6494965106332</v>
      </c>
      <c r="L21" t="n">
        <v>-32.1413488554602</v>
      </c>
      <c r="M21" t="inlineStr"/>
      <c r="N21" t="inlineStr"/>
      <c r="O21" t="inlineStr"/>
      <c r="P21" t="inlineStr"/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inlineStr">
        <is>
          <t>pesar bulk</t>
        </is>
      </c>
      <c r="W21" t="inlineStr">
        <is>
          <t>jh-p72-3213</t>
        </is>
      </c>
      <c r="X21" t="inlineStr">
        <is>
          <t>leaf herbarium</t>
        </is>
      </c>
      <c r="Y21" t="inlineStr"/>
      <c r="Z21" t="inlineStr">
        <is>
          <t>both</t>
        </is>
      </c>
    </row>
    <row r="22">
      <c r="A22" t="n">
        <v>2375</v>
      </c>
      <c r="B22" t="n">
        <v>8854</v>
      </c>
      <c r="C22" t="inlineStr">
        <is>
          <t>Moraceae</t>
        </is>
      </c>
      <c r="D22" t="inlineStr">
        <is>
          <t>Sorocea</t>
        </is>
      </c>
      <c r="E22" t="inlineStr">
        <is>
          <t>pubivena</t>
        </is>
      </c>
      <c r="F22" t="n">
        <v>3268</v>
      </c>
      <c r="G22" t="n">
        <v>74</v>
      </c>
      <c r="H22" t="n">
        <v>2006</v>
      </c>
      <c r="I22" t="n">
        <v>3268</v>
      </c>
      <c r="J22" t="inlineStr">
        <is>
          <t>plot 74 #2375</t>
        </is>
      </c>
      <c r="K22" t="n">
        <v>43.8782733576757</v>
      </c>
      <c r="L22" t="n">
        <v>-31.0841010573067</v>
      </c>
      <c r="M22" t="inlineStr"/>
      <c r="N22" t="inlineStr"/>
      <c r="O22" t="inlineStr"/>
      <c r="P22" t="inlineStr"/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inlineStr">
        <is>
          <t>pesar bulk</t>
        </is>
      </c>
      <c r="W22" t="inlineStr">
        <is>
          <t>jh-p74-3268</t>
        </is>
      </c>
      <c r="X22" t="inlineStr">
        <is>
          <t>leaf herbarium</t>
        </is>
      </c>
      <c r="Y22" t="inlineStr"/>
      <c r="Z22" t="inlineStr">
        <is>
          <t>both</t>
        </is>
      </c>
    </row>
    <row r="23">
      <c r="A23" t="n">
        <v>2389</v>
      </c>
      <c r="B23" t="n">
        <v>8840</v>
      </c>
      <c r="C23" t="inlineStr">
        <is>
          <t>Sapotaceae</t>
        </is>
      </c>
      <c r="D23" t="inlineStr">
        <is>
          <t>Pouteria</t>
        </is>
      </c>
      <c r="E23" t="inlineStr">
        <is>
          <t>megaphylla</t>
        </is>
      </c>
      <c r="F23" t="n">
        <v>3269</v>
      </c>
      <c r="G23" t="n">
        <v>74</v>
      </c>
      <c r="H23" t="n">
        <v>2006</v>
      </c>
      <c r="I23" t="n">
        <v>3269</v>
      </c>
      <c r="J23" t="inlineStr">
        <is>
          <t>plot 74 #2389, white latex, old flowers</t>
        </is>
      </c>
      <c r="K23" t="n">
        <v>50.65810447704</v>
      </c>
      <c r="L23" t="n">
        <v>-32.325017436298</v>
      </c>
      <c r="M23" t="inlineStr"/>
      <c r="N23" t="inlineStr"/>
      <c r="O23" t="inlineStr"/>
      <c r="P23" t="inlineStr"/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inlineStr">
        <is>
          <t>pesar bulk</t>
        </is>
      </c>
      <c r="W23" t="inlineStr">
        <is>
          <t>jh-p74-3269</t>
        </is>
      </c>
      <c r="X23" t="inlineStr">
        <is>
          <t>leaf herbarium</t>
        </is>
      </c>
      <c r="Y23" t="inlineStr"/>
      <c r="Z23" t="inlineStr">
        <is>
          <t>both</t>
        </is>
      </c>
    </row>
    <row r="24">
      <c r="A24" t="n">
        <v>2390</v>
      </c>
      <c r="B24" t="n">
        <v>8839</v>
      </c>
      <c r="C24" t="inlineStr">
        <is>
          <t>Salicaceae</t>
        </is>
      </c>
      <c r="D24" t="inlineStr">
        <is>
          <t>Tetrathylacium</t>
        </is>
      </c>
      <c r="E24" t="inlineStr">
        <is>
          <t>macrophyllum</t>
        </is>
      </c>
      <c r="F24" t="n">
        <v>3280</v>
      </c>
      <c r="G24" t="n">
        <v>74</v>
      </c>
      <c r="H24" t="n">
        <v>2006</v>
      </c>
      <c r="I24" t="n">
        <v>3280</v>
      </c>
      <c r="J24" t="inlineStr">
        <is>
          <t>plot 74 #2390</t>
        </is>
      </c>
      <c r="K24" t="n">
        <v>40.2334470281567</v>
      </c>
      <c r="L24" t="n">
        <v>-31.2685056796215</v>
      </c>
      <c r="M24" t="inlineStr"/>
      <c r="N24" t="inlineStr"/>
      <c r="O24" t="inlineStr"/>
      <c r="P24" t="inlineStr"/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inlineStr">
        <is>
          <t>pesar bulk</t>
        </is>
      </c>
      <c r="W24" t="inlineStr">
        <is>
          <t>jh-p74-3280</t>
        </is>
      </c>
      <c r="X24" t="inlineStr">
        <is>
          <t>leaf herbarium</t>
        </is>
      </c>
      <c r="Y24" t="inlineStr"/>
      <c r="Z24" t="inlineStr">
        <is>
          <t>both</t>
        </is>
      </c>
    </row>
    <row r="25">
      <c r="A25" t="inlineStr">
        <is>
          <t>2395</t>
        </is>
      </c>
      <c r="B25" t="inlineStr"/>
      <c r="C25" t="inlineStr">
        <is>
          <t>Melastomataceae</t>
        </is>
      </c>
      <c r="D25" t="inlineStr"/>
      <c r="E25" t="inlineStr"/>
      <c r="F25" t="inlineStr"/>
      <c r="G25" t="n">
        <v>74</v>
      </c>
      <c r="H25" t="n">
        <v>2006</v>
      </c>
      <c r="I25" t="n">
        <v>4778</v>
      </c>
      <c r="J25" t="inlineStr">
        <is>
          <t>plot 74#2395</t>
        </is>
      </c>
      <c r="K25" t="inlineStr"/>
      <c r="L25" t="inlineStr"/>
      <c r="M25" t="n">
        <v>0.0225403229883901</v>
      </c>
      <c r="N25" t="n">
        <v>0.3888943536618064</v>
      </c>
      <c r="O25" t="n">
        <v>2.3873536786976</v>
      </c>
      <c r="P25" t="n">
        <v>-33.74126687691703</v>
      </c>
      <c r="Q25" t="b">
        <v>1</v>
      </c>
      <c r="R25" t="b">
        <v>0</v>
      </c>
      <c r="S25" t="b">
        <v>0</v>
      </c>
      <c r="T25" t="b">
        <v>0</v>
      </c>
      <c r="U25" t="b">
        <v>1</v>
      </c>
      <c r="V25" t="inlineStr">
        <is>
          <t>pesar celulosa</t>
        </is>
      </c>
      <c r="W25" t="inlineStr">
        <is>
          <t>jh-p74-4778</t>
        </is>
      </c>
      <c r="X25" t="inlineStr">
        <is>
          <t>leaf herbarium</t>
        </is>
      </c>
      <c r="Y25" t="inlineStr"/>
      <c r="Z25" t="inlineStr"/>
    </row>
    <row r="26">
      <c r="A26" t="n">
        <v>2136</v>
      </c>
      <c r="B26" t="n">
        <v>8878</v>
      </c>
      <c r="C26" t="inlineStr">
        <is>
          <t>Rubiaceae</t>
        </is>
      </c>
      <c r="D26" t="inlineStr">
        <is>
          <t>Duroia</t>
        </is>
      </c>
      <c r="E26" t="inlineStr">
        <is>
          <t>hirsuta</t>
        </is>
      </c>
      <c r="F26" t="inlineStr">
        <is>
          <t>3920</t>
        </is>
      </c>
      <c r="G26" t="n">
        <v>68</v>
      </c>
      <c r="H26" t="n">
        <v>2025</v>
      </c>
      <c r="I26" t="inlineStr"/>
      <c r="J26" t="inlineStr"/>
      <c r="K26" t="inlineStr"/>
      <c r="L26" t="inlineStr"/>
      <c r="M26" t="n">
        <v>0.017277264</v>
      </c>
      <c r="N26" t="n">
        <v>0.437306213</v>
      </c>
      <c r="O26" t="n">
        <v>1.571260101010099</v>
      </c>
      <c r="P26" t="n">
        <v>-34.25249077412514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pesar celulosa</t>
        </is>
      </c>
      <c r="W26" t="inlineStr">
        <is>
          <t>p68-8878</t>
        </is>
      </c>
      <c r="X26" t="inlineStr">
        <is>
          <t>leaf pulverized</t>
        </is>
      </c>
      <c r="Y26" t="inlineStr">
        <is>
          <t>p68-8878</t>
        </is>
      </c>
      <c r="Z26" t="inlineStr"/>
    </row>
    <row r="27">
      <c r="A27" t="n">
        <v>2154</v>
      </c>
      <c r="B27" t="n">
        <v>8885</v>
      </c>
      <c r="C27" t="inlineStr">
        <is>
          <t>Apocynaceae</t>
        </is>
      </c>
      <c r="D27" t="inlineStr">
        <is>
          <t>Aspidosperma</t>
        </is>
      </c>
      <c r="E27" t="inlineStr">
        <is>
          <t>aff. excelsum</t>
        </is>
      </c>
      <c r="F27" t="inlineStr">
        <is>
          <t>3921</t>
        </is>
      </c>
      <c r="G27" t="n">
        <v>68</v>
      </c>
      <c r="H27" t="n">
        <v>2025</v>
      </c>
      <c r="I27" t="inlineStr"/>
      <c r="J27" t="inlineStr"/>
      <c r="K27" t="inlineStr"/>
      <c r="L27" t="inlineStr"/>
      <c r="M27" t="n">
        <v>0.015294916</v>
      </c>
      <c r="N27" t="n">
        <v>0.488282508</v>
      </c>
      <c r="O27" t="n">
        <v>0.8692272727272705</v>
      </c>
      <c r="P27" t="n">
        <v>-33.91217433722163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pesar celulosa</t>
        </is>
      </c>
      <c r="W27" t="inlineStr">
        <is>
          <t>p68-8885</t>
        </is>
      </c>
      <c r="X27" t="inlineStr">
        <is>
          <t>leaf pulverized</t>
        </is>
      </c>
      <c r="Y27" t="inlineStr">
        <is>
          <t>p68-8885</t>
        </is>
      </c>
      <c r="Z27" t="inlineStr"/>
    </row>
    <row r="28">
      <c r="A28" t="inlineStr"/>
      <c r="B28" t="n">
        <v>8640</v>
      </c>
      <c r="C28" t="inlineStr"/>
      <c r="D28" t="inlineStr"/>
      <c r="E28" t="inlineStr"/>
      <c r="F28" t="inlineStr"/>
      <c r="G28" t="n">
        <v>68</v>
      </c>
      <c r="H28" t="n">
        <v>2025</v>
      </c>
      <c r="I28" t="n">
        <v>8640</v>
      </c>
      <c r="J28" t="inlineStr"/>
      <c r="K28" t="n">
        <v>44.8257164326167</v>
      </c>
      <c r="L28" t="n">
        <v>-27.3770370113265</v>
      </c>
      <c r="M28" t="inlineStr"/>
      <c r="N28" t="inlineStr"/>
      <c r="O28" t="inlineStr"/>
      <c r="P28" t="inlineStr"/>
      <c r="Q28" t="b">
        <v>0</v>
      </c>
      <c r="R28" t="b">
        <v>1</v>
      </c>
      <c r="S28" t="b">
        <v>0</v>
      </c>
      <c r="T28" t="b">
        <v>1</v>
      </c>
      <c r="U28" t="b">
        <v>1</v>
      </c>
      <c r="V28" t="inlineStr">
        <is>
          <t>pesar bulk; falta familia</t>
        </is>
      </c>
      <c r="W28" t="inlineStr">
        <is>
          <t>p68-8640</t>
        </is>
      </c>
      <c r="X28" t="inlineStr">
        <is>
          <t>leaf pulverized</t>
        </is>
      </c>
      <c r="Y28" t="inlineStr"/>
      <c r="Z28" t="inlineStr"/>
    </row>
    <row r="29">
      <c r="A29" t="inlineStr"/>
      <c r="B29" t="n">
        <v>3645</v>
      </c>
      <c r="C29" t="inlineStr">
        <is>
          <t>Salicacia</t>
        </is>
      </c>
      <c r="D29" t="inlineStr">
        <is>
          <t>Laetia</t>
        </is>
      </c>
      <c r="E29" t="inlineStr"/>
      <c r="F29" t="inlineStr"/>
      <c r="G29" t="n">
        <v>70</v>
      </c>
      <c r="H29" t="n">
        <v>2025</v>
      </c>
      <c r="I29" t="inlineStr"/>
      <c r="J29" t="inlineStr"/>
      <c r="K29" t="n">
        <v>42.6221781327326</v>
      </c>
      <c r="L29" t="n">
        <v>-33.053099414117</v>
      </c>
      <c r="M29" t="inlineStr"/>
      <c r="N29" t="inlineStr"/>
      <c r="O29" t="inlineStr"/>
      <c r="P29" t="inlineStr"/>
      <c r="Q29" t="b">
        <v>0</v>
      </c>
      <c r="R29" t="b">
        <v>1</v>
      </c>
      <c r="S29" t="b">
        <v>0</v>
      </c>
      <c r="T29" t="b">
        <v>0</v>
      </c>
      <c r="U29" t="b">
        <v>1</v>
      </c>
      <c r="V29" t="inlineStr">
        <is>
          <t>pesar bulk</t>
        </is>
      </c>
      <c r="W29" t="inlineStr">
        <is>
          <t>p70-3645</t>
        </is>
      </c>
      <c r="X29" t="inlineStr">
        <is>
          <t>leaf pulverized</t>
        </is>
      </c>
      <c r="Y29" t="inlineStr"/>
      <c r="Z29" t="inlineStr"/>
    </row>
    <row r="30">
      <c r="A30" t="inlineStr"/>
      <c r="B30" t="n">
        <v>3650</v>
      </c>
      <c r="C30" t="inlineStr">
        <is>
          <t>indet</t>
        </is>
      </c>
      <c r="D30" t="inlineStr"/>
      <c r="E30" t="inlineStr"/>
      <c r="F30" t="inlineStr"/>
      <c r="G30" t="n">
        <v>70</v>
      </c>
      <c r="H30" t="n">
        <v>2025</v>
      </c>
      <c r="I30" t="inlineStr"/>
      <c r="J30" t="inlineStr"/>
      <c r="K30" t="n">
        <v>42.13</v>
      </c>
      <c r="L30" t="n">
        <v>-31.61</v>
      </c>
      <c r="M30" t="inlineStr"/>
      <c r="N30" t="inlineStr"/>
      <c r="O30" t="inlineStr"/>
      <c r="P30" t="inlineStr"/>
      <c r="Q30" t="b">
        <v>0</v>
      </c>
      <c r="R30" t="b">
        <v>1</v>
      </c>
      <c r="S30" t="b">
        <v>0</v>
      </c>
      <c r="T30" t="b">
        <v>0</v>
      </c>
      <c r="U30" t="b">
        <v>1</v>
      </c>
      <c r="V30" t="inlineStr">
        <is>
          <t>pesar bulk</t>
        </is>
      </c>
      <c r="W30" t="inlineStr">
        <is>
          <t>p70-3650</t>
        </is>
      </c>
      <c r="X30" t="inlineStr">
        <is>
          <t>leaf pulverized</t>
        </is>
      </c>
      <c r="Y30" t="inlineStr"/>
      <c r="Z30" t="inlineStr"/>
    </row>
    <row r="31">
      <c r="A31" t="n">
        <v>2393</v>
      </c>
      <c r="B31" t="n">
        <v>8832</v>
      </c>
      <c r="C31" t="inlineStr">
        <is>
          <t>Violaceae</t>
        </is>
      </c>
      <c r="D31" t="inlineStr">
        <is>
          <t>Leonia</t>
        </is>
      </c>
      <c r="E31" t="inlineStr">
        <is>
          <t>longifolium</t>
        </is>
      </c>
      <c r="F31" t="n">
        <v>3270</v>
      </c>
      <c r="G31" t="n">
        <v>74</v>
      </c>
      <c r="H31" t="n">
        <v>2025</v>
      </c>
      <c r="I31" t="inlineStr"/>
      <c r="J31" t="inlineStr"/>
      <c r="K31" t="n">
        <v>40.509559197114</v>
      </c>
      <c r="L31" t="n">
        <v>-32.1358652529169</v>
      </c>
      <c r="M31" t="inlineStr"/>
      <c r="N31" t="inlineStr"/>
      <c r="O31" t="inlineStr"/>
      <c r="P31" t="inlineStr"/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inlineStr">
        <is>
          <t>pesar bulk</t>
        </is>
      </c>
      <c r="W31" t="inlineStr">
        <is>
          <t>p74-8832</t>
        </is>
      </c>
      <c r="X31" t="inlineStr">
        <is>
          <t>leaf pulverized</t>
        </is>
      </c>
      <c r="Y31" t="inlineStr"/>
      <c r="Z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Type</t>
        </is>
      </c>
      <c r="C1" s="1" t="inlineStr">
        <is>
          <t>n</t>
        </is>
      </c>
      <c r="D1" s="1" t="inlineStr">
        <is>
          <t>falta_celulosa</t>
        </is>
      </c>
      <c r="E1" s="1" t="inlineStr">
        <is>
          <t>falta_bulk</t>
        </is>
      </c>
      <c r="F1" s="1" t="inlineStr">
        <is>
          <t>falta_tag</t>
        </is>
      </c>
      <c r="G1" s="1" t="inlineStr">
        <is>
          <t>falta_familia</t>
        </is>
      </c>
      <c r="H1" s="1" t="inlineStr">
        <is>
          <t>falta_taxonomia</t>
        </is>
      </c>
    </row>
    <row r="2">
      <c r="A2" s="1" t="n">
        <v>2006</v>
      </c>
      <c r="B2" s="1" t="inlineStr">
        <is>
          <t>leaf herbarium</t>
        </is>
      </c>
      <c r="C2" t="n">
        <v>83</v>
      </c>
      <c r="D2" t="n">
        <v>9</v>
      </c>
      <c r="E2" t="n">
        <v>17</v>
      </c>
      <c r="F2" t="n">
        <v>2</v>
      </c>
      <c r="G2" t="n">
        <v>0</v>
      </c>
      <c r="H2" t="n">
        <v>14</v>
      </c>
    </row>
    <row r="3">
      <c r="A3" s="1" t="n">
        <v>2025</v>
      </c>
      <c r="B3" s="1" t="inlineStr">
        <is>
          <t>leaf pulverized</t>
        </is>
      </c>
      <c r="C3" t="n">
        <v>65</v>
      </c>
      <c r="D3" t="n">
        <v>2</v>
      </c>
      <c r="E3" t="n">
        <v>4</v>
      </c>
      <c r="F3" t="n">
        <v>0</v>
      </c>
      <c r="G3" t="n">
        <v>1</v>
      </c>
      <c r="H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2026-10-07T19:50:52Z</dcterms:created>
  <dcterms:modified xmlns:dcterms="http://purl.org/dc/terms/" xmlns:xsi="http://www.w3.org/2001/XMLSchema-instance" xsi:type="dcterms:W3CDTF">2026-10-07T19:50:52Z</dcterms:modified>
</cp:coreProperties>
</file>
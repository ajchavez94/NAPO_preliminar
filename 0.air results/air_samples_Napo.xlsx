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elene.baez\Downloads\NAPO_preliminar\0.air results\"/>
    </mc:Choice>
  </mc:AlternateContent>
  <bookViews>
    <workbookView xWindow="0" yWindow="0" windowWidth="28800" windowHeight="11100" activeTab="2"/>
  </bookViews>
  <sheets>
    <sheet name="Hoja1" sheetId="2" r:id="rId1"/>
    <sheet name="Hoja2" sheetId="3" r:id="rId2"/>
    <sheet name="Sheet1" sheetId="1" r:id="rId3"/>
  </sheets>
  <definedNames>
    <definedName name="_xlnm._FilterDatabase" localSheetId="2" hidden="1">Sheet1!$A$1:$L$1</definedName>
  </definedNames>
  <calcPr calcId="162913"/>
  <extLst>
    <ext uri="GoogleSheetsCustomDataVersion2">
      <go:sheetsCustomData xmlns:go="http://customooxmlschemas.google.com/" r:id="rId5" roundtripDataChecksum="g4kj/TF6VOnW+bMzTgcBXln2u993pQnMPNswA1V/C/c="/>
    </ext>
  </extLst>
</workbook>
</file>

<file path=xl/calcChain.xml><?xml version="1.0" encoding="utf-8"?>
<calcChain xmlns="http://schemas.openxmlformats.org/spreadsheetml/2006/main">
  <c r="K65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3" i="1"/>
  <c r="L15" i="1" l="1"/>
  <c r="F50" i="1" l="1"/>
</calcChain>
</file>

<file path=xl/sharedStrings.xml><?xml version="1.0" encoding="utf-8"?>
<sst xmlns="http://schemas.openxmlformats.org/spreadsheetml/2006/main" count="176" uniqueCount="117">
  <si>
    <t>[CO2]</t>
  </si>
  <si>
    <r>
      <rPr>
        <sz val="11"/>
        <color theme="1"/>
        <rFont val="Aptos Narrow"/>
      </rPr>
      <t>δ</t>
    </r>
    <r>
      <rPr>
        <sz val="11"/>
        <color theme="1"/>
        <rFont val="Aptos Narrow"/>
      </rPr>
      <t>13C</t>
    </r>
  </si>
  <si>
    <r>
      <rPr>
        <sz val="11"/>
        <color theme="1"/>
        <rFont val="Aptos Narrow"/>
      </rPr>
      <t>δ</t>
    </r>
    <r>
      <rPr>
        <sz val="11"/>
        <color theme="1"/>
        <rFont val="Aptos Narrow"/>
      </rPr>
      <t>18O</t>
    </r>
  </si>
  <si>
    <t>lat</t>
  </si>
  <si>
    <t>lon</t>
  </si>
  <si>
    <t>Site</t>
  </si>
  <si>
    <t>date</t>
  </si>
  <si>
    <t>Time</t>
  </si>
  <si>
    <t>ppm</t>
  </si>
  <si>
    <t>‰ v.s. VPDB</t>
  </si>
  <si>
    <t>1a</t>
  </si>
  <si>
    <t>Sevilla</t>
  </si>
  <si>
    <t>1b</t>
  </si>
  <si>
    <t>1c</t>
  </si>
  <si>
    <t>2a</t>
  </si>
  <si>
    <t>Irquis</t>
  </si>
  <si>
    <t>2b</t>
  </si>
  <si>
    <t>2c</t>
  </si>
  <si>
    <t>5a</t>
  </si>
  <si>
    <t>Papallacta</t>
  </si>
  <si>
    <t>5b</t>
  </si>
  <si>
    <t>5c</t>
  </si>
  <si>
    <t>6a</t>
  </si>
  <si>
    <t>Oyacachi</t>
  </si>
  <si>
    <t>6b</t>
  </si>
  <si>
    <t>6c</t>
  </si>
  <si>
    <t>7a</t>
  </si>
  <si>
    <t>Guacamayos entrance</t>
  </si>
  <si>
    <t>7b</t>
  </si>
  <si>
    <t>7c</t>
  </si>
  <si>
    <t>8a</t>
  </si>
  <si>
    <t>Mospa</t>
  </si>
  <si>
    <t>8b</t>
  </si>
  <si>
    <t>8c</t>
  </si>
  <si>
    <t>9a</t>
  </si>
  <si>
    <t>Baeza</t>
  </si>
  <si>
    <t>9b</t>
  </si>
  <si>
    <t>9c</t>
  </si>
  <si>
    <t>10a</t>
  </si>
  <si>
    <t>Guacamayos</t>
  </si>
  <si>
    <t>10b</t>
  </si>
  <si>
    <t>10c</t>
  </si>
  <si>
    <t>11a</t>
  </si>
  <si>
    <t>Sarayacu road</t>
  </si>
  <si>
    <t>11b</t>
  </si>
  <si>
    <t>11c</t>
  </si>
  <si>
    <t>12a</t>
  </si>
  <si>
    <t>Jondachi</t>
  </si>
  <si>
    <t>12b</t>
  </si>
  <si>
    <t>12c</t>
  </si>
  <si>
    <t>13a</t>
  </si>
  <si>
    <t>Wisdom forest lodge</t>
  </si>
  <si>
    <t>13b</t>
  </si>
  <si>
    <t>13c</t>
  </si>
  <si>
    <t>14a</t>
  </si>
  <si>
    <t>Jatun Sacha</t>
  </si>
  <si>
    <t>14b</t>
  </si>
  <si>
    <t>14c</t>
  </si>
  <si>
    <t>4a</t>
  </si>
  <si>
    <t>4b</t>
  </si>
  <si>
    <t>4c</t>
  </si>
  <si>
    <t>3a</t>
  </si>
  <si>
    <t>3b</t>
  </si>
  <si>
    <t>3c</t>
  </si>
  <si>
    <t>a</t>
  </si>
  <si>
    <t>b</t>
  </si>
  <si>
    <t>c</t>
  </si>
  <si>
    <t>BoNu</t>
  </si>
  <si>
    <t>CaNu</t>
  </si>
  <si>
    <t>Gal1000</t>
  </si>
  <si>
    <t>Gal1500</t>
  </si>
  <si>
    <t>OYC3500</t>
  </si>
  <si>
    <t>OYC4000</t>
  </si>
  <si>
    <t>S 00°49.0040'</t>
  </si>
  <si>
    <t>W 077°34.4748'</t>
  </si>
  <si>
    <t>S 00°49,6550'</t>
  </si>
  <si>
    <t>W 077°33,8590'</t>
  </si>
  <si>
    <t>Plot 28-A</t>
  </si>
  <si>
    <t>Plot 28-B</t>
  </si>
  <si>
    <t>Plot 28-C</t>
  </si>
  <si>
    <t>S 00°18.0448'</t>
  </si>
  <si>
    <t>W 078°08.0155'</t>
  </si>
  <si>
    <t>S 0°18.1689'</t>
  </si>
  <si>
    <t>W 078° 08.0266'</t>
  </si>
  <si>
    <t>S 0°20.2238'</t>
  </si>
  <si>
    <t>W 078°08.8895'</t>
  </si>
  <si>
    <t>Elevacion_stm</t>
  </si>
  <si>
    <t>Relation</t>
  </si>
  <si>
    <t>Prueba t para dos muestras suponiendo varianzas desiguales</t>
  </si>
  <si>
    <t>Variable 1</t>
  </si>
  <si>
    <t>Variable 2</t>
  </si>
  <si>
    <t>Media</t>
  </si>
  <si>
    <t>Varianza</t>
  </si>
  <si>
    <t>Observaciones</t>
  </si>
  <si>
    <t>Diferencia hipotética de las medias</t>
  </si>
  <si>
    <t>Grados de libertad</t>
  </si>
  <si>
    <t>Estadístico t</t>
  </si>
  <si>
    <t>P(T&lt;=t) una cola</t>
  </si>
  <si>
    <t>Valor crítico de t (una cola)</t>
  </si>
  <si>
    <t>P(T&lt;=t) dos colas</t>
  </si>
  <si>
    <t>Valor crítico de t (dos colas)</t>
  </si>
  <si>
    <t>Análisis de varianza de un factor</t>
  </si>
  <si>
    <t>RESUMEN</t>
  </si>
  <si>
    <t>Grupos</t>
  </si>
  <si>
    <t>Cuenta</t>
  </si>
  <si>
    <t>Suma</t>
  </si>
  <si>
    <t>Promedio</t>
  </si>
  <si>
    <t>ANÁLISIS DE VARIANZA</t>
  </si>
  <si>
    <t>Origen de las variaciones</t>
  </si>
  <si>
    <t>Suma de cuadrados</t>
  </si>
  <si>
    <t>Promedio de los cuadrados</t>
  </si>
  <si>
    <t>F</t>
  </si>
  <si>
    <t>Probabilidad</t>
  </si>
  <si>
    <t>Valor crítico para F</t>
  </si>
  <si>
    <t>Entre grupos</t>
  </si>
  <si>
    <t>Dentro de los grupos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</si>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</sst>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000"/>
  </numFmts>
  <fonts count="13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Calibri"/>
    </font>
    <font>
      <sz val="11"/>
      <color theme="1"/>
      <name val="Aptos Narrow"/>
    </font>
    <font>
      <sz val="11"/>
      <color theme="1"/>
      <name val="Arial"/>
    </font>
    <font>
      <sz val="11"/>
      <color rgb="FF000000"/>
      <name val="Calibri"/>
      <family val="2"/>
    </font>
    <font>
      <sz val="10"/>
      <color rgb="FF000000"/>
      <name val="Arial"/>
    </font>
    <font>
      <sz val="11"/>
      <color theme="1"/>
      <name val="Arial"/>
      <family val="2"/>
    </font>
    <font>
      <sz val="11"/>
      <color theme="1"/>
      <name val="Segoe UI"/>
      <family val="2"/>
    </font>
    <font>
      <sz val="12"/>
      <color theme="1"/>
      <name val="Aptos Narrow"/>
      <scheme val="minor"/>
    </font>
    <font>
      <sz val="12"/>
      <color theme="1"/>
      <name val="Arial"/>
      <family val="2"/>
    </font>
    <font>
      <sz val="11"/>
      <color rgb="FFFF0000"/>
      <name val="Aptos Narrow"/>
      <scheme val="minor"/>
    </font>
    <font>
      <i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1" fontId="2" fillId="0" borderId="0" xfId="0" applyNumberFormat="1" applyFont="1"/>
    <xf numFmtId="2" fontId="2" fillId="0" borderId="0" xfId="0" applyNumberFormat="1" applyFont="1"/>
    <xf numFmtId="14" fontId="3" fillId="0" borderId="0" xfId="0" applyNumberFormat="1" applyFont="1"/>
    <xf numFmtId="20" fontId="3" fillId="0" borderId="0" xfId="0" applyNumberFormat="1" applyFont="1"/>
    <xf numFmtId="164" fontId="4" fillId="0" borderId="0" xfId="0" applyNumberFormat="1" applyFont="1" applyAlignment="1"/>
    <xf numFmtId="164" fontId="1" fillId="0" borderId="0" xfId="0" applyNumberFormat="1" applyFont="1"/>
    <xf numFmtId="0" fontId="4" fillId="0" borderId="0" xfId="0" applyFont="1" applyAlignment="1"/>
    <xf numFmtId="0" fontId="5" fillId="0" borderId="0" xfId="0" applyFont="1" applyAlignment="1"/>
    <xf numFmtId="0" fontId="2" fillId="0" borderId="0" xfId="0" applyFont="1" applyAlignment="1"/>
    <xf numFmtId="20" fontId="0" fillId="0" borderId="0" xfId="0" applyNumberFormat="1" applyFont="1" applyAlignment="1"/>
    <xf numFmtId="20" fontId="6" fillId="0" borderId="0" xfId="0" applyNumberFormat="1" applyFont="1" applyAlignment="1"/>
    <xf numFmtId="14" fontId="6" fillId="0" borderId="0" xfId="0" applyNumberFormat="1" applyFont="1" applyAlignment="1"/>
    <xf numFmtId="164" fontId="7" fillId="0" borderId="0" xfId="0" applyNumberFormat="1" applyFont="1" applyAlignment="1"/>
    <xf numFmtId="0" fontId="6" fillId="0" borderId="0" xfId="0" applyFont="1" applyAlignment="1"/>
    <xf numFmtId="2" fontId="0" fillId="0" borderId="0" xfId="0" applyNumberFormat="1" applyFont="1" applyAlignment="1"/>
    <xf numFmtId="2" fontId="0" fillId="0" borderId="0" xfId="0" applyNumberFormat="1" applyFont="1"/>
    <xf numFmtId="2" fontId="7" fillId="0" borderId="0" xfId="0" applyNumberFormat="1" applyFont="1" applyAlignment="1"/>
    <xf numFmtId="2" fontId="8" fillId="0" borderId="0" xfId="0" applyNumberFormat="1" applyFont="1" applyAlignment="1"/>
    <xf numFmtId="2" fontId="9" fillId="0" borderId="0" xfId="0" applyNumberFormat="1" applyFont="1" applyAlignment="1"/>
    <xf numFmtId="2" fontId="10" fillId="0" borderId="0" xfId="0" applyNumberFormat="1" applyFont="1" applyAlignment="1"/>
    <xf numFmtId="2" fontId="11" fillId="0" borderId="0" xfId="0" applyNumberFormat="1" applyFont="1" applyAlignment="1"/>
    <xf numFmtId="0" fontId="0" fillId="0" borderId="0" xfId="0" applyFill="1" applyBorder="1" applyAlignment="1"/>
    <xf numFmtId="0" fontId="0" fillId="0" borderId="1" xfId="0" applyFill="1" applyBorder="1" applyAlignment="1"/>
    <xf numFmtId="0" fontId="12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selection activeCell="A19" sqref="A19"/>
    </sheetView>
  </sheetViews>
  <sheetFormatPr baseColWidth="10" defaultRowHeight="14.25"/>
  <cols>
    <col min="1" max="1" width="21.75" customWidth="1"/>
  </cols>
  <sheetData>
    <row r="1" spans="1:3">
      <c r="A1" t="s">
        <v>88</v>
      </c>
    </row>
    <row r="2" spans="1:3" ht="15" thickBot="1"/>
    <row r="3" spans="1:3">
      <c r="A3" s="26"/>
      <c r="B3" s="26" t="s">
        <v>89</v>
      </c>
      <c r="C3" s="26" t="s">
        <v>90</v>
      </c>
    </row>
    <row r="4" spans="1:3">
      <c r="A4" s="24" t="s">
        <v>91</v>
      </c>
      <c r="B4" s="24">
        <v>-13.63</v>
      </c>
      <c r="C4" s="24">
        <v>-13.496666666666668</v>
      </c>
    </row>
    <row r="5" spans="1:3">
      <c r="A5" s="24" t="s">
        <v>92</v>
      </c>
      <c r="B5" s="24">
        <v>4.4399999999999988E-2</v>
      </c>
      <c r="C5" s="24">
        <v>1.0858333333333341</v>
      </c>
    </row>
    <row r="6" spans="1:3">
      <c r="A6" s="24" t="s">
        <v>93</v>
      </c>
      <c r="B6" s="24">
        <v>3</v>
      </c>
      <c r="C6" s="24">
        <v>3</v>
      </c>
    </row>
    <row r="7" spans="1:3">
      <c r="A7" s="24" t="s">
        <v>94</v>
      </c>
      <c r="B7" s="24">
        <v>0</v>
      </c>
      <c r="C7" s="24"/>
    </row>
    <row r="8" spans="1:3">
      <c r="A8" s="24" t="s">
        <v>95</v>
      </c>
      <c r="B8" s="24">
        <v>2</v>
      </c>
      <c r="C8" s="24"/>
    </row>
    <row r="9" spans="1:3">
      <c r="A9" s="24" t="s">
        <v>96</v>
      </c>
      <c r="B9" s="24">
        <v>-0.21722775215104884</v>
      </c>
      <c r="C9" s="24"/>
    </row>
    <row r="10" spans="1:3">
      <c r="A10" s="24" t="s">
        <v>97</v>
      </c>
      <c r="B10" s="24">
        <v>0.42408869457369258</v>
      </c>
      <c r="C10" s="24"/>
    </row>
    <row r="11" spans="1:3">
      <c r="A11" s="24" t="s">
        <v>98</v>
      </c>
      <c r="B11" s="24">
        <v>2.9199855803537269</v>
      </c>
      <c r="C11" s="24"/>
    </row>
    <row r="12" spans="1:3">
      <c r="A12" s="24" t="s">
        <v>99</v>
      </c>
      <c r="B12" s="24">
        <v>0.84817738914738516</v>
      </c>
      <c r="C12" s="24"/>
    </row>
    <row r="13" spans="1:3" ht="15" thickBot="1">
      <c r="A13" s="25" t="s">
        <v>100</v>
      </c>
      <c r="B13" s="25">
        <v>4.3026527297494637</v>
      </c>
      <c r="C13" s="2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>
      <selection activeCell="D16" sqref="D16"/>
    </sheetView>
  </sheetViews>
  <sheetFormatPr baseColWidth="10" defaultRowHeight="14.25"/>
  <sheetData>
    <row r="1" spans="1:7">
      <c r="A1" t="s">
        <v>101</v>
      </c>
    </row>
    <row r="3" spans="1:7" ht="15" thickBot="1">
      <c r="A3" t="s">
        <v>102</v>
      </c>
    </row>
    <row r="4" spans="1:7">
      <c r="A4" s="26" t="s">
        <v>103</v>
      </c>
      <c r="B4" s="26" t="s">
        <v>104</v>
      </c>
      <c r="C4" s="26" t="s">
        <v>105</v>
      </c>
      <c r="D4" s="26" t="s">
        <v>106</v>
      </c>
      <c r="E4" s="26" t="s">
        <v>92</v>
      </c>
    </row>
    <row r="5" spans="1:7">
      <c r="A5" s="24">
        <v>1000</v>
      </c>
      <c r="B5" s="24">
        <v>3</v>
      </c>
      <c r="C5" s="24">
        <v>-40.89</v>
      </c>
      <c r="D5" s="24">
        <v>-13.63</v>
      </c>
      <c r="E5" s="24">
        <v>4.4399999999999988E-2</v>
      </c>
    </row>
    <row r="6" spans="1:7">
      <c r="A6" s="24">
        <v>1500</v>
      </c>
      <c r="B6" s="24">
        <v>6</v>
      </c>
      <c r="C6" s="24">
        <v>-80.47</v>
      </c>
      <c r="D6" s="24">
        <v>-13.411666666666667</v>
      </c>
      <c r="E6" s="24">
        <v>0.62253666666666674</v>
      </c>
    </row>
    <row r="7" spans="1:7">
      <c r="A7" s="24">
        <v>3000</v>
      </c>
      <c r="B7" s="24">
        <v>3</v>
      </c>
      <c r="C7" s="24">
        <v>-40.49</v>
      </c>
      <c r="D7" s="24">
        <v>-13.496666666666668</v>
      </c>
      <c r="E7" s="24">
        <v>1.0858333333333341</v>
      </c>
    </row>
    <row r="8" spans="1:7" ht="15" thickBot="1">
      <c r="A8" s="25">
        <v>3500</v>
      </c>
      <c r="B8" s="25">
        <v>5</v>
      </c>
      <c r="C8" s="25">
        <v>-64.34</v>
      </c>
      <c r="D8" s="25">
        <v>-12.868</v>
      </c>
      <c r="E8" s="25">
        <v>0.42841999999999986</v>
      </c>
    </row>
    <row r="11" spans="1:7" ht="15" thickBot="1">
      <c r="A11" t="s">
        <v>107</v>
      </c>
    </row>
    <row r="12" spans="1:7">
      <c r="A12" s="26" t="s">
        <v>108</v>
      </c>
      <c r="B12" s="26" t="s">
        <v>109</v>
      </c>
      <c r="C12" s="26" t="s">
        <v>95</v>
      </c>
      <c r="D12" s="26" t="s">
        <v>110</v>
      </c>
      <c r="E12" s="26" t="s">
        <v>111</v>
      </c>
      <c r="F12" s="26" t="s">
        <v>112</v>
      </c>
      <c r="G12" s="26" t="s">
        <v>113</v>
      </c>
    </row>
    <row r="13" spans="1:7">
      <c r="A13" s="24" t="s">
        <v>114</v>
      </c>
      <c r="B13" s="24">
        <v>1.4501935294117638</v>
      </c>
      <c r="C13" s="24">
        <v>3</v>
      </c>
      <c r="D13" s="24">
        <v>0.48339784313725459</v>
      </c>
      <c r="E13" s="24">
        <v>0.88673948165601657</v>
      </c>
      <c r="F13" s="24">
        <v>0.47365918623570358</v>
      </c>
      <c r="G13" s="24">
        <v>3.4105336446278485</v>
      </c>
    </row>
    <row r="14" spans="1:7">
      <c r="A14" s="24" t="s">
        <v>115</v>
      </c>
      <c r="B14" s="24">
        <v>7.0868300000000017</v>
      </c>
      <c r="C14" s="24">
        <v>13</v>
      </c>
      <c r="D14" s="24">
        <v>0.54514076923076937</v>
      </c>
      <c r="E14" s="24"/>
      <c r="F14" s="24"/>
      <c r="G14" s="24"/>
    </row>
    <row r="15" spans="1:7">
      <c r="A15" s="24"/>
      <c r="B15" s="24"/>
      <c r="C15" s="24"/>
      <c r="D15" s="24"/>
      <c r="E15" s="24"/>
      <c r="F15" s="24"/>
      <c r="G15" s="24"/>
    </row>
    <row r="16" spans="1:7" ht="15" thickBot="1">
      <c r="A16" s="25" t="s">
        <v>116</v>
      </c>
      <c r="B16" s="25">
        <v>8.5370235294117656</v>
      </c>
      <c r="C16" s="25">
        <v>16</v>
      </c>
      <c r="D16" s="25"/>
      <c r="E16" s="25"/>
      <c r="F16" s="25"/>
      <c r="G16" s="2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90"/>
  <sheetViews>
    <sheetView tabSelected="1" zoomScale="70" zoomScaleNormal="70" workbookViewId="0">
      <selection activeCell="F62" sqref="F62"/>
    </sheetView>
  </sheetViews>
  <sheetFormatPr baseColWidth="10" defaultColWidth="12.625" defaultRowHeight="15" customHeight="1"/>
  <cols>
    <col min="1" max="2" width="8.625" customWidth="1"/>
    <col min="3" max="3" width="12.625" customWidth="1"/>
    <col min="4" max="4" width="14.125" customWidth="1"/>
    <col min="5" max="5" width="12.75" customWidth="1"/>
    <col min="6" max="6" width="15" customWidth="1"/>
    <col min="7" max="7" width="19.125" customWidth="1"/>
    <col min="8" max="8" width="19.125" style="17" customWidth="1"/>
    <col min="9" max="9" width="16.375" customWidth="1"/>
    <col min="10" max="27" width="8.625" customWidth="1"/>
  </cols>
  <sheetData>
    <row r="1" spans="1:12" ht="13.5" customHeight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8" t="s">
        <v>86</v>
      </c>
      <c r="I1" s="1" t="s">
        <v>6</v>
      </c>
      <c r="J1" s="1" t="s">
        <v>7</v>
      </c>
      <c r="K1" t="s">
        <v>87</v>
      </c>
    </row>
    <row r="2" spans="1:12" ht="13.5" customHeight="1">
      <c r="B2" s="1" t="s">
        <v>8</v>
      </c>
      <c r="C2" s="1" t="s">
        <v>9</v>
      </c>
      <c r="D2" s="1" t="s">
        <v>9</v>
      </c>
    </row>
    <row r="3" spans="1:12" ht="13.5" customHeight="1">
      <c r="A3" s="2" t="s">
        <v>10</v>
      </c>
      <c r="B3" s="3">
        <v>526.46448225131371</v>
      </c>
      <c r="C3" s="4">
        <v>-11.763226379531483</v>
      </c>
      <c r="D3" s="4">
        <v>21.520575452941099</v>
      </c>
      <c r="E3">
        <v>-2.806333</v>
      </c>
      <c r="F3">
        <v>-78.648532000000003</v>
      </c>
      <c r="G3" s="1" t="s">
        <v>11</v>
      </c>
      <c r="H3" s="20">
        <v>2490</v>
      </c>
      <c r="I3" s="5">
        <v>45331</v>
      </c>
      <c r="K3">
        <f>C3/B3</f>
        <v>-2.2343817628928241E-2</v>
      </c>
    </row>
    <row r="4" spans="1:12" ht="13.5" customHeight="1">
      <c r="A4" s="2" t="s">
        <v>12</v>
      </c>
      <c r="B4" s="3">
        <v>483.30525496147084</v>
      </c>
      <c r="C4" s="4">
        <v>-10.456224744398551</v>
      </c>
      <c r="D4" s="4">
        <v>21.511210230567301</v>
      </c>
      <c r="E4">
        <v>-2.806333</v>
      </c>
      <c r="F4">
        <v>-78.648532000000003</v>
      </c>
      <c r="G4" s="1" t="s">
        <v>11</v>
      </c>
      <c r="H4" s="20">
        <v>2490</v>
      </c>
      <c r="I4" s="5">
        <v>45331</v>
      </c>
      <c r="K4">
        <f t="shared" ref="K4:K64" si="0">C4/B4</f>
        <v>-2.1634825272553931E-2</v>
      </c>
    </row>
    <row r="5" spans="1:12" ht="13.5" customHeight="1">
      <c r="A5" s="2" t="s">
        <v>13</v>
      </c>
      <c r="B5" s="3">
        <v>564.15400882360063</v>
      </c>
      <c r="C5" s="4">
        <v>-12.962954682686279</v>
      </c>
      <c r="D5" s="4">
        <v>22.080753874002902</v>
      </c>
      <c r="E5">
        <v>-2.806333</v>
      </c>
      <c r="F5">
        <v>-78.648532000000003</v>
      </c>
      <c r="G5" s="1" t="s">
        <v>11</v>
      </c>
      <c r="H5" s="20">
        <v>2490</v>
      </c>
      <c r="I5" s="5">
        <v>45331</v>
      </c>
      <c r="K5">
        <f t="shared" si="0"/>
        <v>-2.2977687794361715E-2</v>
      </c>
    </row>
    <row r="6" spans="1:12" ht="13.5" customHeight="1">
      <c r="A6" s="2" t="s">
        <v>14</v>
      </c>
      <c r="B6" s="3">
        <v>457.09237732997673</v>
      </c>
      <c r="C6" s="4">
        <v>-9.4462552117488183</v>
      </c>
      <c r="D6" s="4">
        <v>20.3097807946932</v>
      </c>
      <c r="E6">
        <v>-3.0736829999999999</v>
      </c>
      <c r="F6">
        <v>-79.070943</v>
      </c>
      <c r="G6" s="1" t="s">
        <v>15</v>
      </c>
      <c r="H6" s="20">
        <v>2637</v>
      </c>
      <c r="I6" s="5">
        <v>45331</v>
      </c>
      <c r="K6">
        <f t="shared" si="0"/>
        <v>-2.0665965306460428E-2</v>
      </c>
    </row>
    <row r="7" spans="1:12" ht="13.5" customHeight="1">
      <c r="A7" s="2" t="s">
        <v>16</v>
      </c>
      <c r="B7" s="3">
        <v>480.52586355531344</v>
      </c>
      <c r="C7" s="4">
        <v>-10.309894766126613</v>
      </c>
      <c r="D7" s="4">
        <v>21.634289790347498</v>
      </c>
      <c r="E7">
        <v>-3.0736829999999999</v>
      </c>
      <c r="F7">
        <v>-79.070943</v>
      </c>
      <c r="G7" s="1" t="s">
        <v>15</v>
      </c>
      <c r="H7" s="20">
        <v>2637</v>
      </c>
      <c r="I7" s="5">
        <v>45331</v>
      </c>
      <c r="K7">
        <f t="shared" si="0"/>
        <v>-2.1455441939890168E-2</v>
      </c>
    </row>
    <row r="8" spans="1:12" ht="13.5" customHeight="1">
      <c r="A8" s="2" t="s">
        <v>17</v>
      </c>
      <c r="B8" s="3">
        <v>458.22814029105689</v>
      </c>
      <c r="C8" s="4">
        <v>-9.7035220837706806</v>
      </c>
      <c r="D8" s="4">
        <v>20.240967269253201</v>
      </c>
      <c r="E8">
        <v>-3.0736829999999999</v>
      </c>
      <c r="F8">
        <v>-79.070943</v>
      </c>
      <c r="G8" s="1" t="s">
        <v>15</v>
      </c>
      <c r="H8" s="20">
        <v>2637</v>
      </c>
      <c r="I8" s="5">
        <v>45331</v>
      </c>
      <c r="K8">
        <f t="shared" si="0"/>
        <v>-2.1176181099674951E-2</v>
      </c>
    </row>
    <row r="9" spans="1:12" ht="13.5" customHeight="1">
      <c r="A9" s="2" t="s">
        <v>18</v>
      </c>
      <c r="B9" s="3">
        <v>563.47608240856096</v>
      </c>
      <c r="C9" s="4">
        <v>-12.896497867647202</v>
      </c>
      <c r="D9" s="4">
        <v>22.4692051650064</v>
      </c>
      <c r="E9">
        <v>-0.37720340000000002</v>
      </c>
      <c r="F9">
        <v>-78.140765099999996</v>
      </c>
      <c r="G9" s="1" t="s">
        <v>19</v>
      </c>
      <c r="H9" s="20">
        <v>3141</v>
      </c>
      <c r="I9" s="5">
        <v>45333</v>
      </c>
      <c r="J9" s="6">
        <v>0.37013888888888885</v>
      </c>
      <c r="K9">
        <f t="shared" si="0"/>
        <v>-2.2887391799349361E-2</v>
      </c>
    </row>
    <row r="10" spans="1:12" ht="13.5" customHeight="1">
      <c r="A10" s="2" t="s">
        <v>20</v>
      </c>
      <c r="B10" s="3">
        <v>471.09412000740878</v>
      </c>
      <c r="C10" s="4">
        <v>-10.294759551106766</v>
      </c>
      <c r="D10" s="4">
        <v>24.105084176434801</v>
      </c>
      <c r="E10">
        <v>-0.37720340000000002</v>
      </c>
      <c r="F10">
        <v>-78.140765099999996</v>
      </c>
      <c r="G10" s="1" t="s">
        <v>19</v>
      </c>
      <c r="H10" s="20">
        <v>3141</v>
      </c>
      <c r="I10" s="5">
        <v>45333</v>
      </c>
      <c r="J10" s="6">
        <v>0.37013888888888885</v>
      </c>
      <c r="K10">
        <f t="shared" si="0"/>
        <v>-2.1852872098987064E-2</v>
      </c>
    </row>
    <row r="11" spans="1:12" ht="13.5" customHeight="1">
      <c r="A11" s="2" t="s">
        <v>21</v>
      </c>
      <c r="B11" s="3">
        <v>454.85355836209004</v>
      </c>
      <c r="C11" s="4">
        <v>-9.9120131316791706</v>
      </c>
      <c r="D11" s="4">
        <v>23.165198986319002</v>
      </c>
      <c r="E11">
        <v>-0.37720340000000002</v>
      </c>
      <c r="F11">
        <v>-78.140765099999996</v>
      </c>
      <c r="G11" s="1" t="s">
        <v>19</v>
      </c>
      <c r="H11" s="20">
        <v>3141</v>
      </c>
      <c r="I11" s="5">
        <v>45333</v>
      </c>
      <c r="J11" s="6">
        <v>0.37013888888888885</v>
      </c>
      <c r="K11">
        <f t="shared" si="0"/>
        <v>-2.1791657885170655E-2</v>
      </c>
    </row>
    <row r="12" spans="1:12" ht="13.5" customHeight="1">
      <c r="A12" s="2" t="s">
        <v>22</v>
      </c>
      <c r="B12" s="3">
        <v>451.40591174412981</v>
      </c>
      <c r="C12" s="4">
        <v>-9.740756910197776</v>
      </c>
      <c r="D12" s="4">
        <v>23.709177956352999</v>
      </c>
      <c r="E12" s="1">
        <v>-0.30182799999999999</v>
      </c>
      <c r="F12" s="1">
        <v>-78.124127999999999</v>
      </c>
      <c r="G12" s="1" t="s">
        <v>23</v>
      </c>
      <c r="H12" s="20">
        <v>3914</v>
      </c>
      <c r="I12" s="5">
        <v>45333</v>
      </c>
      <c r="J12" s="6">
        <v>0.44513888888888892</v>
      </c>
      <c r="K12">
        <f t="shared" si="0"/>
        <v>-2.1578709221068252E-2</v>
      </c>
    </row>
    <row r="13" spans="1:12" ht="13.5" customHeight="1">
      <c r="A13" s="2" t="s">
        <v>24</v>
      </c>
      <c r="B13" s="3">
        <v>443.56416265080799</v>
      </c>
      <c r="C13" s="4">
        <v>-9.2912887104722657</v>
      </c>
      <c r="D13" s="4">
        <v>21.148787682580402</v>
      </c>
      <c r="E13" s="1">
        <v>-0.30182799999999999</v>
      </c>
      <c r="F13" s="1">
        <v>-78.124127999999999</v>
      </c>
      <c r="G13" s="1" t="s">
        <v>23</v>
      </c>
      <c r="H13" s="20">
        <v>3914</v>
      </c>
      <c r="I13" s="5">
        <v>45333</v>
      </c>
      <c r="J13" s="6">
        <v>0.48680555555555599</v>
      </c>
      <c r="K13">
        <f t="shared" si="0"/>
        <v>-2.0946887717317127E-2</v>
      </c>
    </row>
    <row r="14" spans="1:12" ht="13.5" customHeight="1">
      <c r="A14" s="2" t="s">
        <v>25</v>
      </c>
      <c r="B14" s="3">
        <v>459.92135544958478</v>
      </c>
      <c r="C14" s="4">
        <v>-9.5337702189525437</v>
      </c>
      <c r="D14" s="4">
        <v>20.275801686310398</v>
      </c>
      <c r="E14" s="1">
        <v>-0.30182799999999999</v>
      </c>
      <c r="F14" s="1">
        <v>-78.124127999999999</v>
      </c>
      <c r="G14" s="1" t="s">
        <v>23</v>
      </c>
      <c r="H14" s="20">
        <v>3914</v>
      </c>
      <c r="I14" s="5">
        <v>45333</v>
      </c>
      <c r="J14" s="6">
        <v>0.52847222222222201</v>
      </c>
      <c r="K14">
        <f t="shared" si="0"/>
        <v>-2.0729131417768245E-2</v>
      </c>
    </row>
    <row r="15" spans="1:12" ht="13.5" customHeight="1">
      <c r="A15" s="2" t="s">
        <v>26</v>
      </c>
      <c r="B15" s="3">
        <v>456.33747564854212</v>
      </c>
      <c r="C15" s="4">
        <v>-9.1814305334982613</v>
      </c>
      <c r="D15" s="4">
        <v>20.423497501361101</v>
      </c>
      <c r="E15" s="7">
        <v>-0.62302299999999999</v>
      </c>
      <c r="F15" s="7">
        <v>-77.840503999999996</v>
      </c>
      <c r="G15" s="1" t="s">
        <v>27</v>
      </c>
      <c r="H15" s="20">
        <v>2256</v>
      </c>
      <c r="I15" s="5">
        <v>45333</v>
      </c>
      <c r="J15" s="6">
        <v>0.4916666666666667</v>
      </c>
      <c r="K15">
        <f t="shared" si="0"/>
        <v>-2.0119825838212622E-2</v>
      </c>
      <c r="L15" s="23">
        <f>AVERAGE(C15:C32)</f>
        <v>-9.2234297787350314</v>
      </c>
    </row>
    <row r="16" spans="1:12" ht="13.5" customHeight="1">
      <c r="A16" s="2" t="s">
        <v>28</v>
      </c>
      <c r="B16" s="3">
        <v>453.36828743140313</v>
      </c>
      <c r="C16" s="4">
        <v>-9.0469305804897857</v>
      </c>
      <c r="D16" s="4">
        <v>20.256251908961101</v>
      </c>
      <c r="E16" s="7">
        <v>-0.62302299999999999</v>
      </c>
      <c r="F16" s="7">
        <v>-77.840503999999996</v>
      </c>
      <c r="G16" s="1" t="s">
        <v>27</v>
      </c>
      <c r="H16" s="20">
        <v>2256</v>
      </c>
      <c r="I16" s="5">
        <v>45333</v>
      </c>
      <c r="J16" s="6">
        <v>0.4916666666666667</v>
      </c>
      <c r="K16">
        <f t="shared" si="0"/>
        <v>-1.9954925898646211E-2</v>
      </c>
    </row>
    <row r="17" spans="1:11" ht="13.5" customHeight="1">
      <c r="A17" s="2" t="s">
        <v>29</v>
      </c>
      <c r="B17" s="3">
        <v>458.6632638727346</v>
      </c>
      <c r="C17" s="4">
        <v>-9.3167303183619019</v>
      </c>
      <c r="D17" s="4">
        <v>20.372005816448901</v>
      </c>
      <c r="E17" s="7">
        <v>-0.62302299999999999</v>
      </c>
      <c r="F17" s="7">
        <v>-77.840503999999996</v>
      </c>
      <c r="G17" s="1" t="s">
        <v>27</v>
      </c>
      <c r="H17" s="20">
        <v>2256</v>
      </c>
      <c r="I17" s="5">
        <v>45333</v>
      </c>
      <c r="J17" s="6">
        <v>0.4916666666666667</v>
      </c>
      <c r="K17">
        <f t="shared" si="0"/>
        <v>-2.0312789473688954E-2</v>
      </c>
    </row>
    <row r="18" spans="1:11" ht="13.5" customHeight="1">
      <c r="A18" s="2" t="s">
        <v>30</v>
      </c>
      <c r="B18" s="3">
        <v>458.71551499350909</v>
      </c>
      <c r="C18" s="4">
        <v>-9.5282096487793044</v>
      </c>
      <c r="D18" s="4">
        <v>20.677369491036401</v>
      </c>
      <c r="E18" s="8">
        <v>-0.40979900000000002</v>
      </c>
      <c r="F18" s="7">
        <v>-78.030744999999996</v>
      </c>
      <c r="G18" s="1" t="s">
        <v>31</v>
      </c>
      <c r="H18" s="20">
        <v>2438</v>
      </c>
      <c r="I18" s="5">
        <v>45333</v>
      </c>
      <c r="J18" s="6"/>
      <c r="K18">
        <f t="shared" si="0"/>
        <v>-2.0771500717419882E-2</v>
      </c>
    </row>
    <row r="19" spans="1:11" ht="13.5" customHeight="1">
      <c r="A19" s="2" t="s">
        <v>32</v>
      </c>
      <c r="B19" s="3">
        <v>466.14797600571472</v>
      </c>
      <c r="C19" s="4">
        <v>-9.6536070570870578</v>
      </c>
      <c r="D19" s="4">
        <v>21.439467252457501</v>
      </c>
      <c r="E19" s="8">
        <v>-0.40979900000000002</v>
      </c>
      <c r="F19" s="8">
        <v>-78.030744999999996</v>
      </c>
      <c r="G19" s="1" t="s">
        <v>31</v>
      </c>
      <c r="H19" s="20">
        <v>2438</v>
      </c>
      <c r="I19" s="5">
        <v>45333</v>
      </c>
      <c r="J19" s="6"/>
      <c r="K19">
        <f t="shared" si="0"/>
        <v>-2.0709318830054751E-2</v>
      </c>
    </row>
    <row r="20" spans="1:11" ht="13.5" customHeight="1">
      <c r="A20" s="2" t="s">
        <v>33</v>
      </c>
      <c r="B20" s="3">
        <v>457.26690083433385</v>
      </c>
      <c r="C20" s="4">
        <v>-9.2346753698987598</v>
      </c>
      <c r="D20" s="4">
        <v>20.786181499788299</v>
      </c>
      <c r="E20" s="8">
        <v>-0.40979900000000002</v>
      </c>
      <c r="F20" s="8">
        <v>-78.030744999999996</v>
      </c>
      <c r="G20" s="1" t="s">
        <v>31</v>
      </c>
      <c r="H20" s="20">
        <v>2438</v>
      </c>
      <c r="I20" s="5">
        <v>45333</v>
      </c>
      <c r="J20" s="6"/>
      <c r="K20">
        <f t="shared" si="0"/>
        <v>-2.0195372446702522E-2</v>
      </c>
    </row>
    <row r="21" spans="1:11" ht="13.5" customHeight="1">
      <c r="A21" s="2" t="s">
        <v>34</v>
      </c>
      <c r="B21" s="3">
        <v>464.56949541983789</v>
      </c>
      <c r="C21" s="4">
        <v>-9.5462726638531521</v>
      </c>
      <c r="D21" s="4">
        <v>21.523212101361501</v>
      </c>
      <c r="E21" s="7">
        <v>-0.46207999999999999</v>
      </c>
      <c r="F21" s="8">
        <v>-77.868442000000002</v>
      </c>
      <c r="G21" s="1" t="s">
        <v>35</v>
      </c>
      <c r="H21" s="20">
        <v>1917</v>
      </c>
      <c r="I21" s="5">
        <v>45333</v>
      </c>
      <c r="J21" s="6">
        <v>0.56874999999999998</v>
      </c>
      <c r="K21">
        <f t="shared" si="0"/>
        <v>-2.0548642900511695E-2</v>
      </c>
    </row>
    <row r="22" spans="1:11" ht="13.5" customHeight="1">
      <c r="A22" s="2" t="s">
        <v>36</v>
      </c>
      <c r="B22" s="3">
        <v>461.78422085202948</v>
      </c>
      <c r="C22" s="4">
        <v>-9.6742552993895252</v>
      </c>
      <c r="D22" s="4">
        <v>20.867447728392399</v>
      </c>
      <c r="E22" s="8">
        <v>-0.46207999999999999</v>
      </c>
      <c r="F22" s="8">
        <v>-77.868442000000002</v>
      </c>
      <c r="G22" s="1" t="s">
        <v>35</v>
      </c>
      <c r="H22" s="20">
        <v>1917</v>
      </c>
      <c r="I22" s="5">
        <v>45333</v>
      </c>
      <c r="J22" s="6">
        <v>0.56874999999999998</v>
      </c>
      <c r="K22">
        <f t="shared" si="0"/>
        <v>-2.0949731200298999E-2</v>
      </c>
    </row>
    <row r="23" spans="1:11" ht="13.5" customHeight="1">
      <c r="A23" s="2" t="s">
        <v>37</v>
      </c>
      <c r="B23" s="3">
        <v>453.79059453024666</v>
      </c>
      <c r="C23" s="4">
        <v>-9.1154151376574344</v>
      </c>
      <c r="D23" s="4">
        <v>21.428763393842299</v>
      </c>
      <c r="E23" s="8">
        <v>-0.46207999999999999</v>
      </c>
      <c r="F23" s="8">
        <v>-77.868442000000002</v>
      </c>
      <c r="G23" s="1" t="s">
        <v>35</v>
      </c>
      <c r="H23" s="20">
        <v>1917</v>
      </c>
      <c r="I23" s="5">
        <v>45333</v>
      </c>
      <c r="J23" s="6">
        <v>0.56874999999999998</v>
      </c>
      <c r="K23">
        <f t="shared" si="0"/>
        <v>-2.008727207555612E-2</v>
      </c>
    </row>
    <row r="24" spans="1:11" ht="13.5" customHeight="1">
      <c r="A24" s="2" t="s">
        <v>38</v>
      </c>
      <c r="B24" s="3">
        <v>460.90596609876354</v>
      </c>
      <c r="C24" s="4">
        <v>-9.258576472947345</v>
      </c>
      <c r="D24" s="4">
        <v>21.195890520217102</v>
      </c>
      <c r="E24" s="7">
        <v>-0.62302299999999999</v>
      </c>
      <c r="F24" s="7">
        <v>-77.840503999999996</v>
      </c>
      <c r="G24" s="1" t="s">
        <v>39</v>
      </c>
      <c r="H24" s="20">
        <v>2256</v>
      </c>
      <c r="I24" s="5">
        <v>45333</v>
      </c>
      <c r="J24" s="6">
        <v>0.6020833333333333</v>
      </c>
      <c r="K24">
        <f t="shared" si="0"/>
        <v>-2.0087777451254351E-2</v>
      </c>
    </row>
    <row r="25" spans="1:11" ht="13.5" customHeight="1">
      <c r="A25" s="2" t="s">
        <v>40</v>
      </c>
      <c r="B25" s="3">
        <v>468.16354641825473</v>
      </c>
      <c r="C25" s="4">
        <v>-9.4852252085764341</v>
      </c>
      <c r="D25" s="4">
        <v>20.845945825195201</v>
      </c>
      <c r="E25" s="7">
        <v>-0.62302299999999999</v>
      </c>
      <c r="F25" s="7">
        <v>-77.840503999999996</v>
      </c>
      <c r="G25" s="1" t="s">
        <v>39</v>
      </c>
      <c r="H25" s="20">
        <v>2256</v>
      </c>
      <c r="I25" s="5">
        <v>45333</v>
      </c>
      <c r="J25" s="6">
        <v>0.6020833333333333</v>
      </c>
      <c r="K25">
        <f t="shared" si="0"/>
        <v>-2.0260495036711779E-2</v>
      </c>
    </row>
    <row r="26" spans="1:11" ht="13.5" customHeight="1">
      <c r="A26" s="2" t="s">
        <v>41</v>
      </c>
      <c r="B26" s="3">
        <v>456.84965766795</v>
      </c>
      <c r="C26" s="4">
        <v>-9.1357892361897193</v>
      </c>
      <c r="D26" s="4">
        <v>20.941770284352899</v>
      </c>
      <c r="E26" s="7">
        <v>-0.62302299999999999</v>
      </c>
      <c r="F26" s="7">
        <v>-77.840503999999996</v>
      </c>
      <c r="G26" s="1" t="s">
        <v>39</v>
      </c>
      <c r="H26" s="20">
        <v>2256</v>
      </c>
      <c r="I26" s="5">
        <v>45333</v>
      </c>
      <c r="J26" s="6">
        <v>0.60208333333333297</v>
      </c>
      <c r="K26">
        <f t="shared" si="0"/>
        <v>-1.9997364741005989E-2</v>
      </c>
    </row>
    <row r="27" spans="1:11" ht="13.5" customHeight="1">
      <c r="A27" s="2" t="s">
        <v>42</v>
      </c>
      <c r="B27" s="3">
        <v>465.30010031872143</v>
      </c>
      <c r="C27" s="4">
        <v>-9.2526090064500366</v>
      </c>
      <c r="D27" s="4">
        <v>21.319159224251798</v>
      </c>
      <c r="E27" s="8">
        <v>-0.65502400000000005</v>
      </c>
      <c r="F27" s="8">
        <v>-77.784317000000001</v>
      </c>
      <c r="G27" s="9" t="s">
        <v>43</v>
      </c>
      <c r="H27" s="19">
        <v>1699</v>
      </c>
      <c r="I27" s="5">
        <v>45333</v>
      </c>
      <c r="J27" s="6">
        <v>0.60208333333333297</v>
      </c>
      <c r="K27">
        <f t="shared" si="0"/>
        <v>-1.9885250401003956E-2</v>
      </c>
    </row>
    <row r="28" spans="1:11" ht="13.5" customHeight="1">
      <c r="A28" s="2" t="s">
        <v>44</v>
      </c>
      <c r="B28" s="3">
        <v>447.02607457179766</v>
      </c>
      <c r="C28" s="4">
        <v>-9.2907643262930204</v>
      </c>
      <c r="D28" s="4">
        <v>21.508781163399</v>
      </c>
      <c r="E28" s="8">
        <v>-0.65502400000000005</v>
      </c>
      <c r="F28" s="8">
        <v>-77.784317000000001</v>
      </c>
      <c r="G28" s="9" t="s">
        <v>43</v>
      </c>
      <c r="H28" s="19">
        <v>1699</v>
      </c>
      <c r="I28" s="5">
        <v>45333</v>
      </c>
      <c r="J28" s="6">
        <v>0.60208333333333297</v>
      </c>
      <c r="K28">
        <f t="shared" si="0"/>
        <v>-2.0783495314434536E-2</v>
      </c>
    </row>
    <row r="29" spans="1:11" ht="13.5" customHeight="1">
      <c r="A29" s="2" t="s">
        <v>45</v>
      </c>
      <c r="B29" s="3">
        <v>455.11893512265686</v>
      </c>
      <c r="C29" s="4">
        <v>-9.158937332994439</v>
      </c>
      <c r="D29" s="4">
        <v>22.434262322206099</v>
      </c>
      <c r="E29" s="8">
        <v>-0.65502400000000005</v>
      </c>
      <c r="F29" s="8">
        <v>-77.784317000000001</v>
      </c>
      <c r="G29" s="9" t="s">
        <v>43</v>
      </c>
      <c r="H29" s="19">
        <v>1699</v>
      </c>
      <c r="I29" s="5">
        <v>45333</v>
      </c>
      <c r="J29" s="6">
        <v>0.60208333333333297</v>
      </c>
      <c r="K29">
        <f t="shared" si="0"/>
        <v>-2.012427219826848E-2</v>
      </c>
    </row>
    <row r="30" spans="1:11" ht="13.5" customHeight="1">
      <c r="A30" s="2" t="s">
        <v>46</v>
      </c>
      <c r="B30" s="3">
        <v>463.13276350722401</v>
      </c>
      <c r="C30" s="4">
        <v>-8.8753889726717627</v>
      </c>
      <c r="D30" s="4">
        <v>21.8033537335427</v>
      </c>
      <c r="E30" s="8">
        <v>-0.76957500000000001</v>
      </c>
      <c r="F30" s="8">
        <v>-77.791827999999995</v>
      </c>
      <c r="G30" s="9" t="s">
        <v>47</v>
      </c>
      <c r="H30" s="19">
        <v>972</v>
      </c>
      <c r="I30" s="5">
        <v>45333</v>
      </c>
      <c r="J30" s="6">
        <v>0.6020833333333333</v>
      </c>
      <c r="K30">
        <f t="shared" si="0"/>
        <v>-1.9163811485630993E-2</v>
      </c>
    </row>
    <row r="31" spans="1:11" ht="13.5" customHeight="1">
      <c r="A31" s="2" t="s">
        <v>48</v>
      </c>
      <c r="B31" s="3">
        <v>454.22691044893656</v>
      </c>
      <c r="C31" s="4">
        <v>-8.6492686309114379</v>
      </c>
      <c r="D31" s="4">
        <v>22.469513188128602</v>
      </c>
      <c r="E31" s="8">
        <v>-0.76957500000000001</v>
      </c>
      <c r="F31" s="8">
        <v>-77.791827999999995</v>
      </c>
      <c r="G31" s="9" t="s">
        <v>47</v>
      </c>
      <c r="H31" s="19">
        <v>972</v>
      </c>
      <c r="I31" s="5">
        <v>45333</v>
      </c>
      <c r="J31" s="6">
        <v>0.64375000000000004</v>
      </c>
      <c r="K31">
        <f t="shared" si="0"/>
        <v>-1.9041735379268714E-2</v>
      </c>
    </row>
    <row r="32" spans="1:11" ht="13.5" customHeight="1">
      <c r="A32" s="2" t="s">
        <v>49</v>
      </c>
      <c r="B32" s="3">
        <v>450.68184502508103</v>
      </c>
      <c r="C32" s="4">
        <v>-8.617650221181151</v>
      </c>
      <c r="D32" s="4">
        <v>21.558985665127398</v>
      </c>
      <c r="E32" s="8">
        <v>-0.76957500000000001</v>
      </c>
      <c r="F32" s="8">
        <v>-77.791827999999995</v>
      </c>
      <c r="G32" s="9" t="s">
        <v>47</v>
      </c>
      <c r="H32" s="19">
        <v>972</v>
      </c>
      <c r="I32" s="5">
        <v>45333</v>
      </c>
      <c r="J32" s="6">
        <v>0.68541666666666701</v>
      </c>
      <c r="K32">
        <f t="shared" si="0"/>
        <v>-1.9121360925247761E-2</v>
      </c>
    </row>
    <row r="33" spans="1:11" ht="13.5" customHeight="1">
      <c r="A33" s="2" t="s">
        <v>50</v>
      </c>
      <c r="B33" s="3">
        <v>530.95091403644119</v>
      </c>
      <c r="C33" s="4">
        <v>-11.114038202261639</v>
      </c>
      <c r="D33" s="4">
        <v>22.097531863116501</v>
      </c>
      <c r="E33" s="8">
        <v>-1.0551280000000001</v>
      </c>
      <c r="F33" s="8">
        <v>-77.895853000000002</v>
      </c>
      <c r="G33" s="9" t="s">
        <v>51</v>
      </c>
      <c r="H33" s="19">
        <v>592</v>
      </c>
      <c r="I33" s="5">
        <v>45334</v>
      </c>
      <c r="J33" s="6">
        <v>0.41666666666666669</v>
      </c>
      <c r="K33">
        <f t="shared" si="0"/>
        <v>-2.0932327091725923E-2</v>
      </c>
    </row>
    <row r="34" spans="1:11" ht="13.5" customHeight="1">
      <c r="A34" s="2" t="s">
        <v>52</v>
      </c>
      <c r="B34" s="3">
        <v>545.2869758735817</v>
      </c>
      <c r="C34" s="4">
        <v>-11.814260358138922</v>
      </c>
      <c r="D34" s="4">
        <v>22.0344726143265</v>
      </c>
      <c r="E34" s="8">
        <v>-1.0551280000000001</v>
      </c>
      <c r="F34" s="8">
        <v>-77.895853000000002</v>
      </c>
      <c r="G34" s="9" t="s">
        <v>51</v>
      </c>
      <c r="H34" s="19">
        <v>592</v>
      </c>
      <c r="I34" s="5">
        <v>45334</v>
      </c>
      <c r="J34" s="6">
        <v>0.45833333333333298</v>
      </c>
      <c r="K34">
        <f t="shared" si="0"/>
        <v>-2.1666133395560724E-2</v>
      </c>
    </row>
    <row r="35" spans="1:11" ht="13.5" customHeight="1">
      <c r="A35" s="2" t="s">
        <v>53</v>
      </c>
      <c r="B35" s="3">
        <v>542.77566909701079</v>
      </c>
      <c r="C35" s="4">
        <v>-11.592477707806058</v>
      </c>
      <c r="D35" s="4">
        <v>22.601361786988999</v>
      </c>
      <c r="E35" s="8">
        <v>-1.0551280000000001</v>
      </c>
      <c r="F35" s="8">
        <v>-77.895853000000002</v>
      </c>
      <c r="G35" s="9" t="s">
        <v>51</v>
      </c>
      <c r="H35" s="19">
        <v>592</v>
      </c>
      <c r="I35" s="5">
        <v>45334</v>
      </c>
      <c r="J35" s="6">
        <v>0.5</v>
      </c>
      <c r="K35">
        <f t="shared" si="0"/>
        <v>-2.1357769641907297E-2</v>
      </c>
    </row>
    <row r="36" spans="1:11" ht="13.5" customHeight="1">
      <c r="A36" s="2" t="s">
        <v>54</v>
      </c>
      <c r="B36" s="3">
        <v>510.03884176817832</v>
      </c>
      <c r="C36" s="4">
        <v>-10.717042287719831</v>
      </c>
      <c r="D36" s="4">
        <v>21.864001486460499</v>
      </c>
      <c r="E36" s="7">
        <v>-1.066935</v>
      </c>
      <c r="F36" s="7">
        <v>-77.615416999999994</v>
      </c>
      <c r="G36" s="1" t="s">
        <v>55</v>
      </c>
      <c r="H36" s="19">
        <v>426</v>
      </c>
      <c r="I36" s="5">
        <v>45334</v>
      </c>
      <c r="J36" s="6">
        <v>0.45763888888888887</v>
      </c>
      <c r="K36">
        <f t="shared" si="0"/>
        <v>-2.1012208110595069E-2</v>
      </c>
    </row>
    <row r="37" spans="1:11" ht="13.5" customHeight="1">
      <c r="A37" s="2" t="s">
        <v>56</v>
      </c>
      <c r="B37" s="3">
        <v>523.60294718299338</v>
      </c>
      <c r="C37" s="4">
        <v>-11.015123778356875</v>
      </c>
      <c r="D37" s="4">
        <v>22.539447252714002</v>
      </c>
      <c r="E37" s="7">
        <v>-1.066935</v>
      </c>
      <c r="F37" s="7">
        <v>-77.615416999999994</v>
      </c>
      <c r="G37" s="1" t="s">
        <v>55</v>
      </c>
      <c r="H37" s="19">
        <v>426</v>
      </c>
      <c r="I37" s="5">
        <v>45334</v>
      </c>
      <c r="J37" s="6">
        <v>0.499305555555556</v>
      </c>
      <c r="K37">
        <f t="shared" si="0"/>
        <v>-2.1037169171065059E-2</v>
      </c>
    </row>
    <row r="38" spans="1:11" ht="13.5" customHeight="1">
      <c r="A38" s="2" t="s">
        <v>57</v>
      </c>
      <c r="B38" s="3">
        <v>504.99493245158345</v>
      </c>
      <c r="C38" s="4">
        <v>-10.578162489810799</v>
      </c>
      <c r="D38" s="4">
        <v>21.464970118604999</v>
      </c>
      <c r="E38" s="7">
        <v>-1.066935</v>
      </c>
      <c r="F38" s="7">
        <v>-77.615416999999994</v>
      </c>
      <c r="G38" s="1" t="s">
        <v>55</v>
      </c>
      <c r="H38" s="19">
        <v>426</v>
      </c>
      <c r="I38" s="5">
        <v>45334</v>
      </c>
      <c r="J38" s="6">
        <v>0.54097222222222197</v>
      </c>
      <c r="K38">
        <f t="shared" si="0"/>
        <v>-2.0947066614029803E-2</v>
      </c>
    </row>
    <row r="39" spans="1:11" ht="13.5" customHeight="1">
      <c r="A39" s="2" t="s">
        <v>58</v>
      </c>
      <c r="B39" s="3">
        <v>456.01052451649889</v>
      </c>
      <c r="C39" s="4">
        <v>-9.9456777276528872</v>
      </c>
      <c r="D39" s="4">
        <v>21.9172958777663</v>
      </c>
      <c r="K39">
        <f t="shared" si="0"/>
        <v>-2.1810193390159448E-2</v>
      </c>
    </row>
    <row r="40" spans="1:11" ht="13.5" customHeight="1">
      <c r="A40" s="2" t="s">
        <v>59</v>
      </c>
      <c r="B40" s="3">
        <v>459.14321012936836</v>
      </c>
      <c r="C40" s="4">
        <v>-9.2475364194165142</v>
      </c>
      <c r="D40" s="4">
        <v>21.6457711314698</v>
      </c>
      <c r="E40" s="15"/>
      <c r="F40" s="15"/>
      <c r="K40">
        <f t="shared" si="0"/>
        <v>-2.0140854128738884E-2</v>
      </c>
    </row>
    <row r="41" spans="1:11" ht="13.5" customHeight="1">
      <c r="A41" s="2" t="s">
        <v>60</v>
      </c>
      <c r="B41" s="3">
        <v>456.7059297351239</v>
      </c>
      <c r="C41" s="4">
        <v>-9.4636806599541092</v>
      </c>
      <c r="D41" s="4">
        <v>21.598479851874799</v>
      </c>
      <c r="E41" s="15"/>
      <c r="F41" s="15"/>
      <c r="K41">
        <f t="shared" si="0"/>
        <v>-2.0721606714068214E-2</v>
      </c>
    </row>
    <row r="42" spans="1:11" ht="13.5" customHeight="1">
      <c r="A42" s="2" t="s">
        <v>61</v>
      </c>
      <c r="B42" s="3">
        <v>443.29569374131222</v>
      </c>
      <c r="C42" s="4">
        <v>-9.4308533253325706</v>
      </c>
      <c r="D42" s="4">
        <v>22.082683344564799</v>
      </c>
      <c r="E42" s="15"/>
      <c r="K42">
        <f t="shared" si="0"/>
        <v>-2.1274407711336804E-2</v>
      </c>
    </row>
    <row r="43" spans="1:11" ht="13.5" customHeight="1">
      <c r="A43" s="2" t="s">
        <v>62</v>
      </c>
      <c r="B43" s="3">
        <v>450.90311024631785</v>
      </c>
      <c r="C43" s="4">
        <v>-9.6276847361681295</v>
      </c>
      <c r="D43" s="4">
        <v>22.159961378627301</v>
      </c>
      <c r="K43">
        <f t="shared" si="0"/>
        <v>-2.1352003384737687E-2</v>
      </c>
    </row>
    <row r="44" spans="1:11" ht="13.5" customHeight="1">
      <c r="A44" s="2" t="s">
        <v>63</v>
      </c>
      <c r="B44" s="3">
        <v>448.99136979612717</v>
      </c>
      <c r="C44" s="4">
        <v>-9.510135043944798</v>
      </c>
      <c r="D44" s="4">
        <v>22.264381967588101</v>
      </c>
      <c r="K44">
        <f t="shared" si="0"/>
        <v>-2.1181108777799117E-2</v>
      </c>
    </row>
    <row r="45" spans="1:11" ht="13.5" customHeight="1">
      <c r="A45" s="11" t="s">
        <v>64</v>
      </c>
      <c r="B45" s="10">
        <v>554</v>
      </c>
      <c r="C45" s="4">
        <v>-13.85</v>
      </c>
      <c r="E45">
        <v>-4.1148119999999997</v>
      </c>
      <c r="F45">
        <v>-78.967029999999994</v>
      </c>
      <c r="G45" t="s">
        <v>67</v>
      </c>
      <c r="H45" s="17">
        <v>1000</v>
      </c>
      <c r="I45" s="14">
        <v>45619</v>
      </c>
      <c r="J45" s="12">
        <v>0.40972222222222227</v>
      </c>
      <c r="K45">
        <f t="shared" si="0"/>
        <v>-2.4999999999999998E-2</v>
      </c>
    </row>
    <row r="46" spans="1:11" ht="13.5" customHeight="1">
      <c r="A46" s="11" t="s">
        <v>65</v>
      </c>
      <c r="B46" s="10">
        <v>527</v>
      </c>
      <c r="C46" s="4">
        <v>-13.61</v>
      </c>
      <c r="E46">
        <v>-4.1148119999999997</v>
      </c>
      <c r="F46">
        <v>-78.967029999999994</v>
      </c>
      <c r="G46" t="s">
        <v>67</v>
      </c>
      <c r="H46" s="17">
        <v>1000</v>
      </c>
      <c r="I46" s="14">
        <v>45619</v>
      </c>
      <c r="J46" s="12">
        <v>0.41250000000000003</v>
      </c>
      <c r="K46">
        <f t="shared" si="0"/>
        <v>-2.5825426944971537E-2</v>
      </c>
    </row>
    <row r="47" spans="1:11" ht="13.5" customHeight="1">
      <c r="A47" s="11" t="s">
        <v>66</v>
      </c>
      <c r="B47" s="10">
        <v>516</v>
      </c>
      <c r="C47" s="4">
        <v>-13.43</v>
      </c>
      <c r="E47">
        <v>-4.1148119999999997</v>
      </c>
      <c r="F47">
        <v>-78.967029999999994</v>
      </c>
      <c r="G47" t="s">
        <v>67</v>
      </c>
      <c r="H47" s="17">
        <v>1000</v>
      </c>
      <c r="I47" s="14">
        <v>45619</v>
      </c>
      <c r="J47" s="12">
        <v>0.41319444444444442</v>
      </c>
      <c r="K47">
        <f t="shared" si="0"/>
        <v>-2.6027131782945735E-2</v>
      </c>
    </row>
    <row r="48" spans="1:11" ht="13.5" customHeight="1">
      <c r="A48" s="11" t="s">
        <v>64</v>
      </c>
      <c r="B48" s="10">
        <v>413</v>
      </c>
      <c r="C48" s="4">
        <v>-14.63</v>
      </c>
      <c r="E48" s="15">
        <v>-4.111993</v>
      </c>
      <c r="F48" s="15">
        <v>-79.176782000000003</v>
      </c>
      <c r="G48" t="s">
        <v>68</v>
      </c>
      <c r="H48" s="17">
        <v>3000</v>
      </c>
      <c r="I48" s="14">
        <v>45628</v>
      </c>
      <c r="J48" s="12">
        <v>0.39097222222222222</v>
      </c>
      <c r="K48">
        <f t="shared" si="0"/>
        <v>-3.5423728813559326E-2</v>
      </c>
    </row>
    <row r="49" spans="1:11" ht="13.5" customHeight="1">
      <c r="A49" s="11" t="s">
        <v>65</v>
      </c>
      <c r="B49" s="10">
        <v>501</v>
      </c>
      <c r="C49" s="4">
        <v>-12.58</v>
      </c>
      <c r="E49" s="15">
        <v>-4.1119519999999996</v>
      </c>
      <c r="F49" s="15">
        <v>-79.176828</v>
      </c>
      <c r="G49" t="s">
        <v>68</v>
      </c>
      <c r="H49" s="17">
        <v>3000</v>
      </c>
      <c r="I49" s="14">
        <v>45628</v>
      </c>
      <c r="J49" s="12">
        <v>0.40972222222222227</v>
      </c>
      <c r="K49">
        <f t="shared" si="0"/>
        <v>-2.5109780439121758E-2</v>
      </c>
    </row>
    <row r="50" spans="1:11" ht="13.5" customHeight="1">
      <c r="A50" s="11" t="s">
        <v>66</v>
      </c>
      <c r="B50" s="10">
        <v>508</v>
      </c>
      <c r="C50" s="4">
        <v>-13.28</v>
      </c>
      <c r="E50" s="15">
        <v>-4.1119529999999997</v>
      </c>
      <c r="F50">
        <f>-79.1764453</f>
        <v>-79.176445299999997</v>
      </c>
      <c r="G50" t="s">
        <v>68</v>
      </c>
      <c r="H50" s="17">
        <v>3000</v>
      </c>
      <c r="I50" s="14">
        <v>45628</v>
      </c>
      <c r="J50" s="13">
        <v>0.4152777777777778</v>
      </c>
      <c r="K50">
        <f t="shared" si="0"/>
        <v>-2.6141732283464565E-2</v>
      </c>
    </row>
    <row r="51" spans="1:11" ht="13.5" customHeight="1">
      <c r="B51" s="10">
        <v>516</v>
      </c>
      <c r="C51" s="4">
        <v>-15.11</v>
      </c>
      <c r="E51" s="16" t="s">
        <v>73</v>
      </c>
      <c r="F51" s="16" t="s">
        <v>74</v>
      </c>
      <c r="G51" t="s">
        <v>69</v>
      </c>
      <c r="H51" s="17">
        <v>1000</v>
      </c>
      <c r="I51" s="14">
        <v>45907</v>
      </c>
      <c r="J51" s="13">
        <v>9.0277777777777776E-2</v>
      </c>
      <c r="K51">
        <f t="shared" si="0"/>
        <v>-2.9282945736434106E-2</v>
      </c>
    </row>
    <row r="52" spans="1:11" ht="13.5" customHeight="1">
      <c r="B52" s="10">
        <v>470</v>
      </c>
      <c r="C52">
        <v>-11.72</v>
      </c>
      <c r="E52" s="16" t="s">
        <v>73</v>
      </c>
      <c r="F52" s="16" t="s">
        <v>74</v>
      </c>
      <c r="G52" t="s">
        <v>69</v>
      </c>
      <c r="H52" s="17">
        <v>1000</v>
      </c>
      <c r="I52" s="14">
        <v>45907</v>
      </c>
      <c r="J52" s="13">
        <v>9.2361111111111116E-2</v>
      </c>
      <c r="K52">
        <f t="shared" si="0"/>
        <v>-2.4936170212765958E-2</v>
      </c>
    </row>
    <row r="53" spans="1:11" ht="13.5" customHeight="1">
      <c r="B53" s="10">
        <v>504</v>
      </c>
      <c r="C53">
        <v>-14.65</v>
      </c>
      <c r="E53" s="16" t="s">
        <v>73</v>
      </c>
      <c r="F53" s="16" t="s">
        <v>74</v>
      </c>
      <c r="G53" t="s">
        <v>69</v>
      </c>
      <c r="H53" s="17">
        <v>1000</v>
      </c>
      <c r="I53" s="14">
        <v>45907</v>
      </c>
      <c r="J53" s="13">
        <v>9.7222222222222224E-2</v>
      </c>
      <c r="K53">
        <f t="shared" si="0"/>
        <v>-2.9067460317460318E-2</v>
      </c>
    </row>
    <row r="54" spans="1:11" ht="13.5" customHeight="1">
      <c r="B54" s="10">
        <v>500</v>
      </c>
      <c r="C54">
        <v>-12.38</v>
      </c>
      <c r="E54" s="16" t="s">
        <v>73</v>
      </c>
      <c r="F54" s="16" t="s">
        <v>74</v>
      </c>
      <c r="G54" t="s">
        <v>69</v>
      </c>
      <c r="H54" s="21">
        <v>1000</v>
      </c>
      <c r="I54" s="14">
        <v>45907</v>
      </c>
      <c r="J54" s="13">
        <v>9.7916666666666666E-2</v>
      </c>
      <c r="K54">
        <f t="shared" si="0"/>
        <v>-2.4760000000000001E-2</v>
      </c>
    </row>
    <row r="55" spans="1:11" ht="13.5" customHeight="1">
      <c r="B55" s="10">
        <v>468</v>
      </c>
      <c r="C55" s="10">
        <v>-12.26</v>
      </c>
      <c r="E55" s="16" t="s">
        <v>75</v>
      </c>
      <c r="F55" s="16" t="s">
        <v>76</v>
      </c>
      <c r="G55" s="14" t="s">
        <v>70</v>
      </c>
      <c r="H55" s="22">
        <v>1500</v>
      </c>
      <c r="I55" s="14">
        <v>45538</v>
      </c>
      <c r="J55" s="13">
        <v>0.44097222222222227</v>
      </c>
      <c r="K55">
        <f t="shared" si="0"/>
        <v>-2.6196581196581196E-2</v>
      </c>
    </row>
    <row r="56" spans="1:11" ht="13.5" customHeight="1">
      <c r="B56" s="10">
        <v>488</v>
      </c>
      <c r="C56" s="10">
        <v>-12.83</v>
      </c>
      <c r="E56" s="16" t="s">
        <v>75</v>
      </c>
      <c r="F56" s="16" t="s">
        <v>76</v>
      </c>
      <c r="G56" s="14" t="s">
        <v>70</v>
      </c>
      <c r="H56" s="22">
        <v>1500</v>
      </c>
      <c r="I56" s="14">
        <v>45538</v>
      </c>
      <c r="J56" s="13">
        <v>0.44097222222222227</v>
      </c>
      <c r="K56">
        <f t="shared" si="0"/>
        <v>-2.6290983606557378E-2</v>
      </c>
    </row>
    <row r="57" spans="1:11" ht="13.5" customHeight="1">
      <c r="B57" s="10">
        <v>484</v>
      </c>
      <c r="C57" s="10">
        <v>-13.14</v>
      </c>
      <c r="E57" s="16" t="s">
        <v>75</v>
      </c>
      <c r="F57" s="16" t="s">
        <v>76</v>
      </c>
      <c r="G57" s="14" t="s">
        <v>70</v>
      </c>
      <c r="H57" s="22">
        <v>1500</v>
      </c>
      <c r="I57" s="14">
        <v>45538</v>
      </c>
      <c r="J57" s="13">
        <v>0.44097222222222227</v>
      </c>
      <c r="K57">
        <f t="shared" si="0"/>
        <v>-2.7148760330578513E-2</v>
      </c>
    </row>
    <row r="58" spans="1:11" ht="13.5" customHeight="1">
      <c r="B58" s="10">
        <v>558</v>
      </c>
      <c r="C58" s="10">
        <v>-14.14</v>
      </c>
      <c r="E58" s="16" t="s">
        <v>77</v>
      </c>
      <c r="F58" s="16"/>
      <c r="G58" s="14" t="s">
        <v>70</v>
      </c>
      <c r="H58" s="22">
        <v>1500</v>
      </c>
      <c r="I58" s="14">
        <v>45538</v>
      </c>
      <c r="J58" s="13">
        <v>0.68055555555555547</v>
      </c>
      <c r="K58">
        <f t="shared" si="0"/>
        <v>-2.5340501792114695E-2</v>
      </c>
    </row>
    <row r="59" spans="1:11" ht="13.5" customHeight="1">
      <c r="B59" s="10">
        <v>560</v>
      </c>
      <c r="C59" s="10">
        <v>-14.17</v>
      </c>
      <c r="E59" s="16" t="s">
        <v>78</v>
      </c>
      <c r="F59" s="16"/>
      <c r="G59" s="14" t="s">
        <v>70</v>
      </c>
      <c r="H59" s="22">
        <v>1500</v>
      </c>
      <c r="I59" s="14">
        <v>45538</v>
      </c>
      <c r="J59" s="13">
        <v>0.68055555555555547</v>
      </c>
      <c r="K59">
        <f t="shared" si="0"/>
        <v>-2.5303571428571429E-2</v>
      </c>
    </row>
    <row r="60" spans="1:11" ht="13.5" customHeight="1">
      <c r="B60" s="10">
        <v>540</v>
      </c>
      <c r="C60" s="10">
        <v>-13.93</v>
      </c>
      <c r="E60" s="16" t="s">
        <v>79</v>
      </c>
      <c r="F60" s="16"/>
      <c r="G60" s="14" t="s">
        <v>70</v>
      </c>
      <c r="H60" s="22">
        <v>1500</v>
      </c>
      <c r="I60" s="14">
        <v>45538</v>
      </c>
      <c r="J60" s="13">
        <v>0.68055555555555547</v>
      </c>
      <c r="K60">
        <f t="shared" si="0"/>
        <v>-2.5796296296296296E-2</v>
      </c>
    </row>
    <row r="61" spans="1:11" ht="13.5" customHeight="1">
      <c r="B61" s="10">
        <v>486</v>
      </c>
      <c r="C61" s="10">
        <v>-12.49</v>
      </c>
      <c r="E61" s="16" t="s">
        <v>84</v>
      </c>
      <c r="F61" s="16" t="s">
        <v>85</v>
      </c>
      <c r="G61" t="s">
        <v>71</v>
      </c>
      <c r="H61" s="22">
        <v>3500</v>
      </c>
      <c r="I61" s="14">
        <v>45602</v>
      </c>
      <c r="J61" s="13">
        <v>0.4694444444444445</v>
      </c>
      <c r="K61">
        <f t="shared" si="0"/>
        <v>-2.5699588477366257E-2</v>
      </c>
    </row>
    <row r="62" spans="1:11" ht="13.5" customHeight="1">
      <c r="B62" s="10">
        <v>476</v>
      </c>
      <c r="C62" s="10">
        <v>-12.55</v>
      </c>
      <c r="E62" s="16" t="s">
        <v>84</v>
      </c>
      <c r="F62" s="16" t="s">
        <v>85</v>
      </c>
      <c r="G62" t="s">
        <v>71</v>
      </c>
      <c r="H62" s="22">
        <v>3500</v>
      </c>
      <c r="I62" s="14">
        <v>45602</v>
      </c>
      <c r="J62" s="13">
        <v>0.4694444444444445</v>
      </c>
      <c r="K62">
        <f t="shared" si="0"/>
        <v>-2.6365546218487395E-2</v>
      </c>
    </row>
    <row r="63" spans="1:11" ht="13.5" customHeight="1">
      <c r="B63" s="10">
        <v>493</v>
      </c>
      <c r="C63" s="10">
        <v>-13.99</v>
      </c>
      <c r="E63" s="16" t="s">
        <v>80</v>
      </c>
      <c r="F63" s="16" t="s">
        <v>81</v>
      </c>
      <c r="G63" t="s">
        <v>72</v>
      </c>
      <c r="H63" s="21">
        <v>4000</v>
      </c>
      <c r="I63" s="14">
        <v>45602</v>
      </c>
      <c r="J63" s="13">
        <v>0.4291666666666667</v>
      </c>
      <c r="K63">
        <f t="shared" si="0"/>
        <v>-2.8377281947261662E-2</v>
      </c>
    </row>
    <row r="64" spans="1:11" ht="13.5" customHeight="1">
      <c r="B64" s="10">
        <v>471</v>
      </c>
      <c r="C64" s="10">
        <v>-12.41</v>
      </c>
      <c r="E64" s="16" t="s">
        <v>80</v>
      </c>
      <c r="F64" s="16" t="s">
        <v>81</v>
      </c>
      <c r="G64" t="s">
        <v>72</v>
      </c>
      <c r="H64" s="17">
        <v>4000</v>
      </c>
      <c r="I64" s="14">
        <v>45602</v>
      </c>
      <c r="J64" s="13">
        <v>0.43055555555555558</v>
      </c>
      <c r="K64">
        <f t="shared" si="0"/>
        <v>-2.6348195329087051E-2</v>
      </c>
    </row>
    <row r="65" spans="2:11" ht="13.5" customHeight="1">
      <c r="B65" s="10">
        <v>485</v>
      </c>
      <c r="C65" s="10">
        <v>-12.9</v>
      </c>
      <c r="E65" s="16" t="s">
        <v>82</v>
      </c>
      <c r="F65" s="16" t="s">
        <v>83</v>
      </c>
      <c r="G65" t="s">
        <v>72</v>
      </c>
      <c r="H65" s="17">
        <v>4000</v>
      </c>
      <c r="I65" s="14">
        <v>45602</v>
      </c>
      <c r="J65" s="13">
        <v>0.44166666666666665</v>
      </c>
      <c r="K65">
        <f>C65/B65</f>
        <v>-2.6597938144329897E-2</v>
      </c>
    </row>
    <row r="66" spans="2:11" ht="13.5" customHeight="1"/>
    <row r="67" spans="2:11" ht="13.5" customHeight="1"/>
    <row r="68" spans="2:11" ht="13.5" customHeight="1"/>
    <row r="69" spans="2:11" ht="13.5" customHeight="1"/>
    <row r="70" spans="2:11" ht="13.5" customHeight="1"/>
    <row r="71" spans="2:11" ht="13.5" customHeight="1"/>
    <row r="72" spans="2:11" ht="13.5" customHeight="1"/>
    <row r="73" spans="2:11" ht="13.5" customHeight="1"/>
    <row r="74" spans="2:11" ht="13.5" customHeight="1"/>
    <row r="75" spans="2:11" ht="13.5" customHeight="1"/>
    <row r="76" spans="2:11" ht="13.5" customHeight="1"/>
    <row r="77" spans="2:11" ht="13.5" customHeight="1"/>
    <row r="78" spans="2:11" ht="13.5" customHeight="1"/>
    <row r="79" spans="2:11" ht="13.5" customHeight="1"/>
    <row r="80" spans="2:11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</sheetData>
  <autoFilter ref="A1:L1"/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Bodé</dc:creator>
  <cp:lastModifiedBy>selene.baez</cp:lastModifiedBy>
  <dcterms:created xsi:type="dcterms:W3CDTF">2024-07-11T08:28:52Z</dcterms:created>
  <dcterms:modified xsi:type="dcterms:W3CDTF">2026-09-01T22:19:47Z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0x0101001E6A87959B5BAF469572EFA52932F955</vt:lpwstr>
  </property>
</Properties>
</file>
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8800" windowHeight="1110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H988" i="1" l="1"/>
  <c r="H987" i="1"/>
  <c r="H986" i="1"/>
  <c r="H985" i="1"/>
  <c r="H983" i="1"/>
  <c r="H981" i="1"/>
  <c r="H979" i="1"/>
  <c r="H978" i="1"/>
  <c r="H973" i="1"/>
  <c r="H972" i="1"/>
  <c r="H967" i="1"/>
  <c r="H965" i="1"/>
  <c r="H964" i="1"/>
  <c r="H900" i="1"/>
  <c r="H804" i="1"/>
  <c r="H661" i="1"/>
  <c r="H657" i="1"/>
  <c r="H617" i="1"/>
  <c r="H615" i="1"/>
  <c r="H604" i="1"/>
  <c r="H598" i="1"/>
  <c r="H593" i="1"/>
  <c r="H592" i="1"/>
  <c r="H591" i="1"/>
  <c r="H590" i="1"/>
  <c r="H588" i="1"/>
  <c r="H583" i="1"/>
  <c r="H576" i="1"/>
  <c r="H572" i="1"/>
  <c r="H569" i="1"/>
  <c r="H568" i="1"/>
  <c r="H566" i="1"/>
  <c r="H565" i="1"/>
  <c r="H563" i="1"/>
  <c r="H549" i="1"/>
  <c r="H544" i="1"/>
  <c r="H541" i="1"/>
  <c r="H540" i="1"/>
  <c r="H538" i="1"/>
  <c r="H483" i="1"/>
  <c r="H481" i="1"/>
  <c r="H479" i="1"/>
  <c r="H474" i="1"/>
  <c r="H471" i="1"/>
  <c r="H464" i="1"/>
  <c r="H463" i="1"/>
  <c r="H462" i="1"/>
  <c r="H442" i="1"/>
  <c r="H440" i="1"/>
  <c r="H439" i="1"/>
  <c r="H437" i="1"/>
  <c r="H436" i="1"/>
  <c r="H435" i="1"/>
  <c r="H434" i="1"/>
  <c r="H426" i="1"/>
  <c r="H399" i="1"/>
  <c r="H389" i="1"/>
  <c r="H383" i="1"/>
  <c r="H376" i="1"/>
  <c r="H349" i="1"/>
  <c r="H343" i="1"/>
  <c r="H335" i="1"/>
  <c r="H326" i="1"/>
  <c r="H322" i="1"/>
  <c r="H318" i="1"/>
  <c r="H311" i="1"/>
  <c r="H310" i="1"/>
  <c r="H308" i="1"/>
  <c r="H302" i="1"/>
  <c r="H285" i="1"/>
  <c r="H283" i="1"/>
  <c r="H280" i="1"/>
  <c r="H275" i="1"/>
  <c r="H273" i="1"/>
  <c r="H271" i="1"/>
  <c r="H118" i="1"/>
  <c r="H114" i="1"/>
  <c r="H97" i="1"/>
  <c r="H49" i="1"/>
  <c r="H47" i="1"/>
  <c r="H39" i="1"/>
</calcChain>
</file>

<file path=xl/sharedStrings.xml><?xml version="1.0" encoding="utf-8"?>
<sst xmlns="http://schemas.openxmlformats.org/spreadsheetml/2006/main" count="4891" uniqueCount="779">
  <si>
    <t>site</t>
  </si>
  <si>
    <t>PlotID</t>
  </si>
  <si>
    <t>treeID</t>
  </si>
  <si>
    <t>family</t>
  </si>
  <si>
    <t>genus</t>
  </si>
  <si>
    <t>species</t>
  </si>
  <si>
    <t>JH herbarium collections</t>
  </si>
  <si>
    <t>leaf sample tree</t>
  </si>
  <si>
    <t>leaf sample 2025</t>
  </si>
  <si>
    <t>Collected_2024</t>
  </si>
  <si>
    <t>Galeras</t>
  </si>
  <si>
    <t>GAL_20</t>
  </si>
  <si>
    <t>Rubiaceae</t>
  </si>
  <si>
    <t>Randia</t>
  </si>
  <si>
    <t>Burseraceae</t>
  </si>
  <si>
    <t>Dacryodes</t>
  </si>
  <si>
    <t>aff cupularis</t>
  </si>
  <si>
    <t>Euphorbiaceae</t>
  </si>
  <si>
    <t>Croton</t>
  </si>
  <si>
    <t>tessmannii</t>
  </si>
  <si>
    <t>Lauraceae</t>
  </si>
  <si>
    <t>Aniba</t>
  </si>
  <si>
    <t>Sapium</t>
  </si>
  <si>
    <t>glandulosum</t>
  </si>
  <si>
    <t>Arecaceae</t>
  </si>
  <si>
    <t>Socratea</t>
  </si>
  <si>
    <t>exorrhiza</t>
  </si>
  <si>
    <t>Lecythidaceae</t>
  </si>
  <si>
    <t>Eschweilera</t>
  </si>
  <si>
    <t>caudiculata</t>
  </si>
  <si>
    <t>Wettinia</t>
  </si>
  <si>
    <t>cf mayensis</t>
  </si>
  <si>
    <t>Alchornea</t>
  </si>
  <si>
    <t>Combretaceae</t>
  </si>
  <si>
    <t>Terminalia</t>
  </si>
  <si>
    <t>amazonia</t>
  </si>
  <si>
    <t>Fabaceae</t>
  </si>
  <si>
    <t>Inga</t>
  </si>
  <si>
    <t>marginata</t>
  </si>
  <si>
    <t>Myristicaceae</t>
  </si>
  <si>
    <t>Compsoneura</t>
  </si>
  <si>
    <t>capitellata</t>
  </si>
  <si>
    <t>Ocotea</t>
  </si>
  <si>
    <t>floribunda</t>
  </si>
  <si>
    <t>Salicaceae</t>
  </si>
  <si>
    <t>Casearia</t>
  </si>
  <si>
    <t>mariquitensis</t>
  </si>
  <si>
    <t>1987, 3718</t>
  </si>
  <si>
    <t>Urticaceae</t>
  </si>
  <si>
    <t>Cecropia</t>
  </si>
  <si>
    <t xml:space="preserve">cf putumayonis </t>
  </si>
  <si>
    <t>Calliandra</t>
  </si>
  <si>
    <t>trinervia</t>
  </si>
  <si>
    <t>Nectandra</t>
  </si>
  <si>
    <t>membranacea</t>
  </si>
  <si>
    <t>Sapindaceae</t>
  </si>
  <si>
    <t>Allophylus</t>
  </si>
  <si>
    <t>Alibertia</t>
  </si>
  <si>
    <t>acuminata</t>
  </si>
  <si>
    <t>x</t>
  </si>
  <si>
    <t>pachypodus</t>
  </si>
  <si>
    <t>y</t>
  </si>
  <si>
    <t>GAL_21</t>
  </si>
  <si>
    <t>Melastomataceae</t>
  </si>
  <si>
    <t>Conostegia</t>
  </si>
  <si>
    <t>superba</t>
  </si>
  <si>
    <t>1980, 2342</t>
  </si>
  <si>
    <t>Rutaceae</t>
  </si>
  <si>
    <t>Zanthoxylum</t>
  </si>
  <si>
    <t>cf riedelanum</t>
  </si>
  <si>
    <t>3713</t>
  </si>
  <si>
    <t>Meliaceae</t>
  </si>
  <si>
    <t>Guarea</t>
  </si>
  <si>
    <t>persistens</t>
  </si>
  <si>
    <t>1979</t>
  </si>
  <si>
    <t>Chimarrhis</t>
  </si>
  <si>
    <t>hookeri</t>
  </si>
  <si>
    <t>3714</t>
  </si>
  <si>
    <t>Ruagea</t>
  </si>
  <si>
    <t>glabra</t>
  </si>
  <si>
    <t>multinervis</t>
  </si>
  <si>
    <t>GAL_22</t>
  </si>
  <si>
    <t>Ulmaceae</t>
  </si>
  <si>
    <t>Trema</t>
  </si>
  <si>
    <t>Moraceae</t>
  </si>
  <si>
    <t>Sorocea</t>
  </si>
  <si>
    <t>trophoides</t>
  </si>
  <si>
    <t>Ø</t>
  </si>
  <si>
    <t>Virola</t>
  </si>
  <si>
    <t>calophylla</t>
  </si>
  <si>
    <t>Pourouma</t>
  </si>
  <si>
    <t>minor</t>
  </si>
  <si>
    <t>Simaroubaceae</t>
  </si>
  <si>
    <t>Iriartea</t>
  </si>
  <si>
    <t>deltoidea</t>
  </si>
  <si>
    <t>Sapotaceae</t>
  </si>
  <si>
    <t>Pouteria</t>
  </si>
  <si>
    <t>bilocularis</t>
  </si>
  <si>
    <t>laevigata</t>
  </si>
  <si>
    <t>Trichilia</t>
  </si>
  <si>
    <t>pleeana</t>
  </si>
  <si>
    <t>Proteaceae</t>
  </si>
  <si>
    <t>Euplassa</t>
  </si>
  <si>
    <t>occidentalis</t>
  </si>
  <si>
    <t>2042, 3779</t>
  </si>
  <si>
    <t>oblonga</t>
  </si>
  <si>
    <t>sp Galeras</t>
  </si>
  <si>
    <t>Phyllanthaceae</t>
  </si>
  <si>
    <t>Hieronyma</t>
  </si>
  <si>
    <t>silvatica</t>
  </si>
  <si>
    <t>poeppigii</t>
  </si>
  <si>
    <t>Jupunba</t>
  </si>
  <si>
    <t>trapezifolia var. micradenia</t>
  </si>
  <si>
    <t>Margaritaria</t>
  </si>
  <si>
    <t>nobilis</t>
  </si>
  <si>
    <t>Violaceae</t>
  </si>
  <si>
    <t>Gloeospermum</t>
  </si>
  <si>
    <t>equatoriense</t>
  </si>
  <si>
    <t>pavonis</t>
  </si>
  <si>
    <t>Chrysophyllum</t>
  </si>
  <si>
    <t>venezuelanense</t>
  </si>
  <si>
    <t>same as 3745</t>
  </si>
  <si>
    <t>indet</t>
  </si>
  <si>
    <t>GAL_23</t>
  </si>
  <si>
    <t>Parkia</t>
  </si>
  <si>
    <t>velutina</t>
  </si>
  <si>
    <t>3736</t>
  </si>
  <si>
    <t>Celastraceae</t>
  </si>
  <si>
    <t>Maytenus</t>
  </si>
  <si>
    <t>2025</t>
  </si>
  <si>
    <t>Hippocrateaceae</t>
  </si>
  <si>
    <t>Tontelea</t>
  </si>
  <si>
    <t>emarginata</t>
  </si>
  <si>
    <t>2023</t>
  </si>
  <si>
    <t>Pleurothyrium</t>
  </si>
  <si>
    <t>insigne</t>
  </si>
  <si>
    <t>2024</t>
  </si>
  <si>
    <t>Quiinaceae</t>
  </si>
  <si>
    <t>Lacunaria</t>
  </si>
  <si>
    <t>crenata</t>
  </si>
  <si>
    <t>3737</t>
  </si>
  <si>
    <t>Tachigali</t>
  </si>
  <si>
    <t>3738</t>
  </si>
  <si>
    <t>Grias</t>
  </si>
  <si>
    <t>peruviana</t>
  </si>
  <si>
    <t>3739</t>
  </si>
  <si>
    <t>Lucuma</t>
  </si>
  <si>
    <t>multiflora</t>
  </si>
  <si>
    <t>3740</t>
  </si>
  <si>
    <t>Faramea</t>
  </si>
  <si>
    <t>2022</t>
  </si>
  <si>
    <t>cf bicolor</t>
  </si>
  <si>
    <t>capitata</t>
  </si>
  <si>
    <t>3744</t>
  </si>
  <si>
    <t>Cornuella</t>
  </si>
  <si>
    <t>3745</t>
  </si>
  <si>
    <t>pterorhachis</t>
  </si>
  <si>
    <t>Posoqueria</t>
  </si>
  <si>
    <t>latifolia</t>
  </si>
  <si>
    <t>2016</t>
  </si>
  <si>
    <t>Elaeocarpaceae</t>
  </si>
  <si>
    <t>Sloanea</t>
  </si>
  <si>
    <t>2034</t>
  </si>
  <si>
    <t>aff gracilis</t>
  </si>
  <si>
    <t>3741</t>
  </si>
  <si>
    <t>2015</t>
  </si>
  <si>
    <t>Kutchubaea</t>
  </si>
  <si>
    <t>semisericea</t>
  </si>
  <si>
    <t>3742</t>
  </si>
  <si>
    <t>Coussarea</t>
  </si>
  <si>
    <t>racemosa</t>
  </si>
  <si>
    <t>3743</t>
  </si>
  <si>
    <t>leiocalycina</t>
  </si>
  <si>
    <t>2021</t>
  </si>
  <si>
    <t>Ficus</t>
  </si>
  <si>
    <t>GAL_24</t>
  </si>
  <si>
    <t>ø</t>
  </si>
  <si>
    <t>sp</t>
  </si>
  <si>
    <t>Anacardiaceae</t>
  </si>
  <si>
    <t>Tapirira</t>
  </si>
  <si>
    <t>guianensis</t>
  </si>
  <si>
    <t>Vochysiaceae</t>
  </si>
  <si>
    <t>Lacistemataceae</t>
  </si>
  <si>
    <t>Lozania</t>
  </si>
  <si>
    <t>klugii</t>
  </si>
  <si>
    <t>asperifolia</t>
  </si>
  <si>
    <t>Otoba</t>
  </si>
  <si>
    <t>glycycarpa</t>
  </si>
  <si>
    <t>Clusiaceae</t>
  </si>
  <si>
    <t>Garcinia</t>
  </si>
  <si>
    <t>madruno</t>
  </si>
  <si>
    <t>3688 &amp; 2071</t>
  </si>
  <si>
    <t>Lacistema</t>
  </si>
  <si>
    <t>Tovomita</t>
  </si>
  <si>
    <t>weddeliana</t>
  </si>
  <si>
    <t>Caryocaraceae</t>
  </si>
  <si>
    <t>Caryocar</t>
  </si>
  <si>
    <t>glabrum</t>
  </si>
  <si>
    <t>Primulaceae</t>
  </si>
  <si>
    <t>Myrsine</t>
  </si>
  <si>
    <t>coriaceae</t>
  </si>
  <si>
    <t>Vochysia</t>
  </si>
  <si>
    <t>punctata</t>
  </si>
  <si>
    <t>insularis</t>
  </si>
  <si>
    <t>Micropholis</t>
  </si>
  <si>
    <t>venulosa</t>
  </si>
  <si>
    <t>GAL_25</t>
  </si>
  <si>
    <t>Chrysobalanaceae</t>
  </si>
  <si>
    <t>Hirtella</t>
  </si>
  <si>
    <t>americana</t>
  </si>
  <si>
    <t>Chrysochlamys</t>
  </si>
  <si>
    <t>cf venusta</t>
  </si>
  <si>
    <t>Dictyocaryum</t>
  </si>
  <si>
    <t>lamarckianum</t>
  </si>
  <si>
    <t>cuspidata</t>
  </si>
  <si>
    <t>umbellifera</t>
  </si>
  <si>
    <t>grandiflora</t>
  </si>
  <si>
    <t>Simarouba</t>
  </si>
  <si>
    <t>amara</t>
  </si>
  <si>
    <t>Annonaceae</t>
  </si>
  <si>
    <t>Guatteria</t>
  </si>
  <si>
    <t>pastazae</t>
  </si>
  <si>
    <t>3633 &amp; 2098</t>
  </si>
  <si>
    <t>Malvaceae</t>
  </si>
  <si>
    <t>Matisia</t>
  </si>
  <si>
    <t>idroboi</t>
  </si>
  <si>
    <t>anomala</t>
  </si>
  <si>
    <t>cuencana</t>
  </si>
  <si>
    <t>GAL_26</t>
  </si>
  <si>
    <t>guyanensis</t>
  </si>
  <si>
    <t>Dussia</t>
  </si>
  <si>
    <t>Bactris</t>
  </si>
  <si>
    <t>cf setulosa</t>
  </si>
  <si>
    <t>cf acuminata</t>
  </si>
  <si>
    <t>Nyctaginaceae</t>
  </si>
  <si>
    <t>Neea</t>
  </si>
  <si>
    <t>divaricata</t>
  </si>
  <si>
    <t>Licania</t>
  </si>
  <si>
    <t>celiae</t>
  </si>
  <si>
    <t>3567 &amp; 2315</t>
  </si>
  <si>
    <t>Myrtaceae</t>
  </si>
  <si>
    <t>Eugenia</t>
  </si>
  <si>
    <t>2316 &amp; 5006</t>
  </si>
  <si>
    <t>Naucleopsis</t>
  </si>
  <si>
    <t>ulei</t>
  </si>
  <si>
    <t>cf glandulosa</t>
  </si>
  <si>
    <t>Roupala</t>
  </si>
  <si>
    <t>GAL_28</t>
  </si>
  <si>
    <t>Sapo28</t>
  </si>
  <si>
    <t>3601</t>
  </si>
  <si>
    <t>Rosaceae</t>
  </si>
  <si>
    <t>Prunus</t>
  </si>
  <si>
    <t>opaca</t>
  </si>
  <si>
    <t>3587</t>
  </si>
  <si>
    <t>Moquilea</t>
  </si>
  <si>
    <t>magnifructa</t>
  </si>
  <si>
    <t>3589</t>
  </si>
  <si>
    <t>Ladenbergia</t>
  </si>
  <si>
    <t>2293</t>
  </si>
  <si>
    <t>2294</t>
  </si>
  <si>
    <t>Diplotropis</t>
  </si>
  <si>
    <t>aff purpurea</t>
  </si>
  <si>
    <t>3579,2295</t>
  </si>
  <si>
    <t>quixos</t>
  </si>
  <si>
    <t>3576</t>
  </si>
  <si>
    <t>Olacaceae</t>
  </si>
  <si>
    <t>3600</t>
  </si>
  <si>
    <t>Myrsinaceae</t>
  </si>
  <si>
    <t>aff. acrocephala</t>
  </si>
  <si>
    <t>3575</t>
  </si>
  <si>
    <t>obovata</t>
  </si>
  <si>
    <t>3578</t>
  </si>
  <si>
    <t>Matayba</t>
  </si>
  <si>
    <t>3588</t>
  </si>
  <si>
    <t>Chloranthaceae</t>
  </si>
  <si>
    <t>Hedyosmum</t>
  </si>
  <si>
    <t>anisodorum</t>
  </si>
  <si>
    <t>Protium</t>
  </si>
  <si>
    <t>sp. nov. #4</t>
  </si>
  <si>
    <t>3590</t>
  </si>
  <si>
    <t>Helicostylis</t>
  </si>
  <si>
    <t>tovariensis</t>
  </si>
  <si>
    <t>2311</t>
  </si>
  <si>
    <t>Rubi28</t>
  </si>
  <si>
    <t>2312</t>
  </si>
  <si>
    <t>Elaeagia</t>
  </si>
  <si>
    <t>mariae</t>
  </si>
  <si>
    <t>3581</t>
  </si>
  <si>
    <t>Theaceae</t>
  </si>
  <si>
    <t>Gordonia</t>
  </si>
  <si>
    <t>fruticosa</t>
  </si>
  <si>
    <t>2296</t>
  </si>
  <si>
    <t>3586</t>
  </si>
  <si>
    <t>3577</t>
  </si>
  <si>
    <t>cf acutifolia</t>
  </si>
  <si>
    <t>3583</t>
  </si>
  <si>
    <t>subrutilans</t>
  </si>
  <si>
    <t>3582</t>
  </si>
  <si>
    <t>Peraceae</t>
  </si>
  <si>
    <t>Chaetocarpus</t>
  </si>
  <si>
    <t>3580</t>
  </si>
  <si>
    <t>Cunnoniaceae</t>
  </si>
  <si>
    <t>Weinmannia</t>
  </si>
  <si>
    <t>cf fagaroides</t>
  </si>
  <si>
    <t>Apocynaceae</t>
  </si>
  <si>
    <t>Apo28</t>
  </si>
  <si>
    <t>GAL_29</t>
  </si>
  <si>
    <t>melinoniana</t>
  </si>
  <si>
    <t>3783</t>
  </si>
  <si>
    <t>mutisiana</t>
  </si>
  <si>
    <t>3784</t>
  </si>
  <si>
    <t>3785</t>
  </si>
  <si>
    <t>3786</t>
  </si>
  <si>
    <t>3787</t>
  </si>
  <si>
    <t>Leonia</t>
  </si>
  <si>
    <t>kunthiana</t>
  </si>
  <si>
    <t>Neosprucea</t>
  </si>
  <si>
    <t>cf grandiflora</t>
  </si>
  <si>
    <t>Cardiopteridaceae</t>
  </si>
  <si>
    <t>Dendrobangia</t>
  </si>
  <si>
    <t>boliviana</t>
  </si>
  <si>
    <t>3788</t>
  </si>
  <si>
    <t>3789</t>
  </si>
  <si>
    <t>3790</t>
  </si>
  <si>
    <t>3791</t>
  </si>
  <si>
    <t>3792</t>
  </si>
  <si>
    <t>3793</t>
  </si>
  <si>
    <t>Tetragastris</t>
  </si>
  <si>
    <t>panamensis</t>
  </si>
  <si>
    <t>3794</t>
  </si>
  <si>
    <t>Cecropiaceae</t>
  </si>
  <si>
    <t>sciadophylla</t>
  </si>
  <si>
    <t>ferruginea</t>
  </si>
  <si>
    <t>3795</t>
  </si>
  <si>
    <t>cf. schultesii</t>
  </si>
  <si>
    <t>3796,2501</t>
  </si>
  <si>
    <t>2502</t>
  </si>
  <si>
    <t>cf multivenia</t>
  </si>
  <si>
    <t>3797</t>
  </si>
  <si>
    <t>GAL_47</t>
  </si>
  <si>
    <t>3724, David</t>
  </si>
  <si>
    <t>3723</t>
  </si>
  <si>
    <t>3722</t>
  </si>
  <si>
    <t>cecropifolia</t>
  </si>
  <si>
    <t>3719</t>
  </si>
  <si>
    <t>aff. umbratica</t>
  </si>
  <si>
    <t>3727</t>
  </si>
  <si>
    <t>3746</t>
  </si>
  <si>
    <t>alutacea</t>
  </si>
  <si>
    <t>3725</t>
  </si>
  <si>
    <t>Sterculiaceae</t>
  </si>
  <si>
    <t>Sterculia</t>
  </si>
  <si>
    <t>colombiana</t>
  </si>
  <si>
    <t>Polygonaceae</t>
  </si>
  <si>
    <t>Coccoloba</t>
  </si>
  <si>
    <t>densifrons</t>
  </si>
  <si>
    <t>3720</t>
  </si>
  <si>
    <t>3726</t>
  </si>
  <si>
    <t>3721</t>
  </si>
  <si>
    <t>GAL_48</t>
  </si>
  <si>
    <t>Parinari</t>
  </si>
  <si>
    <t>3709,2455</t>
  </si>
  <si>
    <t>gentryi</t>
  </si>
  <si>
    <t>3707,2456</t>
  </si>
  <si>
    <t>Bombacaceae</t>
  </si>
  <si>
    <t>Ceiba</t>
  </si>
  <si>
    <t>3708</t>
  </si>
  <si>
    <t>3712</t>
  </si>
  <si>
    <t>3711</t>
  </si>
  <si>
    <t>Ragala</t>
  </si>
  <si>
    <t>sanguinolenta</t>
  </si>
  <si>
    <t>3699,2460</t>
  </si>
  <si>
    <t>3698</t>
  </si>
  <si>
    <t>Lacmellea</t>
  </si>
  <si>
    <t>speciosa</t>
  </si>
  <si>
    <t>3697</t>
  </si>
  <si>
    <t>Malpighiaceae</t>
  </si>
  <si>
    <t>Byrsonima</t>
  </si>
  <si>
    <t>3703, 2461</t>
  </si>
  <si>
    <t>Calyptranthes</t>
  </si>
  <si>
    <t>3700</t>
  </si>
  <si>
    <t>3702</t>
  </si>
  <si>
    <t>3701</t>
  </si>
  <si>
    <t>tomentosa</t>
  </si>
  <si>
    <t>3696</t>
  </si>
  <si>
    <t>Brosimum</t>
  </si>
  <si>
    <t>utile</t>
  </si>
  <si>
    <t>3704</t>
  </si>
  <si>
    <t>3705</t>
  </si>
  <si>
    <t>Pseudolmedia</t>
  </si>
  <si>
    <t>laevis</t>
  </si>
  <si>
    <t>3710</t>
  </si>
  <si>
    <t>Symphonia</t>
  </si>
  <si>
    <t>globulifera</t>
  </si>
  <si>
    <t>sp.</t>
  </si>
  <si>
    <t>3706</t>
  </si>
  <si>
    <t>Landerbergia</t>
  </si>
  <si>
    <t>Miconia</t>
  </si>
  <si>
    <t>sp2</t>
  </si>
  <si>
    <t>sp1</t>
  </si>
  <si>
    <t>Calophyllaceae</t>
  </si>
  <si>
    <t>Marila</t>
  </si>
  <si>
    <t>GAL_49</t>
  </si>
  <si>
    <t>Ampelocera</t>
  </si>
  <si>
    <t>edentula</t>
  </si>
  <si>
    <t>Verbenaceae</t>
  </si>
  <si>
    <t>Vitex</t>
  </si>
  <si>
    <t>cymosa</t>
  </si>
  <si>
    <t>3752</t>
  </si>
  <si>
    <t>Annona</t>
  </si>
  <si>
    <t>3759</t>
  </si>
  <si>
    <t>engleriana</t>
  </si>
  <si>
    <t>3750</t>
  </si>
  <si>
    <t>caimito</t>
  </si>
  <si>
    <t>3760</t>
  </si>
  <si>
    <t>paniculata</t>
  </si>
  <si>
    <t>3754</t>
  </si>
  <si>
    <t>Clarisia</t>
  </si>
  <si>
    <t>biflora</t>
  </si>
  <si>
    <t>Simaba</t>
  </si>
  <si>
    <t>3757</t>
  </si>
  <si>
    <t>3758</t>
  </si>
  <si>
    <t>3756</t>
  </si>
  <si>
    <t>3762</t>
  </si>
  <si>
    <t>Drypetes</t>
  </si>
  <si>
    <t>amazonica</t>
  </si>
  <si>
    <t>3753</t>
  </si>
  <si>
    <t>harlingii</t>
  </si>
  <si>
    <t>3755</t>
  </si>
  <si>
    <t>lactescens</t>
  </si>
  <si>
    <t>3748</t>
  </si>
  <si>
    <t>parvifolia</t>
  </si>
  <si>
    <t>3749</t>
  </si>
  <si>
    <t>2492</t>
  </si>
  <si>
    <t>3777</t>
  </si>
  <si>
    <t>3747</t>
  </si>
  <si>
    <t>3751</t>
  </si>
  <si>
    <t>GAL_50</t>
  </si>
  <si>
    <t>3626,=3584</t>
  </si>
  <si>
    <t>Siphoneugena</t>
  </si>
  <si>
    <t>densiflora</t>
  </si>
  <si>
    <t>tovarensis</t>
  </si>
  <si>
    <t>cf. longifolia</t>
  </si>
  <si>
    <t>Symplocaceae</t>
  </si>
  <si>
    <t>Symplocos</t>
  </si>
  <si>
    <t>cf spruceana</t>
  </si>
  <si>
    <t>Ossaea</t>
  </si>
  <si>
    <t>laxivenula</t>
  </si>
  <si>
    <t>3624</t>
  </si>
  <si>
    <t>3631</t>
  </si>
  <si>
    <t>micrantha</t>
  </si>
  <si>
    <t>3627</t>
  </si>
  <si>
    <t>3630</t>
  </si>
  <si>
    <t>triplinervia</t>
  </si>
  <si>
    <t>3625</t>
  </si>
  <si>
    <t>Persea</t>
  </si>
  <si>
    <t>aff. pseudofasciculata</t>
  </si>
  <si>
    <t>3621</t>
  </si>
  <si>
    <t>Styracaceae</t>
  </si>
  <si>
    <t>Styrax</t>
  </si>
  <si>
    <t>cordatus</t>
  </si>
  <si>
    <t>3617</t>
  </si>
  <si>
    <t>3628</t>
  </si>
  <si>
    <t>aff. subrutilans</t>
  </si>
  <si>
    <t>3616</t>
  </si>
  <si>
    <t>3622</t>
  </si>
  <si>
    <t xml:space="preserve"> cf. longifolia</t>
  </si>
  <si>
    <t>3620</t>
  </si>
  <si>
    <t>cf. vismiifolia</t>
  </si>
  <si>
    <t>3619</t>
  </si>
  <si>
    <t>3618</t>
  </si>
  <si>
    <t>melanostictum</t>
  </si>
  <si>
    <t>3623</t>
  </si>
  <si>
    <t>cf longifolia</t>
  </si>
  <si>
    <t>pedanomischa</t>
  </si>
  <si>
    <t>GAL_60</t>
  </si>
  <si>
    <t>acutifolia</t>
  </si>
  <si>
    <t>3659 und 2524</t>
  </si>
  <si>
    <t>3662, =2512</t>
  </si>
  <si>
    <t>5010, same as 3670</t>
  </si>
  <si>
    <t>same as 3588</t>
  </si>
  <si>
    <t>same as 3600</t>
  </si>
  <si>
    <t>same as 3641</t>
  </si>
  <si>
    <t>aff killipiana</t>
  </si>
  <si>
    <t>same as 3619</t>
  </si>
  <si>
    <t>Cybianthus</t>
  </si>
  <si>
    <t xml:space="preserve">
Humiriaceae</t>
  </si>
  <si>
    <t>GAL_61</t>
  </si>
  <si>
    <t>3638</t>
  </si>
  <si>
    <t>3643</t>
  </si>
  <si>
    <t>baehniana</t>
  </si>
  <si>
    <t>3637</t>
  </si>
  <si>
    <t>sapotaceae</t>
  </si>
  <si>
    <t>3639</t>
  </si>
  <si>
    <t>cuneifolium</t>
  </si>
  <si>
    <t>3635</t>
  </si>
  <si>
    <t>3641</t>
  </si>
  <si>
    <t>longifolia</t>
  </si>
  <si>
    <t>3640</t>
  </si>
  <si>
    <t>Licaria</t>
  </si>
  <si>
    <t>terminalis</t>
  </si>
  <si>
    <t>3646</t>
  </si>
  <si>
    <t>3642</t>
  </si>
  <si>
    <t>3636</t>
  </si>
  <si>
    <t>GAL_62</t>
  </si>
  <si>
    <t>3595</t>
  </si>
  <si>
    <t>Geissanthus</t>
  </si>
  <si>
    <t>extra-nodis</t>
  </si>
  <si>
    <t>3603</t>
  </si>
  <si>
    <t>3602</t>
  </si>
  <si>
    <t>3615</t>
  </si>
  <si>
    <t>cf guacamayensis</t>
  </si>
  <si>
    <t>3612,2529</t>
  </si>
  <si>
    <t>aciphylla</t>
  </si>
  <si>
    <t>3613</t>
  </si>
  <si>
    <t>3608,2530</t>
  </si>
  <si>
    <t>3610</t>
  </si>
  <si>
    <t>2531</t>
  </si>
  <si>
    <t>3611</t>
  </si>
  <si>
    <t>pinnata</t>
  </si>
  <si>
    <t>3607</t>
  </si>
  <si>
    <t>3609</t>
  </si>
  <si>
    <t>2536</t>
  </si>
  <si>
    <t>3614</t>
  </si>
  <si>
    <t>Liana62</t>
  </si>
  <si>
    <t>Selva Viva</t>
  </si>
  <si>
    <t>SEV_68</t>
  </si>
  <si>
    <t>3928</t>
  </si>
  <si>
    <t>argenteum</t>
  </si>
  <si>
    <t>3926</t>
  </si>
  <si>
    <t>Rhizophoraceae</t>
  </si>
  <si>
    <t>Cassipourea</t>
  </si>
  <si>
    <t>3925</t>
  </si>
  <si>
    <t>Sarcaulus</t>
  </si>
  <si>
    <t>aff. oblatus</t>
  </si>
  <si>
    <t>3924</t>
  </si>
  <si>
    <t>3923</t>
  </si>
  <si>
    <t>Macrolobium</t>
  </si>
  <si>
    <t>cf. ischnocalyx</t>
  </si>
  <si>
    <t>Pseudosenefeldera</t>
  </si>
  <si>
    <t>inclinata</t>
  </si>
  <si>
    <t>torta</t>
  </si>
  <si>
    <t>3918</t>
  </si>
  <si>
    <t>Theobroma</t>
  </si>
  <si>
    <t>speciosum</t>
  </si>
  <si>
    <t>Duroia</t>
  </si>
  <si>
    <t>hirsuta</t>
  </si>
  <si>
    <t>3920</t>
  </si>
  <si>
    <t>stevensonii</t>
  </si>
  <si>
    <t>amazonicum</t>
  </si>
  <si>
    <t>Aspidosperma</t>
  </si>
  <si>
    <t>aff. excelsum</t>
  </si>
  <si>
    <t>3921</t>
  </si>
  <si>
    <t>Indet</t>
  </si>
  <si>
    <t>polyphylla</t>
  </si>
  <si>
    <t>3929</t>
  </si>
  <si>
    <t>duckei</t>
  </si>
  <si>
    <t>chrysophylla</t>
  </si>
  <si>
    <t>3922</t>
  </si>
  <si>
    <t>3927</t>
  </si>
  <si>
    <t>Opiliaceae</t>
  </si>
  <si>
    <t>Agonandra</t>
  </si>
  <si>
    <t>3919</t>
  </si>
  <si>
    <t>oblongifolia</t>
  </si>
  <si>
    <t>SEV_69</t>
  </si>
  <si>
    <t>Hevea</t>
  </si>
  <si>
    <t>cf guianensis</t>
  </si>
  <si>
    <t>pulchella</t>
  </si>
  <si>
    <t>3841</t>
  </si>
  <si>
    <t>Batocarpus</t>
  </si>
  <si>
    <t>orinocensis</t>
  </si>
  <si>
    <t>3842</t>
  </si>
  <si>
    <t>3840</t>
  </si>
  <si>
    <t>3838</t>
  </si>
  <si>
    <t>3846</t>
  </si>
  <si>
    <t>Browneopsis</t>
  </si>
  <si>
    <t>ucayalina</t>
  </si>
  <si>
    <t>3844</t>
  </si>
  <si>
    <t>Tetrathylacium</t>
  </si>
  <si>
    <t>macrophyllum</t>
  </si>
  <si>
    <t>punctatus</t>
  </si>
  <si>
    <t>3848</t>
  </si>
  <si>
    <t>Pentagonia</t>
  </si>
  <si>
    <t>3847</t>
  </si>
  <si>
    <t>macrophylla</t>
  </si>
  <si>
    <t>3855</t>
  </si>
  <si>
    <t>Salacia</t>
  </si>
  <si>
    <t>aff. cordata</t>
  </si>
  <si>
    <t>3852</t>
  </si>
  <si>
    <t>Araliaceae</t>
  </si>
  <si>
    <t>Didymopanax</t>
  </si>
  <si>
    <t>morototoni</t>
  </si>
  <si>
    <t>Myrcia</t>
  </si>
  <si>
    <t>cf. crassimarginata</t>
  </si>
  <si>
    <t>3849</t>
  </si>
  <si>
    <t>3839</t>
  </si>
  <si>
    <t>3843</t>
  </si>
  <si>
    <t>Endlicheria</t>
  </si>
  <si>
    <t>metallica</t>
  </si>
  <si>
    <t>3845</t>
  </si>
  <si>
    <t>3850</t>
  </si>
  <si>
    <t>sapindoides</t>
  </si>
  <si>
    <t>3853</t>
  </si>
  <si>
    <t>aff. oblonga</t>
  </si>
  <si>
    <t>3854</t>
  </si>
  <si>
    <t>SEV_70</t>
  </si>
  <si>
    <t>elata</t>
  </si>
  <si>
    <t>flexuosa</t>
  </si>
  <si>
    <t>septentrionalis</t>
  </si>
  <si>
    <t>Mespilodaphne</t>
  </si>
  <si>
    <t>cf glabriflora</t>
  </si>
  <si>
    <t>helosioides</t>
  </si>
  <si>
    <t>Hypericaceae</t>
  </si>
  <si>
    <t>Vismia</t>
  </si>
  <si>
    <t>baccifera</t>
  </si>
  <si>
    <t>Ecclinusa</t>
  </si>
  <si>
    <t xml:space="preserve">Alchornea </t>
  </si>
  <si>
    <t>Banara</t>
  </si>
  <si>
    <t>nitida</t>
  </si>
  <si>
    <t>Salicacia</t>
  </si>
  <si>
    <t>Laetia</t>
  </si>
  <si>
    <t>Amyris</t>
  </si>
  <si>
    <t>macrocarpa</t>
  </si>
  <si>
    <t>Bignoniaceae</t>
  </si>
  <si>
    <t>Jacaranda</t>
  </si>
  <si>
    <t>copaia</t>
  </si>
  <si>
    <t>Maclura</t>
  </si>
  <si>
    <t>tinctoria</t>
  </si>
  <si>
    <t>procera</t>
  </si>
  <si>
    <t>parvibractea</t>
  </si>
  <si>
    <t>3876</t>
  </si>
  <si>
    <t>apeibophylla</t>
  </si>
  <si>
    <t>Achariaceae</t>
  </si>
  <si>
    <t>Lindackeria</t>
  </si>
  <si>
    <t>paludosa</t>
  </si>
  <si>
    <t>Gustavia</t>
  </si>
  <si>
    <t>hexapetala</t>
  </si>
  <si>
    <t>Hippotis</t>
  </si>
  <si>
    <t>Iryanthera</t>
  </si>
  <si>
    <t>juruensis</t>
  </si>
  <si>
    <t>sebifera</t>
  </si>
  <si>
    <t>thibaudiana</t>
  </si>
  <si>
    <t>Tetrorchidium</t>
  </si>
  <si>
    <t>herthae</t>
  </si>
  <si>
    <t>Fusispermum</t>
  </si>
  <si>
    <t>laxiflorum</t>
  </si>
  <si>
    <t>SEV_71</t>
  </si>
  <si>
    <t>3172</t>
  </si>
  <si>
    <t>coriacea</t>
  </si>
  <si>
    <t>3167</t>
  </si>
  <si>
    <t>3170</t>
  </si>
  <si>
    <t>aff. bourgonii</t>
  </si>
  <si>
    <t>3174</t>
  </si>
  <si>
    <t>3168</t>
  </si>
  <si>
    <t>3182</t>
  </si>
  <si>
    <t>apetala</t>
  </si>
  <si>
    <t>3175</t>
  </si>
  <si>
    <t>Minquartia</t>
  </si>
  <si>
    <t>3176</t>
  </si>
  <si>
    <t>3171</t>
  </si>
  <si>
    <t>longifolium</t>
  </si>
  <si>
    <t>3177</t>
  </si>
  <si>
    <t>3178</t>
  </si>
  <si>
    <t>3169</t>
  </si>
  <si>
    <t>3173</t>
  </si>
  <si>
    <t>calistophylla</t>
  </si>
  <si>
    <t>3184</t>
  </si>
  <si>
    <t>subserratum</t>
  </si>
  <si>
    <t>aff. occigranatensis</t>
  </si>
  <si>
    <t>3185</t>
  </si>
  <si>
    <t>egensis</t>
  </si>
  <si>
    <t>3180</t>
  </si>
  <si>
    <t>aff. recurvisepala</t>
  </si>
  <si>
    <t>3179</t>
  </si>
  <si>
    <t>glabrescens</t>
  </si>
  <si>
    <t>3183</t>
  </si>
  <si>
    <t>3181</t>
  </si>
  <si>
    <t>SEV_72</t>
  </si>
  <si>
    <t>dixonii</t>
  </si>
  <si>
    <t> Chrysobalanaceae</t>
  </si>
  <si>
    <t>cf metallica</t>
  </si>
  <si>
    <t>same as 3181</t>
  </si>
  <si>
    <t>same as 3203</t>
  </si>
  <si>
    <t>same as 3173</t>
  </si>
  <si>
    <t>Melastomatacea</t>
  </si>
  <si>
    <t>Crepidospermum</t>
  </si>
  <si>
    <t>rhoifolium</t>
  </si>
  <si>
    <t>steinbachii</t>
  </si>
  <si>
    <t>gracilis</t>
  </si>
  <si>
    <t>same as 3180</t>
  </si>
  <si>
    <t>aff sprucei</t>
  </si>
  <si>
    <t>Calophyllum</t>
  </si>
  <si>
    <t>same as 3231</t>
  </si>
  <si>
    <t>same as 3211</t>
  </si>
  <si>
    <t>Mabea</t>
  </si>
  <si>
    <t>cf. tenuifolium</t>
  </si>
  <si>
    <t>manaosense</t>
  </si>
  <si>
    <t>SEV_73</t>
  </si>
  <si>
    <t>3231</t>
  </si>
  <si>
    <t>3226</t>
  </si>
  <si>
    <t>3232</t>
  </si>
  <si>
    <t>3241</t>
  </si>
  <si>
    <t>Capirona</t>
  </si>
  <si>
    <t>decorticans</t>
  </si>
  <si>
    <t>3233</t>
  </si>
  <si>
    <t>3240</t>
  </si>
  <si>
    <t>edulis</t>
  </si>
  <si>
    <t>3234</t>
  </si>
  <si>
    <t>Perebea</t>
  </si>
  <si>
    <t>neuberthii</t>
  </si>
  <si>
    <t>xanthochyma</t>
  </si>
  <si>
    <t>3228</t>
  </si>
  <si>
    <t>3225</t>
  </si>
  <si>
    <t>Dichapetalaceae</t>
  </si>
  <si>
    <t>Dichapetalum</t>
  </si>
  <si>
    <t>rugosum</t>
  </si>
  <si>
    <t>3242</t>
  </si>
  <si>
    <t>3229</t>
  </si>
  <si>
    <t>paucinervia</t>
  </si>
  <si>
    <t>3237</t>
  </si>
  <si>
    <t>3227</t>
  </si>
  <si>
    <t>3238</t>
  </si>
  <si>
    <t>glaberrima</t>
  </si>
  <si>
    <t>3236</t>
  </si>
  <si>
    <t>Siparunacae</t>
  </si>
  <si>
    <t>Siparuna</t>
  </si>
  <si>
    <t>3239</t>
  </si>
  <si>
    <t>Heisteria</t>
  </si>
  <si>
    <t>3230</t>
  </si>
  <si>
    <t>3235</t>
  </si>
  <si>
    <t>SEV_74</t>
  </si>
  <si>
    <t>Pachira</t>
  </si>
  <si>
    <t>rupicola</t>
  </si>
  <si>
    <t>sp.2</t>
  </si>
  <si>
    <t>same as 3200</t>
  </si>
  <si>
    <t>brasiliensis</t>
  </si>
  <si>
    <t>vernicosa</t>
  </si>
  <si>
    <t>same as 3216</t>
  </si>
  <si>
    <t>Siparunaceae</t>
  </si>
  <si>
    <t>sp.1</t>
  </si>
  <si>
    <t>same as 3244</t>
  </si>
  <si>
    <t>megaphylla</t>
  </si>
  <si>
    <t xml:space="preserve">Osteophloeum 
</t>
  </si>
  <si>
    <t>same as 3215</t>
  </si>
  <si>
    <t>Andira</t>
  </si>
  <si>
    <t>pubivena</t>
  </si>
  <si>
    <t>same as 3262</t>
  </si>
  <si>
    <t>Apocynacea</t>
  </si>
  <si>
    <t>Warszewiczia</t>
  </si>
  <si>
    <t>coccinea</t>
  </si>
  <si>
    <t>same as 3248</t>
  </si>
  <si>
    <t xml:space="preserve">Virola </t>
  </si>
  <si>
    <t>multinervia</t>
  </si>
  <si>
    <t>Ferdinandusa</t>
  </si>
  <si>
    <t>cf elliptica</t>
  </si>
  <si>
    <t>same as 3246</t>
  </si>
  <si>
    <t>SEV_75</t>
  </si>
  <si>
    <t>crassa</t>
  </si>
  <si>
    <t>3311</t>
  </si>
  <si>
    <t>3309</t>
  </si>
  <si>
    <t>3306</t>
  </si>
  <si>
    <t>Cryptocarya</t>
  </si>
  <si>
    <t>3313</t>
  </si>
  <si>
    <t>3305</t>
  </si>
  <si>
    <t>3317</t>
  </si>
  <si>
    <t>3312</t>
  </si>
  <si>
    <t>3315</t>
  </si>
  <si>
    <t>Caryodendron</t>
  </si>
  <si>
    <t>orinocense</t>
  </si>
  <si>
    <t>3310</t>
  </si>
  <si>
    <t>3314</t>
  </si>
  <si>
    <t>3308</t>
  </si>
  <si>
    <t>Borojoa</t>
  </si>
  <si>
    <t>stipularis</t>
  </si>
  <si>
    <t>Zygia</t>
  </si>
  <si>
    <t>trianae</t>
  </si>
  <si>
    <t>3316</t>
  </si>
  <si>
    <t>cf. scabra</t>
  </si>
  <si>
    <t>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</si>
</sst>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1"/>
  <sheetViews>
    <sheetView tabSelected="1" topLeftCell="A34" workbookViewId="0">
      <selection activeCell="H55" sqref="H55"/>
    </sheetView>
  </sheetViews>
  <sheetFormatPr baseColWidth="10" defaultColWidth="9.140625" defaultRowHeight="15" x14ac:dyDescent="0.25"/>
  <cols>
    <col min="8" max="8" width="30.28515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>
        <v>471</v>
      </c>
      <c r="E2" t="s">
        <v>12</v>
      </c>
      <c r="F2" t="s">
        <v>13</v>
      </c>
      <c r="H2">
        <v>1995</v>
      </c>
    </row>
    <row r="3" spans="1:11" x14ac:dyDescent="0.25">
      <c r="A3" s="1">
        <v>1</v>
      </c>
      <c r="B3" t="s">
        <v>10</v>
      </c>
      <c r="C3" t="s">
        <v>11</v>
      </c>
      <c r="D3">
        <v>472</v>
      </c>
      <c r="E3" t="s">
        <v>12</v>
      </c>
      <c r="F3" t="s">
        <v>13</v>
      </c>
      <c r="I3">
        <v>1</v>
      </c>
    </row>
    <row r="4" spans="1:11" x14ac:dyDescent="0.25">
      <c r="A4" s="1">
        <v>2</v>
      </c>
      <c r="B4" t="s">
        <v>10</v>
      </c>
      <c r="C4" t="s">
        <v>11</v>
      </c>
      <c r="D4">
        <v>473</v>
      </c>
      <c r="E4" t="s">
        <v>14</v>
      </c>
      <c r="F4" t="s">
        <v>15</v>
      </c>
      <c r="G4" t="s">
        <v>16</v>
      </c>
      <c r="H4">
        <v>1982</v>
      </c>
    </row>
    <row r="5" spans="1:11" x14ac:dyDescent="0.25">
      <c r="A5" s="1">
        <v>3</v>
      </c>
      <c r="B5" t="s">
        <v>10</v>
      </c>
      <c r="C5" t="s">
        <v>11</v>
      </c>
      <c r="D5">
        <v>474</v>
      </c>
      <c r="E5" t="s">
        <v>17</v>
      </c>
      <c r="F5" t="s">
        <v>18</v>
      </c>
      <c r="G5" t="s">
        <v>19</v>
      </c>
      <c r="H5">
        <v>1992</v>
      </c>
      <c r="I5">
        <v>1</v>
      </c>
    </row>
    <row r="6" spans="1:11" x14ac:dyDescent="0.25">
      <c r="A6" s="1">
        <v>4</v>
      </c>
      <c r="B6" t="s">
        <v>10</v>
      </c>
      <c r="C6" t="s">
        <v>11</v>
      </c>
      <c r="D6">
        <v>475</v>
      </c>
      <c r="E6" t="s">
        <v>20</v>
      </c>
      <c r="F6" t="s">
        <v>21</v>
      </c>
    </row>
    <row r="7" spans="1:11" x14ac:dyDescent="0.25">
      <c r="A7" s="1">
        <v>5</v>
      </c>
      <c r="B7" t="s">
        <v>10</v>
      </c>
      <c r="C7" t="s">
        <v>11</v>
      </c>
      <c r="D7">
        <v>476</v>
      </c>
      <c r="E7" t="s">
        <v>17</v>
      </c>
      <c r="F7" t="s">
        <v>22</v>
      </c>
      <c r="G7" t="s">
        <v>23</v>
      </c>
      <c r="H7">
        <v>3722</v>
      </c>
    </row>
    <row r="8" spans="1:11" x14ac:dyDescent="0.25">
      <c r="A8" s="1">
        <v>6</v>
      </c>
      <c r="B8" t="s">
        <v>10</v>
      </c>
      <c r="C8" t="s">
        <v>11</v>
      </c>
      <c r="D8">
        <v>477</v>
      </c>
      <c r="E8" t="s">
        <v>24</v>
      </c>
      <c r="F8" t="s">
        <v>25</v>
      </c>
      <c r="G8" t="s">
        <v>26</v>
      </c>
    </row>
    <row r="9" spans="1:11" x14ac:dyDescent="0.25">
      <c r="A9" s="1">
        <v>7</v>
      </c>
      <c r="B9" t="s">
        <v>10</v>
      </c>
      <c r="C9" t="s">
        <v>11</v>
      </c>
      <c r="D9">
        <v>478</v>
      </c>
      <c r="E9" t="s">
        <v>27</v>
      </c>
      <c r="F9" t="s">
        <v>28</v>
      </c>
      <c r="G9" t="s">
        <v>29</v>
      </c>
      <c r="H9">
        <v>1984</v>
      </c>
      <c r="I9">
        <v>1</v>
      </c>
    </row>
    <row r="10" spans="1:11" x14ac:dyDescent="0.25">
      <c r="A10" s="1">
        <v>8</v>
      </c>
      <c r="B10" t="s">
        <v>10</v>
      </c>
      <c r="C10" t="s">
        <v>11</v>
      </c>
      <c r="D10">
        <v>479</v>
      </c>
      <c r="E10" t="s">
        <v>24</v>
      </c>
      <c r="F10" t="s">
        <v>30</v>
      </c>
      <c r="G10" t="s">
        <v>31</v>
      </c>
    </row>
    <row r="11" spans="1:11" x14ac:dyDescent="0.25">
      <c r="A11" s="1">
        <v>9</v>
      </c>
      <c r="B11" t="s">
        <v>10</v>
      </c>
      <c r="C11" t="s">
        <v>11</v>
      </c>
      <c r="D11">
        <v>480</v>
      </c>
      <c r="E11" t="s">
        <v>17</v>
      </c>
      <c r="F11" t="s">
        <v>32</v>
      </c>
    </row>
    <row r="12" spans="1:11" x14ac:dyDescent="0.25">
      <c r="A12" s="1">
        <v>10</v>
      </c>
      <c r="B12" t="s">
        <v>10</v>
      </c>
      <c r="C12" t="s">
        <v>11</v>
      </c>
      <c r="D12">
        <v>481</v>
      </c>
      <c r="E12" t="s">
        <v>33</v>
      </c>
      <c r="F12" t="s">
        <v>34</v>
      </c>
      <c r="G12" t="s">
        <v>35</v>
      </c>
      <c r="H12">
        <v>3716</v>
      </c>
    </row>
    <row r="13" spans="1:11" x14ac:dyDescent="0.25">
      <c r="A13" s="1">
        <v>11</v>
      </c>
      <c r="B13" t="s">
        <v>10</v>
      </c>
      <c r="C13" t="s">
        <v>11</v>
      </c>
      <c r="D13">
        <v>482</v>
      </c>
      <c r="E13" t="s">
        <v>24</v>
      </c>
      <c r="F13" t="s">
        <v>25</v>
      </c>
      <c r="G13" t="s">
        <v>26</v>
      </c>
    </row>
    <row r="14" spans="1:11" x14ac:dyDescent="0.25">
      <c r="A14" s="1">
        <v>12</v>
      </c>
      <c r="B14" t="s">
        <v>10</v>
      </c>
      <c r="C14" t="s">
        <v>11</v>
      </c>
      <c r="D14">
        <v>483</v>
      </c>
      <c r="E14" t="s">
        <v>36</v>
      </c>
      <c r="F14" t="s">
        <v>37</v>
      </c>
      <c r="G14" t="s">
        <v>38</v>
      </c>
      <c r="H14">
        <v>1991</v>
      </c>
    </row>
    <row r="15" spans="1:11" x14ac:dyDescent="0.25">
      <c r="A15" s="1">
        <v>13</v>
      </c>
      <c r="B15" t="s">
        <v>10</v>
      </c>
      <c r="C15" t="s">
        <v>11</v>
      </c>
      <c r="D15">
        <v>484</v>
      </c>
      <c r="E15" t="s">
        <v>39</v>
      </c>
      <c r="F15" t="s">
        <v>40</v>
      </c>
      <c r="G15" t="s">
        <v>41</v>
      </c>
      <c r="H15">
        <v>2004</v>
      </c>
    </row>
    <row r="16" spans="1:11" x14ac:dyDescent="0.25">
      <c r="A16" s="1">
        <v>14</v>
      </c>
      <c r="B16" t="s">
        <v>10</v>
      </c>
      <c r="C16" t="s">
        <v>11</v>
      </c>
      <c r="D16">
        <v>485</v>
      </c>
      <c r="E16" t="s">
        <v>20</v>
      </c>
      <c r="F16" t="s">
        <v>42</v>
      </c>
      <c r="G16" t="s">
        <v>43</v>
      </c>
      <c r="H16">
        <v>2003</v>
      </c>
      <c r="I16">
        <v>1</v>
      </c>
    </row>
    <row r="17" spans="1:9" x14ac:dyDescent="0.25">
      <c r="A17" s="1">
        <v>15</v>
      </c>
      <c r="B17" t="s">
        <v>10</v>
      </c>
      <c r="C17" t="s">
        <v>11</v>
      </c>
      <c r="D17">
        <v>486</v>
      </c>
      <c r="E17" t="s">
        <v>17</v>
      </c>
      <c r="F17" t="s">
        <v>18</v>
      </c>
      <c r="G17" t="s">
        <v>19</v>
      </c>
      <c r="I17">
        <v>1</v>
      </c>
    </row>
    <row r="18" spans="1:9" x14ac:dyDescent="0.25">
      <c r="A18" s="1">
        <v>16</v>
      </c>
      <c r="B18" t="s">
        <v>10</v>
      </c>
      <c r="C18" t="s">
        <v>11</v>
      </c>
      <c r="D18">
        <v>487</v>
      </c>
      <c r="E18" t="s">
        <v>44</v>
      </c>
      <c r="F18" t="s">
        <v>45</v>
      </c>
      <c r="G18" t="s">
        <v>46</v>
      </c>
      <c r="H18" t="s">
        <v>47</v>
      </c>
      <c r="I18">
        <v>1</v>
      </c>
    </row>
    <row r="19" spans="1:9" x14ac:dyDescent="0.25">
      <c r="A19" s="1">
        <v>17</v>
      </c>
      <c r="B19" t="s">
        <v>10</v>
      </c>
      <c r="C19" t="s">
        <v>11</v>
      </c>
      <c r="D19">
        <v>488</v>
      </c>
      <c r="E19" t="s">
        <v>48</v>
      </c>
      <c r="F19" t="s">
        <v>49</v>
      </c>
      <c r="G19" t="s">
        <v>50</v>
      </c>
      <c r="H19">
        <v>3717</v>
      </c>
    </row>
    <row r="20" spans="1:9" x14ac:dyDescent="0.25">
      <c r="A20" s="1">
        <v>18</v>
      </c>
      <c r="B20" t="s">
        <v>10</v>
      </c>
      <c r="C20" t="s">
        <v>11</v>
      </c>
      <c r="D20">
        <v>489</v>
      </c>
      <c r="E20" t="s">
        <v>39</v>
      </c>
      <c r="F20" t="s">
        <v>40</v>
      </c>
      <c r="G20" t="s">
        <v>41</v>
      </c>
      <c r="I20">
        <v>1</v>
      </c>
    </row>
    <row r="21" spans="1:9" x14ac:dyDescent="0.25">
      <c r="A21" s="1">
        <v>19</v>
      </c>
      <c r="B21" t="s">
        <v>10</v>
      </c>
      <c r="C21" t="s">
        <v>11</v>
      </c>
      <c r="D21">
        <v>490</v>
      </c>
      <c r="E21" t="s">
        <v>14</v>
      </c>
      <c r="F21" t="s">
        <v>15</v>
      </c>
      <c r="H21">
        <v>4792</v>
      </c>
    </row>
    <row r="22" spans="1:9" x14ac:dyDescent="0.25">
      <c r="A22" s="1">
        <v>20</v>
      </c>
      <c r="B22" t="s">
        <v>10</v>
      </c>
      <c r="C22" t="s">
        <v>11</v>
      </c>
      <c r="D22">
        <v>491</v>
      </c>
      <c r="E22" t="s">
        <v>36</v>
      </c>
      <c r="F22" t="s">
        <v>51</v>
      </c>
      <c r="G22" t="s">
        <v>52</v>
      </c>
      <c r="H22">
        <v>1994</v>
      </c>
    </row>
    <row r="23" spans="1:9" x14ac:dyDescent="0.25">
      <c r="A23" s="1">
        <v>21</v>
      </c>
      <c r="B23" t="s">
        <v>10</v>
      </c>
      <c r="C23" t="s">
        <v>11</v>
      </c>
      <c r="D23">
        <v>492</v>
      </c>
      <c r="E23" t="s">
        <v>20</v>
      </c>
      <c r="F23" t="s">
        <v>53</v>
      </c>
      <c r="G23" t="s">
        <v>54</v>
      </c>
      <c r="H23">
        <v>2002</v>
      </c>
    </row>
    <row r="24" spans="1:9" x14ac:dyDescent="0.25">
      <c r="A24" s="1">
        <v>22</v>
      </c>
      <c r="B24" t="s">
        <v>10</v>
      </c>
      <c r="C24" t="s">
        <v>11</v>
      </c>
      <c r="D24">
        <v>493</v>
      </c>
      <c r="E24" t="s">
        <v>55</v>
      </c>
      <c r="F24" t="s">
        <v>56</v>
      </c>
      <c r="H24">
        <v>1988</v>
      </c>
    </row>
    <row r="25" spans="1:9" x14ac:dyDescent="0.25">
      <c r="A25" s="1">
        <v>23</v>
      </c>
      <c r="B25" t="s">
        <v>10</v>
      </c>
      <c r="C25" t="s">
        <v>11</v>
      </c>
      <c r="D25">
        <v>494</v>
      </c>
      <c r="E25" t="s">
        <v>39</v>
      </c>
      <c r="F25" t="s">
        <v>40</v>
      </c>
      <c r="G25" t="s">
        <v>41</v>
      </c>
    </row>
    <row r="26" spans="1:9" x14ac:dyDescent="0.25">
      <c r="A26" s="1">
        <v>24</v>
      </c>
      <c r="B26" t="s">
        <v>10</v>
      </c>
      <c r="C26" t="s">
        <v>11</v>
      </c>
      <c r="D26">
        <v>495</v>
      </c>
      <c r="E26" t="s">
        <v>12</v>
      </c>
      <c r="F26" t="s">
        <v>13</v>
      </c>
      <c r="I26">
        <v>1</v>
      </c>
    </row>
    <row r="27" spans="1:9" x14ac:dyDescent="0.25">
      <c r="A27" s="1">
        <v>25</v>
      </c>
      <c r="B27" t="s">
        <v>10</v>
      </c>
      <c r="C27" t="s">
        <v>11</v>
      </c>
      <c r="D27">
        <v>496</v>
      </c>
      <c r="E27" t="s">
        <v>39</v>
      </c>
      <c r="F27" t="s">
        <v>40</v>
      </c>
      <c r="G27" t="s">
        <v>41</v>
      </c>
      <c r="I27">
        <v>1</v>
      </c>
    </row>
    <row r="28" spans="1:9" x14ac:dyDescent="0.25">
      <c r="A28" s="1">
        <v>26</v>
      </c>
      <c r="B28" t="s">
        <v>10</v>
      </c>
      <c r="C28" t="s">
        <v>11</v>
      </c>
      <c r="D28">
        <v>497</v>
      </c>
      <c r="E28" t="s">
        <v>24</v>
      </c>
      <c r="F28" t="s">
        <v>30</v>
      </c>
      <c r="G28" t="s">
        <v>31</v>
      </c>
    </row>
    <row r="29" spans="1:9" x14ac:dyDescent="0.25">
      <c r="A29" s="1">
        <v>27</v>
      </c>
      <c r="B29" t="s">
        <v>10</v>
      </c>
      <c r="C29" t="s">
        <v>11</v>
      </c>
      <c r="D29">
        <v>498</v>
      </c>
      <c r="E29" t="s">
        <v>39</v>
      </c>
      <c r="F29" t="s">
        <v>40</v>
      </c>
      <c r="G29" t="s">
        <v>41</v>
      </c>
      <c r="H29">
        <v>3715</v>
      </c>
    </row>
    <row r="30" spans="1:9" x14ac:dyDescent="0.25">
      <c r="A30" s="1">
        <v>28</v>
      </c>
      <c r="B30" t="s">
        <v>10</v>
      </c>
      <c r="C30" t="s">
        <v>11</v>
      </c>
      <c r="D30">
        <v>499</v>
      </c>
      <c r="E30" t="s">
        <v>12</v>
      </c>
      <c r="F30" t="s">
        <v>57</v>
      </c>
      <c r="G30" t="s">
        <v>58</v>
      </c>
      <c r="H30">
        <v>1986</v>
      </c>
      <c r="I30">
        <v>1</v>
      </c>
    </row>
    <row r="31" spans="1:9" x14ac:dyDescent="0.25">
      <c r="A31" s="1">
        <v>29</v>
      </c>
      <c r="B31" t="s">
        <v>10</v>
      </c>
      <c r="C31" t="s">
        <v>11</v>
      </c>
      <c r="D31" t="s">
        <v>59</v>
      </c>
      <c r="E31" t="s">
        <v>17</v>
      </c>
      <c r="F31" t="s">
        <v>18</v>
      </c>
      <c r="G31" t="s">
        <v>60</v>
      </c>
      <c r="H31">
        <v>4793</v>
      </c>
    </row>
    <row r="32" spans="1:9" x14ac:dyDescent="0.25">
      <c r="A32" s="1">
        <v>30</v>
      </c>
      <c r="B32" t="s">
        <v>10</v>
      </c>
      <c r="C32" t="s">
        <v>11</v>
      </c>
      <c r="D32" t="s">
        <v>61</v>
      </c>
      <c r="E32" t="s">
        <v>36</v>
      </c>
      <c r="F32" t="s">
        <v>37</v>
      </c>
      <c r="H32">
        <v>4794</v>
      </c>
    </row>
    <row r="33" spans="1:9" x14ac:dyDescent="0.25">
      <c r="A33" s="1">
        <v>31</v>
      </c>
      <c r="B33" t="s">
        <v>10</v>
      </c>
      <c r="C33" t="s">
        <v>62</v>
      </c>
      <c r="D33">
        <v>500</v>
      </c>
      <c r="E33" t="s">
        <v>63</v>
      </c>
      <c r="F33" t="s">
        <v>64</v>
      </c>
      <c r="G33" t="s">
        <v>65</v>
      </c>
      <c r="H33" t="s">
        <v>66</v>
      </c>
      <c r="I33">
        <v>1</v>
      </c>
    </row>
    <row r="34" spans="1:9" x14ac:dyDescent="0.25">
      <c r="A34" s="1">
        <v>32</v>
      </c>
      <c r="B34" t="s">
        <v>10</v>
      </c>
      <c r="C34" t="s">
        <v>62</v>
      </c>
      <c r="D34">
        <v>501</v>
      </c>
      <c r="E34" t="s">
        <v>17</v>
      </c>
      <c r="F34" t="s">
        <v>32</v>
      </c>
    </row>
    <row r="35" spans="1:9" x14ac:dyDescent="0.25">
      <c r="A35" s="1">
        <v>33</v>
      </c>
      <c r="B35" t="s">
        <v>10</v>
      </c>
      <c r="C35" t="s">
        <v>62</v>
      </c>
      <c r="D35">
        <v>502</v>
      </c>
      <c r="E35" t="s">
        <v>17</v>
      </c>
      <c r="F35" t="s">
        <v>32</v>
      </c>
      <c r="I35">
        <v>1</v>
      </c>
    </row>
    <row r="36" spans="1:9" x14ac:dyDescent="0.25">
      <c r="A36" s="1">
        <v>34</v>
      </c>
      <c r="B36" t="s">
        <v>10</v>
      </c>
      <c r="C36" t="s">
        <v>62</v>
      </c>
      <c r="D36">
        <v>503</v>
      </c>
      <c r="E36" t="s">
        <v>17</v>
      </c>
      <c r="F36" t="s">
        <v>32</v>
      </c>
    </row>
    <row r="37" spans="1:9" x14ac:dyDescent="0.25">
      <c r="A37" s="1">
        <v>35</v>
      </c>
      <c r="B37" t="s">
        <v>10</v>
      </c>
      <c r="C37" t="s">
        <v>62</v>
      </c>
      <c r="D37">
        <v>504</v>
      </c>
      <c r="E37" t="s">
        <v>17</v>
      </c>
      <c r="F37" t="s">
        <v>32</v>
      </c>
    </row>
    <row r="38" spans="1:9" x14ac:dyDescent="0.25">
      <c r="A38" s="1">
        <v>36</v>
      </c>
      <c r="B38" t="s">
        <v>10</v>
      </c>
      <c r="C38" t="s">
        <v>62</v>
      </c>
      <c r="D38">
        <v>505</v>
      </c>
      <c r="E38" t="s">
        <v>67</v>
      </c>
      <c r="F38" t="s">
        <v>68</v>
      </c>
      <c r="G38" t="s">
        <v>69</v>
      </c>
      <c r="H38" t="s">
        <v>70</v>
      </c>
    </row>
    <row r="39" spans="1:9" x14ac:dyDescent="0.25">
      <c r="A39" s="1">
        <v>37</v>
      </c>
      <c r="B39" t="s">
        <v>10</v>
      </c>
      <c r="C39" t="s">
        <v>62</v>
      </c>
      <c r="D39">
        <v>506</v>
      </c>
      <c r="E39" t="s">
        <v>17</v>
      </c>
      <c r="F39" t="s">
        <v>22</v>
      </c>
      <c r="G39" t="s">
        <v>23</v>
      </c>
      <c r="H39">
        <f>3722</f>
        <v>3722</v>
      </c>
    </row>
    <row r="40" spans="1:9" x14ac:dyDescent="0.25">
      <c r="A40" s="1">
        <v>38</v>
      </c>
      <c r="B40" t="s">
        <v>10</v>
      </c>
      <c r="C40" t="s">
        <v>62</v>
      </c>
      <c r="D40">
        <v>507</v>
      </c>
      <c r="E40" t="s">
        <v>17</v>
      </c>
      <c r="F40" t="s">
        <v>18</v>
      </c>
      <c r="G40" t="s">
        <v>19</v>
      </c>
      <c r="I40">
        <v>1</v>
      </c>
    </row>
    <row r="41" spans="1:9" x14ac:dyDescent="0.25">
      <c r="A41" s="1">
        <v>39</v>
      </c>
      <c r="B41" t="s">
        <v>10</v>
      </c>
      <c r="C41" t="s">
        <v>62</v>
      </c>
      <c r="D41">
        <v>508</v>
      </c>
      <c r="E41" t="s">
        <v>71</v>
      </c>
      <c r="F41" t="s">
        <v>72</v>
      </c>
      <c r="G41" t="s">
        <v>73</v>
      </c>
      <c r="H41" t="s">
        <v>74</v>
      </c>
    </row>
    <row r="42" spans="1:9" x14ac:dyDescent="0.25">
      <c r="A42" s="1">
        <v>40</v>
      </c>
      <c r="B42" t="s">
        <v>10</v>
      </c>
      <c r="C42" t="s">
        <v>62</v>
      </c>
      <c r="D42">
        <v>509</v>
      </c>
      <c r="E42" t="s">
        <v>12</v>
      </c>
      <c r="F42" t="s">
        <v>75</v>
      </c>
      <c r="G42" t="s">
        <v>76</v>
      </c>
      <c r="H42" t="s">
        <v>77</v>
      </c>
      <c r="I42">
        <v>1</v>
      </c>
    </row>
    <row r="43" spans="1:9" x14ac:dyDescent="0.25">
      <c r="A43" s="1">
        <v>41</v>
      </c>
      <c r="B43" t="s">
        <v>10</v>
      </c>
      <c r="C43" t="s">
        <v>62</v>
      </c>
      <c r="D43">
        <v>510</v>
      </c>
      <c r="E43" t="s">
        <v>71</v>
      </c>
      <c r="F43" t="s">
        <v>78</v>
      </c>
      <c r="G43" t="s">
        <v>79</v>
      </c>
    </row>
    <row r="44" spans="1:9" x14ac:dyDescent="0.25">
      <c r="A44" s="1">
        <v>42</v>
      </c>
      <c r="B44" t="s">
        <v>10</v>
      </c>
      <c r="C44" t="s">
        <v>62</v>
      </c>
      <c r="D44">
        <v>511</v>
      </c>
      <c r="E44" t="s">
        <v>17</v>
      </c>
      <c r="F44" t="s">
        <v>18</v>
      </c>
      <c r="G44" t="s">
        <v>19</v>
      </c>
      <c r="I44">
        <v>1</v>
      </c>
    </row>
    <row r="45" spans="1:9" x14ac:dyDescent="0.25">
      <c r="A45" s="1">
        <v>43</v>
      </c>
      <c r="B45" t="s">
        <v>10</v>
      </c>
      <c r="C45" t="s">
        <v>62</v>
      </c>
      <c r="D45">
        <v>512</v>
      </c>
      <c r="E45" t="s">
        <v>17</v>
      </c>
      <c r="F45" t="s">
        <v>32</v>
      </c>
      <c r="I45">
        <v>1</v>
      </c>
    </row>
    <row r="46" spans="1:9" x14ac:dyDescent="0.25">
      <c r="A46" s="1">
        <v>44</v>
      </c>
      <c r="B46" t="s">
        <v>10</v>
      </c>
      <c r="C46" t="s">
        <v>62</v>
      </c>
      <c r="D46">
        <v>513</v>
      </c>
      <c r="E46" t="s">
        <v>17</v>
      </c>
      <c r="F46" t="s">
        <v>18</v>
      </c>
      <c r="G46" t="s">
        <v>19</v>
      </c>
      <c r="I46">
        <v>1</v>
      </c>
    </row>
    <row r="47" spans="1:9" x14ac:dyDescent="0.25">
      <c r="A47" s="1">
        <v>45</v>
      </c>
      <c r="B47" t="s">
        <v>10</v>
      </c>
      <c r="C47" t="s">
        <v>62</v>
      </c>
      <c r="D47">
        <v>514</v>
      </c>
      <c r="E47" t="s">
        <v>36</v>
      </c>
      <c r="F47" t="s">
        <v>37</v>
      </c>
      <c r="G47" t="s">
        <v>80</v>
      </c>
      <c r="H47">
        <f>3746</f>
        <v>3746</v>
      </c>
      <c r="I47">
        <v>1</v>
      </c>
    </row>
    <row r="48" spans="1:9" x14ac:dyDescent="0.25">
      <c r="A48" s="1">
        <v>46</v>
      </c>
      <c r="B48" t="s">
        <v>10</v>
      </c>
      <c r="C48" t="s">
        <v>62</v>
      </c>
      <c r="D48">
        <v>515</v>
      </c>
      <c r="E48" t="s">
        <v>14</v>
      </c>
      <c r="F48" t="s">
        <v>15</v>
      </c>
      <c r="G48" t="s">
        <v>16</v>
      </c>
      <c r="I48">
        <v>1</v>
      </c>
    </row>
    <row r="49" spans="1:11" x14ac:dyDescent="0.25">
      <c r="A49" s="1">
        <v>47</v>
      </c>
      <c r="B49" t="s">
        <v>10</v>
      </c>
      <c r="C49" t="s">
        <v>62</v>
      </c>
      <c r="D49">
        <v>516</v>
      </c>
      <c r="E49" t="s">
        <v>17</v>
      </c>
      <c r="F49" t="s">
        <v>22</v>
      </c>
      <c r="G49" t="s">
        <v>23</v>
      </c>
      <c r="H49">
        <f>3722</f>
        <v>3722</v>
      </c>
    </row>
    <row r="50" spans="1:11" x14ac:dyDescent="0.25">
      <c r="A50" s="1">
        <v>48</v>
      </c>
      <c r="B50" t="s">
        <v>10</v>
      </c>
      <c r="C50" t="s">
        <v>62</v>
      </c>
      <c r="D50">
        <v>517</v>
      </c>
      <c r="E50" t="s">
        <v>17</v>
      </c>
      <c r="F50" t="s">
        <v>18</v>
      </c>
      <c r="G50" t="s">
        <v>19</v>
      </c>
      <c r="I50">
        <v>1</v>
      </c>
    </row>
    <row r="51" spans="1:11" x14ac:dyDescent="0.25">
      <c r="A51" s="1">
        <v>49</v>
      </c>
      <c r="B51" t="s">
        <v>10</v>
      </c>
      <c r="C51" t="s">
        <v>62</v>
      </c>
      <c r="D51">
        <v>518</v>
      </c>
      <c r="E51" t="s">
        <v>24</v>
      </c>
      <c r="F51" t="s">
        <v>30</v>
      </c>
      <c r="G51" t="s">
        <v>31</v>
      </c>
    </row>
    <row r="52" spans="1:11" x14ac:dyDescent="0.25">
      <c r="A52" s="1">
        <v>50</v>
      </c>
      <c r="B52" t="s">
        <v>10</v>
      </c>
      <c r="C52" t="s">
        <v>81</v>
      </c>
      <c r="D52">
        <v>519</v>
      </c>
      <c r="E52" t="s">
        <v>82</v>
      </c>
      <c r="F52" t="s">
        <v>83</v>
      </c>
    </row>
    <row r="53" spans="1:11" x14ac:dyDescent="0.25">
      <c r="A53" s="1">
        <v>51</v>
      </c>
      <c r="B53" t="s">
        <v>10</v>
      </c>
      <c r="C53" t="s">
        <v>81</v>
      </c>
      <c r="D53">
        <v>520</v>
      </c>
      <c r="E53" t="s">
        <v>84</v>
      </c>
      <c r="F53" t="s">
        <v>85</v>
      </c>
      <c r="G53" t="s">
        <v>86</v>
      </c>
      <c r="H53">
        <v>2063</v>
      </c>
    </row>
    <row r="54" spans="1:11" x14ac:dyDescent="0.25">
      <c r="A54" s="1">
        <v>52</v>
      </c>
      <c r="B54" t="s">
        <v>10</v>
      </c>
      <c r="C54" t="s">
        <v>81</v>
      </c>
      <c r="D54">
        <v>521</v>
      </c>
      <c r="E54" t="s">
        <v>39</v>
      </c>
      <c r="F54" t="s">
        <v>40</v>
      </c>
      <c r="G54" t="s">
        <v>41</v>
      </c>
      <c r="H54">
        <v>3715</v>
      </c>
      <c r="K54" t="s">
        <v>87</v>
      </c>
    </row>
    <row r="55" spans="1:11" x14ac:dyDescent="0.25">
      <c r="A55" s="1">
        <v>53</v>
      </c>
      <c r="B55" t="s">
        <v>10</v>
      </c>
      <c r="C55" t="s">
        <v>81</v>
      </c>
      <c r="D55">
        <v>522</v>
      </c>
      <c r="E55" t="s">
        <v>39</v>
      </c>
      <c r="F55" t="s">
        <v>88</v>
      </c>
      <c r="G55" t="s">
        <v>89</v>
      </c>
      <c r="I55">
        <v>1</v>
      </c>
    </row>
    <row r="56" spans="1:11" x14ac:dyDescent="0.25">
      <c r="A56" s="1">
        <v>54</v>
      </c>
      <c r="B56" t="s">
        <v>10</v>
      </c>
      <c r="C56" t="s">
        <v>81</v>
      </c>
      <c r="D56">
        <v>523</v>
      </c>
      <c r="E56" t="s">
        <v>48</v>
      </c>
      <c r="F56" t="s">
        <v>90</v>
      </c>
      <c r="G56" t="s">
        <v>91</v>
      </c>
    </row>
    <row r="57" spans="1:11" x14ac:dyDescent="0.25">
      <c r="A57" s="1">
        <v>55</v>
      </c>
      <c r="B57" t="s">
        <v>10</v>
      </c>
      <c r="C57" t="s">
        <v>81</v>
      </c>
      <c r="D57">
        <v>524</v>
      </c>
      <c r="E57" t="s">
        <v>39</v>
      </c>
      <c r="F57" t="s">
        <v>40</v>
      </c>
      <c r="G57" t="s">
        <v>41</v>
      </c>
      <c r="H57">
        <v>3715</v>
      </c>
    </row>
    <row r="58" spans="1:11" x14ac:dyDescent="0.25">
      <c r="A58" s="1">
        <v>56</v>
      </c>
      <c r="B58" t="s">
        <v>10</v>
      </c>
      <c r="C58" t="s">
        <v>81</v>
      </c>
      <c r="D58">
        <v>525</v>
      </c>
      <c r="E58" t="s">
        <v>92</v>
      </c>
      <c r="I58">
        <v>1</v>
      </c>
    </row>
    <row r="59" spans="1:11" x14ac:dyDescent="0.25">
      <c r="A59" s="1">
        <v>57</v>
      </c>
      <c r="B59" t="s">
        <v>10</v>
      </c>
      <c r="C59" t="s">
        <v>81</v>
      </c>
      <c r="D59">
        <v>526</v>
      </c>
      <c r="E59" t="s">
        <v>24</v>
      </c>
      <c r="F59" t="s">
        <v>93</v>
      </c>
      <c r="G59" t="s">
        <v>94</v>
      </c>
    </row>
    <row r="60" spans="1:11" x14ac:dyDescent="0.25">
      <c r="A60" s="1">
        <v>58</v>
      </c>
      <c r="B60" t="s">
        <v>10</v>
      </c>
      <c r="C60" t="s">
        <v>81</v>
      </c>
      <c r="D60">
        <v>527</v>
      </c>
      <c r="E60" t="s">
        <v>24</v>
      </c>
      <c r="F60" t="s">
        <v>93</v>
      </c>
      <c r="G60" t="s">
        <v>94</v>
      </c>
    </row>
    <row r="61" spans="1:11" x14ac:dyDescent="0.25">
      <c r="A61" s="1">
        <v>59</v>
      </c>
      <c r="B61" t="s">
        <v>10</v>
      </c>
      <c r="C61" t="s">
        <v>81</v>
      </c>
      <c r="D61">
        <v>528</v>
      </c>
      <c r="E61" t="s">
        <v>95</v>
      </c>
      <c r="F61" t="s">
        <v>96</v>
      </c>
      <c r="G61" t="s">
        <v>97</v>
      </c>
      <c r="H61">
        <v>3778</v>
      </c>
    </row>
    <row r="62" spans="1:11" x14ac:dyDescent="0.25">
      <c r="A62" s="1">
        <v>60</v>
      </c>
      <c r="B62" t="s">
        <v>10</v>
      </c>
      <c r="C62" t="s">
        <v>81</v>
      </c>
      <c r="D62">
        <v>529</v>
      </c>
      <c r="E62" t="s">
        <v>24</v>
      </c>
      <c r="F62" t="s">
        <v>30</v>
      </c>
      <c r="G62" t="s">
        <v>31</v>
      </c>
    </row>
    <row r="63" spans="1:11" x14ac:dyDescent="0.25">
      <c r="A63" s="1">
        <v>61</v>
      </c>
      <c r="B63" t="s">
        <v>10</v>
      </c>
      <c r="C63" t="s">
        <v>81</v>
      </c>
      <c r="D63">
        <v>530</v>
      </c>
      <c r="E63" t="s">
        <v>36</v>
      </c>
      <c r="F63" t="s">
        <v>37</v>
      </c>
      <c r="G63" t="s">
        <v>38</v>
      </c>
      <c r="H63">
        <v>2061</v>
      </c>
    </row>
    <row r="64" spans="1:11" x14ac:dyDescent="0.25">
      <c r="A64" s="1">
        <v>62</v>
      </c>
      <c r="B64" t="s">
        <v>10</v>
      </c>
      <c r="C64" t="s">
        <v>81</v>
      </c>
      <c r="D64">
        <v>531</v>
      </c>
      <c r="E64" t="s">
        <v>36</v>
      </c>
      <c r="F64" t="s">
        <v>37</v>
      </c>
      <c r="G64" t="s">
        <v>98</v>
      </c>
      <c r="H64">
        <v>2062</v>
      </c>
      <c r="K64" t="s">
        <v>87</v>
      </c>
    </row>
    <row r="65" spans="1:11" x14ac:dyDescent="0.25">
      <c r="A65" s="1">
        <v>63</v>
      </c>
      <c r="B65" t="s">
        <v>10</v>
      </c>
      <c r="C65" t="s">
        <v>81</v>
      </c>
      <c r="D65">
        <v>532</v>
      </c>
      <c r="E65" t="s">
        <v>24</v>
      </c>
      <c r="F65" t="s">
        <v>93</v>
      </c>
      <c r="G65" t="s">
        <v>94</v>
      </c>
    </row>
    <row r="66" spans="1:11" x14ac:dyDescent="0.25">
      <c r="A66" s="1">
        <v>64</v>
      </c>
      <c r="B66" t="s">
        <v>10</v>
      </c>
      <c r="C66" t="s">
        <v>81</v>
      </c>
      <c r="D66">
        <v>533</v>
      </c>
      <c r="E66" t="s">
        <v>71</v>
      </c>
      <c r="F66" t="s">
        <v>99</v>
      </c>
      <c r="G66" t="s">
        <v>100</v>
      </c>
      <c r="H66">
        <v>2052</v>
      </c>
    </row>
    <row r="67" spans="1:11" x14ac:dyDescent="0.25">
      <c r="A67" s="1">
        <v>65</v>
      </c>
      <c r="B67" t="s">
        <v>10</v>
      </c>
      <c r="C67" t="s">
        <v>81</v>
      </c>
      <c r="D67">
        <v>534</v>
      </c>
      <c r="E67" t="s">
        <v>101</v>
      </c>
      <c r="F67" t="s">
        <v>102</v>
      </c>
      <c r="G67" t="s">
        <v>103</v>
      </c>
      <c r="H67" t="s">
        <v>104</v>
      </c>
    </row>
    <row r="68" spans="1:11" x14ac:dyDescent="0.25">
      <c r="A68" s="1">
        <v>66</v>
      </c>
      <c r="B68" t="s">
        <v>10</v>
      </c>
      <c r="C68" t="s">
        <v>81</v>
      </c>
      <c r="D68">
        <v>535</v>
      </c>
      <c r="E68" t="s">
        <v>39</v>
      </c>
      <c r="F68" t="s">
        <v>88</v>
      </c>
      <c r="G68" t="s">
        <v>89</v>
      </c>
      <c r="H68">
        <v>2045</v>
      </c>
      <c r="I68">
        <v>1</v>
      </c>
      <c r="K68" t="s">
        <v>87</v>
      </c>
    </row>
    <row r="69" spans="1:11" x14ac:dyDescent="0.25">
      <c r="A69" s="1">
        <v>67</v>
      </c>
      <c r="B69" t="s">
        <v>10</v>
      </c>
      <c r="C69" t="s">
        <v>81</v>
      </c>
      <c r="D69">
        <v>536</v>
      </c>
      <c r="E69" t="s">
        <v>24</v>
      </c>
      <c r="F69" t="s">
        <v>93</v>
      </c>
      <c r="G69" t="s">
        <v>94</v>
      </c>
    </row>
    <row r="70" spans="1:11" x14ac:dyDescent="0.25">
      <c r="A70" s="1">
        <v>68</v>
      </c>
      <c r="B70" t="s">
        <v>10</v>
      </c>
      <c r="C70" t="s">
        <v>81</v>
      </c>
      <c r="D70">
        <v>537</v>
      </c>
      <c r="E70" t="s">
        <v>20</v>
      </c>
      <c r="F70" t="s">
        <v>42</v>
      </c>
      <c r="G70" t="s">
        <v>105</v>
      </c>
      <c r="H70">
        <v>2047</v>
      </c>
      <c r="I70">
        <v>1</v>
      </c>
      <c r="K70" t="s">
        <v>87</v>
      </c>
    </row>
    <row r="71" spans="1:11" x14ac:dyDescent="0.25">
      <c r="A71" s="1">
        <v>69</v>
      </c>
      <c r="B71" t="s">
        <v>10</v>
      </c>
      <c r="C71" t="s">
        <v>81</v>
      </c>
      <c r="D71">
        <v>538</v>
      </c>
      <c r="E71" t="s">
        <v>55</v>
      </c>
      <c r="F71" t="s">
        <v>56</v>
      </c>
      <c r="G71" t="s">
        <v>106</v>
      </c>
      <c r="I71">
        <v>1</v>
      </c>
    </row>
    <row r="72" spans="1:11" x14ac:dyDescent="0.25">
      <c r="A72" s="1">
        <v>70</v>
      </c>
      <c r="B72" t="s">
        <v>10</v>
      </c>
      <c r="C72" t="s">
        <v>81</v>
      </c>
      <c r="D72">
        <v>539</v>
      </c>
      <c r="E72" t="s">
        <v>107</v>
      </c>
      <c r="F72" t="s">
        <v>108</v>
      </c>
      <c r="G72" t="s">
        <v>105</v>
      </c>
      <c r="H72">
        <v>3780</v>
      </c>
    </row>
    <row r="73" spans="1:11" x14ac:dyDescent="0.25">
      <c r="A73" s="1">
        <v>71</v>
      </c>
      <c r="B73" t="s">
        <v>10</v>
      </c>
      <c r="C73" t="s">
        <v>81</v>
      </c>
      <c r="D73">
        <v>540</v>
      </c>
      <c r="E73" t="s">
        <v>24</v>
      </c>
      <c r="F73" t="s">
        <v>93</v>
      </c>
      <c r="G73" t="s">
        <v>94</v>
      </c>
    </row>
    <row r="74" spans="1:11" x14ac:dyDescent="0.25">
      <c r="A74" s="1">
        <v>72</v>
      </c>
      <c r="B74" t="s">
        <v>10</v>
      </c>
      <c r="C74" t="s">
        <v>81</v>
      </c>
      <c r="D74">
        <v>541</v>
      </c>
      <c r="E74" t="s">
        <v>71</v>
      </c>
      <c r="F74" t="s">
        <v>72</v>
      </c>
      <c r="G74" t="s">
        <v>109</v>
      </c>
      <c r="H74">
        <v>2053</v>
      </c>
      <c r="I74">
        <v>1</v>
      </c>
    </row>
    <row r="75" spans="1:11" x14ac:dyDescent="0.25">
      <c r="A75" s="1">
        <v>73</v>
      </c>
      <c r="B75" t="s">
        <v>10</v>
      </c>
      <c r="C75" t="s">
        <v>81</v>
      </c>
      <c r="D75">
        <v>542</v>
      </c>
      <c r="E75" t="s">
        <v>71</v>
      </c>
      <c r="F75" t="s">
        <v>99</v>
      </c>
      <c r="G75" t="s">
        <v>110</v>
      </c>
      <c r="H75">
        <v>3781</v>
      </c>
    </row>
    <row r="76" spans="1:11" x14ac:dyDescent="0.25">
      <c r="A76" s="1">
        <v>74</v>
      </c>
      <c r="B76" t="s">
        <v>10</v>
      </c>
      <c r="C76" t="s">
        <v>81</v>
      </c>
      <c r="D76">
        <v>543</v>
      </c>
      <c r="E76" t="s">
        <v>36</v>
      </c>
      <c r="F76" t="s">
        <v>111</v>
      </c>
      <c r="G76" t="s">
        <v>112</v>
      </c>
      <c r="H76">
        <v>2037</v>
      </c>
      <c r="I76">
        <v>1</v>
      </c>
      <c r="K76" t="s">
        <v>87</v>
      </c>
    </row>
    <row r="77" spans="1:11" x14ac:dyDescent="0.25">
      <c r="A77" s="1">
        <v>75</v>
      </c>
      <c r="B77" t="s">
        <v>10</v>
      </c>
      <c r="C77" t="s">
        <v>81</v>
      </c>
      <c r="D77">
        <v>544</v>
      </c>
      <c r="E77" t="s">
        <v>17</v>
      </c>
      <c r="F77" t="s">
        <v>113</v>
      </c>
      <c r="G77" t="s">
        <v>114</v>
      </c>
      <c r="H77">
        <v>2046</v>
      </c>
    </row>
    <row r="78" spans="1:11" x14ac:dyDescent="0.25">
      <c r="A78" s="1">
        <v>76</v>
      </c>
      <c r="B78" t="s">
        <v>10</v>
      </c>
      <c r="C78" t="s">
        <v>81</v>
      </c>
      <c r="D78">
        <v>545</v>
      </c>
      <c r="E78" t="s">
        <v>63</v>
      </c>
    </row>
    <row r="79" spans="1:11" x14ac:dyDescent="0.25">
      <c r="A79" s="1">
        <v>77</v>
      </c>
      <c r="B79" t="s">
        <v>10</v>
      </c>
      <c r="C79" t="s">
        <v>81</v>
      </c>
      <c r="D79">
        <v>546</v>
      </c>
      <c r="E79" t="s">
        <v>115</v>
      </c>
      <c r="F79" t="s">
        <v>116</v>
      </c>
      <c r="G79" t="s">
        <v>117</v>
      </c>
      <c r="H79">
        <v>2049</v>
      </c>
      <c r="I79">
        <v>1</v>
      </c>
    </row>
    <row r="80" spans="1:11" x14ac:dyDescent="0.25">
      <c r="A80" s="1">
        <v>78</v>
      </c>
      <c r="B80" t="s">
        <v>10</v>
      </c>
      <c r="C80" t="s">
        <v>81</v>
      </c>
      <c r="D80">
        <v>547</v>
      </c>
      <c r="E80" t="s">
        <v>39</v>
      </c>
      <c r="F80" t="s">
        <v>88</v>
      </c>
      <c r="G80" t="s">
        <v>118</v>
      </c>
      <c r="H80">
        <v>3782</v>
      </c>
      <c r="K80" t="s">
        <v>87</v>
      </c>
    </row>
    <row r="81" spans="1:11" x14ac:dyDescent="0.25">
      <c r="A81" s="1">
        <v>79</v>
      </c>
      <c r="B81" t="s">
        <v>10</v>
      </c>
      <c r="C81" t="s">
        <v>81</v>
      </c>
      <c r="D81">
        <v>548</v>
      </c>
      <c r="E81" t="s">
        <v>95</v>
      </c>
      <c r="F81" t="s">
        <v>119</v>
      </c>
      <c r="G81" t="s">
        <v>120</v>
      </c>
      <c r="H81" t="s">
        <v>121</v>
      </c>
      <c r="I81">
        <v>1</v>
      </c>
    </row>
    <row r="82" spans="1:11" x14ac:dyDescent="0.25">
      <c r="A82" s="1">
        <v>80</v>
      </c>
      <c r="B82" t="s">
        <v>10</v>
      </c>
      <c r="C82" t="s">
        <v>81</v>
      </c>
      <c r="D82">
        <v>549</v>
      </c>
      <c r="E82" t="s">
        <v>24</v>
      </c>
      <c r="F82" t="s">
        <v>93</v>
      </c>
      <c r="G82" t="s">
        <v>94</v>
      </c>
    </row>
    <row r="83" spans="1:11" x14ac:dyDescent="0.25">
      <c r="A83" s="1">
        <v>81</v>
      </c>
      <c r="B83" t="s">
        <v>10</v>
      </c>
      <c r="C83" t="s">
        <v>81</v>
      </c>
      <c r="D83">
        <v>550</v>
      </c>
      <c r="E83" t="s">
        <v>63</v>
      </c>
      <c r="I83">
        <v>1</v>
      </c>
    </row>
    <row r="84" spans="1:11" x14ac:dyDescent="0.25">
      <c r="A84" s="1">
        <v>82</v>
      </c>
      <c r="B84" t="s">
        <v>10</v>
      </c>
      <c r="C84" t="s">
        <v>81</v>
      </c>
      <c r="D84">
        <v>551</v>
      </c>
      <c r="E84" t="s">
        <v>24</v>
      </c>
      <c r="F84" t="s">
        <v>93</v>
      </c>
      <c r="G84" t="s">
        <v>94</v>
      </c>
    </row>
    <row r="85" spans="1:11" x14ac:dyDescent="0.25">
      <c r="A85" s="1">
        <v>83</v>
      </c>
      <c r="B85" t="s">
        <v>10</v>
      </c>
      <c r="C85" t="s">
        <v>81</v>
      </c>
      <c r="D85" t="s">
        <v>59</v>
      </c>
      <c r="E85" t="s">
        <v>122</v>
      </c>
    </row>
    <row r="86" spans="1:11" x14ac:dyDescent="0.25">
      <c r="A86" s="1">
        <v>84</v>
      </c>
      <c r="B86" t="s">
        <v>10</v>
      </c>
      <c r="C86" t="s">
        <v>81</v>
      </c>
      <c r="D86" t="s">
        <v>61</v>
      </c>
      <c r="E86" t="s">
        <v>39</v>
      </c>
      <c r="H86">
        <v>4795</v>
      </c>
    </row>
    <row r="87" spans="1:11" x14ac:dyDescent="0.25">
      <c r="A87" s="1">
        <v>85</v>
      </c>
      <c r="B87" t="s">
        <v>10</v>
      </c>
      <c r="C87" t="s">
        <v>81</v>
      </c>
      <c r="E87" t="s">
        <v>122</v>
      </c>
    </row>
    <row r="88" spans="1:11" x14ac:dyDescent="0.25">
      <c r="A88" s="1">
        <v>86</v>
      </c>
      <c r="B88" t="s">
        <v>10</v>
      </c>
      <c r="C88" t="s">
        <v>81</v>
      </c>
      <c r="E88" t="s">
        <v>24</v>
      </c>
      <c r="F88" t="s">
        <v>93</v>
      </c>
      <c r="G88" t="s">
        <v>94</v>
      </c>
    </row>
    <row r="89" spans="1:11" x14ac:dyDescent="0.25">
      <c r="A89" s="1">
        <v>87</v>
      </c>
      <c r="B89" t="s">
        <v>10</v>
      </c>
      <c r="C89" t="s">
        <v>81</v>
      </c>
      <c r="E89" t="s">
        <v>24</v>
      </c>
      <c r="F89" t="s">
        <v>30</v>
      </c>
      <c r="G89" t="s">
        <v>31</v>
      </c>
    </row>
    <row r="90" spans="1:11" x14ac:dyDescent="0.25">
      <c r="A90" s="1">
        <v>88</v>
      </c>
      <c r="B90" t="s">
        <v>10</v>
      </c>
      <c r="C90" t="s">
        <v>81</v>
      </c>
      <c r="E90" t="s">
        <v>39</v>
      </c>
      <c r="F90" t="s">
        <v>88</v>
      </c>
    </row>
    <row r="91" spans="1:11" x14ac:dyDescent="0.25">
      <c r="A91" s="1">
        <v>89</v>
      </c>
      <c r="B91" t="s">
        <v>10</v>
      </c>
      <c r="C91" t="s">
        <v>81</v>
      </c>
      <c r="E91" t="s">
        <v>24</v>
      </c>
      <c r="F91" t="s">
        <v>93</v>
      </c>
      <c r="G91" t="s">
        <v>94</v>
      </c>
    </row>
    <row r="92" spans="1:11" x14ac:dyDescent="0.25">
      <c r="A92" s="1">
        <v>90</v>
      </c>
      <c r="B92" t="s">
        <v>10</v>
      </c>
      <c r="C92" t="s">
        <v>81</v>
      </c>
      <c r="E92" t="s">
        <v>122</v>
      </c>
    </row>
    <row r="93" spans="1:11" x14ac:dyDescent="0.25">
      <c r="A93" s="1">
        <v>91</v>
      </c>
      <c r="B93" t="s">
        <v>10</v>
      </c>
      <c r="C93" t="s">
        <v>81</v>
      </c>
      <c r="E93" t="s">
        <v>71</v>
      </c>
      <c r="F93" t="s">
        <v>99</v>
      </c>
      <c r="G93" t="s">
        <v>100</v>
      </c>
    </row>
    <row r="94" spans="1:11" x14ac:dyDescent="0.25">
      <c r="A94" s="1">
        <v>92</v>
      </c>
      <c r="B94" t="s">
        <v>10</v>
      </c>
      <c r="C94" t="s">
        <v>81</v>
      </c>
      <c r="E94" t="s">
        <v>63</v>
      </c>
      <c r="K94" t="s">
        <v>87</v>
      </c>
    </row>
    <row r="95" spans="1:11" x14ac:dyDescent="0.25">
      <c r="A95" s="1">
        <v>93</v>
      </c>
      <c r="B95" t="s">
        <v>10</v>
      </c>
      <c r="C95" t="s">
        <v>81</v>
      </c>
      <c r="E95" t="s">
        <v>39</v>
      </c>
      <c r="K95" t="s">
        <v>87</v>
      </c>
    </row>
    <row r="96" spans="1:11" x14ac:dyDescent="0.25">
      <c r="A96" s="1">
        <v>94</v>
      </c>
      <c r="B96" t="s">
        <v>10</v>
      </c>
      <c r="C96" t="s">
        <v>81</v>
      </c>
      <c r="E96" t="s">
        <v>39</v>
      </c>
      <c r="F96" t="s">
        <v>40</v>
      </c>
      <c r="G96" t="s">
        <v>41</v>
      </c>
      <c r="K96" t="s">
        <v>87</v>
      </c>
    </row>
    <row r="97" spans="1:11" x14ac:dyDescent="0.25">
      <c r="A97" s="1">
        <v>95</v>
      </c>
      <c r="B97" t="s">
        <v>10</v>
      </c>
      <c r="C97" t="s">
        <v>123</v>
      </c>
      <c r="D97">
        <v>552</v>
      </c>
      <c r="E97" t="s">
        <v>36</v>
      </c>
      <c r="F97" t="s">
        <v>124</v>
      </c>
      <c r="G97" t="s">
        <v>125</v>
      </c>
      <c r="H97">
        <f>3684</f>
        <v>3684</v>
      </c>
    </row>
    <row r="98" spans="1:11" x14ac:dyDescent="0.25">
      <c r="A98" s="1">
        <v>96</v>
      </c>
      <c r="B98" t="s">
        <v>10</v>
      </c>
      <c r="C98" t="s">
        <v>123</v>
      </c>
      <c r="D98">
        <v>553</v>
      </c>
      <c r="E98" t="s">
        <v>36</v>
      </c>
      <c r="F98" t="s">
        <v>37</v>
      </c>
      <c r="G98" t="s">
        <v>38</v>
      </c>
      <c r="H98" t="s">
        <v>126</v>
      </c>
      <c r="K98" t="s">
        <v>87</v>
      </c>
    </row>
    <row r="99" spans="1:11" x14ac:dyDescent="0.25">
      <c r="A99" s="1">
        <v>97</v>
      </c>
      <c r="B99" t="s">
        <v>10</v>
      </c>
      <c r="C99" t="s">
        <v>123</v>
      </c>
      <c r="D99">
        <v>554</v>
      </c>
      <c r="E99" t="s">
        <v>127</v>
      </c>
      <c r="F99" t="s">
        <v>128</v>
      </c>
      <c r="H99" t="s">
        <v>129</v>
      </c>
    </row>
    <row r="100" spans="1:11" x14ac:dyDescent="0.25">
      <c r="A100" s="1">
        <v>98</v>
      </c>
      <c r="B100" t="s">
        <v>10</v>
      </c>
      <c r="C100" t="s">
        <v>123</v>
      </c>
      <c r="D100">
        <v>555</v>
      </c>
      <c r="E100" t="s">
        <v>130</v>
      </c>
      <c r="F100" t="s">
        <v>131</v>
      </c>
      <c r="G100" t="s">
        <v>132</v>
      </c>
      <c r="H100" t="s">
        <v>133</v>
      </c>
    </row>
    <row r="101" spans="1:11" x14ac:dyDescent="0.25">
      <c r="A101" s="1">
        <v>99</v>
      </c>
      <c r="B101" t="s">
        <v>10</v>
      </c>
      <c r="C101" t="s">
        <v>123</v>
      </c>
      <c r="D101">
        <v>556</v>
      </c>
      <c r="E101" t="s">
        <v>20</v>
      </c>
      <c r="F101" t="s">
        <v>134</v>
      </c>
      <c r="G101" t="s">
        <v>135</v>
      </c>
      <c r="H101" t="s">
        <v>136</v>
      </c>
      <c r="I101">
        <v>1</v>
      </c>
    </row>
    <row r="102" spans="1:11" x14ac:dyDescent="0.25">
      <c r="A102" s="1">
        <v>100</v>
      </c>
      <c r="B102" t="s">
        <v>10</v>
      </c>
      <c r="C102" t="s">
        <v>123</v>
      </c>
      <c r="D102">
        <v>557</v>
      </c>
      <c r="E102" t="s">
        <v>137</v>
      </c>
      <c r="F102" t="s">
        <v>138</v>
      </c>
      <c r="G102" t="s">
        <v>139</v>
      </c>
      <c r="H102" t="s">
        <v>140</v>
      </c>
      <c r="I102">
        <v>1</v>
      </c>
    </row>
    <row r="103" spans="1:11" x14ac:dyDescent="0.25">
      <c r="A103" s="1">
        <v>101</v>
      </c>
      <c r="B103" t="s">
        <v>10</v>
      </c>
      <c r="C103" t="s">
        <v>123</v>
      </c>
      <c r="D103">
        <v>558</v>
      </c>
      <c r="E103" t="s">
        <v>36</v>
      </c>
      <c r="F103" t="s">
        <v>141</v>
      </c>
      <c r="H103" t="s">
        <v>142</v>
      </c>
      <c r="K103" t="s">
        <v>87</v>
      </c>
    </row>
    <row r="104" spans="1:11" x14ac:dyDescent="0.25">
      <c r="A104" s="1">
        <v>102</v>
      </c>
      <c r="B104" t="s">
        <v>10</v>
      </c>
      <c r="C104" t="s">
        <v>123</v>
      </c>
      <c r="D104">
        <v>559</v>
      </c>
      <c r="E104" t="s">
        <v>27</v>
      </c>
      <c r="F104" t="s">
        <v>143</v>
      </c>
      <c r="G104" t="s">
        <v>144</v>
      </c>
      <c r="H104" t="s">
        <v>145</v>
      </c>
      <c r="I104">
        <v>1</v>
      </c>
      <c r="K104" t="s">
        <v>87</v>
      </c>
    </row>
    <row r="105" spans="1:11" x14ac:dyDescent="0.25">
      <c r="A105" s="1">
        <v>103</v>
      </c>
      <c r="B105" t="s">
        <v>10</v>
      </c>
      <c r="C105" t="s">
        <v>123</v>
      </c>
      <c r="D105">
        <v>560</v>
      </c>
      <c r="E105" t="s">
        <v>95</v>
      </c>
      <c r="F105" t="s">
        <v>146</v>
      </c>
      <c r="G105" t="s">
        <v>147</v>
      </c>
      <c r="H105" t="s">
        <v>148</v>
      </c>
      <c r="I105">
        <v>1</v>
      </c>
      <c r="K105" t="s">
        <v>87</v>
      </c>
    </row>
    <row r="106" spans="1:11" x14ac:dyDescent="0.25">
      <c r="A106" s="1">
        <v>104</v>
      </c>
      <c r="B106" t="s">
        <v>10</v>
      </c>
      <c r="C106" t="s">
        <v>123</v>
      </c>
      <c r="D106">
        <v>561</v>
      </c>
      <c r="E106" t="s">
        <v>12</v>
      </c>
      <c r="F106" t="s">
        <v>149</v>
      </c>
      <c r="G106" t="s">
        <v>147</v>
      </c>
      <c r="H106" t="s">
        <v>150</v>
      </c>
      <c r="I106">
        <v>1</v>
      </c>
      <c r="K106" t="s">
        <v>87</v>
      </c>
    </row>
    <row r="107" spans="1:11" x14ac:dyDescent="0.25">
      <c r="A107" s="1">
        <v>105</v>
      </c>
      <c r="B107" t="s">
        <v>10</v>
      </c>
      <c r="C107" t="s">
        <v>123</v>
      </c>
      <c r="D107">
        <v>562</v>
      </c>
      <c r="E107" t="s">
        <v>48</v>
      </c>
      <c r="F107" t="s">
        <v>90</v>
      </c>
      <c r="G107" t="s">
        <v>151</v>
      </c>
    </row>
    <row r="108" spans="1:11" x14ac:dyDescent="0.25">
      <c r="A108" s="1">
        <v>106</v>
      </c>
      <c r="B108" t="s">
        <v>10</v>
      </c>
      <c r="C108" t="s">
        <v>123</v>
      </c>
      <c r="D108">
        <v>563</v>
      </c>
      <c r="E108" t="s">
        <v>36</v>
      </c>
      <c r="F108" t="s">
        <v>37</v>
      </c>
      <c r="G108" t="s">
        <v>152</v>
      </c>
      <c r="H108" t="s">
        <v>153</v>
      </c>
      <c r="K108" t="s">
        <v>87</v>
      </c>
    </row>
    <row r="109" spans="1:11" x14ac:dyDescent="0.25">
      <c r="A109" s="1">
        <v>107</v>
      </c>
      <c r="B109" t="s">
        <v>10</v>
      </c>
      <c r="C109" t="s">
        <v>123</v>
      </c>
      <c r="D109">
        <v>564</v>
      </c>
      <c r="E109" t="s">
        <v>95</v>
      </c>
      <c r="F109" t="s">
        <v>154</v>
      </c>
      <c r="G109" t="s">
        <v>120</v>
      </c>
      <c r="H109" t="s">
        <v>155</v>
      </c>
      <c r="K109" t="s">
        <v>87</v>
      </c>
    </row>
    <row r="110" spans="1:11" x14ac:dyDescent="0.25">
      <c r="A110" s="1">
        <v>108</v>
      </c>
      <c r="B110" t="s">
        <v>10</v>
      </c>
      <c r="C110" t="s">
        <v>123</v>
      </c>
      <c r="D110">
        <v>565</v>
      </c>
      <c r="E110" t="s">
        <v>71</v>
      </c>
      <c r="F110" t="s">
        <v>72</v>
      </c>
      <c r="G110" t="s">
        <v>156</v>
      </c>
      <c r="I110">
        <v>1</v>
      </c>
    </row>
    <row r="111" spans="1:11" x14ac:dyDescent="0.25">
      <c r="A111" s="1">
        <v>109</v>
      </c>
      <c r="B111" t="s">
        <v>10</v>
      </c>
      <c r="C111" t="s">
        <v>123</v>
      </c>
      <c r="D111">
        <v>566</v>
      </c>
      <c r="E111" t="s">
        <v>12</v>
      </c>
      <c r="F111" t="s">
        <v>157</v>
      </c>
      <c r="G111" t="s">
        <v>158</v>
      </c>
      <c r="H111" t="s">
        <v>159</v>
      </c>
      <c r="I111">
        <v>1</v>
      </c>
    </row>
    <row r="112" spans="1:11" x14ac:dyDescent="0.25">
      <c r="A112" s="1">
        <v>110</v>
      </c>
      <c r="B112" t="s">
        <v>10</v>
      </c>
      <c r="C112" t="s">
        <v>123</v>
      </c>
      <c r="D112">
        <v>567</v>
      </c>
      <c r="E112" t="s">
        <v>160</v>
      </c>
      <c r="F112" t="s">
        <v>161</v>
      </c>
    </row>
    <row r="113" spans="1:11" x14ac:dyDescent="0.25">
      <c r="A113" s="1">
        <v>111</v>
      </c>
      <c r="B113" t="s">
        <v>10</v>
      </c>
      <c r="C113" t="s">
        <v>123</v>
      </c>
      <c r="D113">
        <v>568</v>
      </c>
      <c r="E113" t="s">
        <v>160</v>
      </c>
      <c r="F113" t="s">
        <v>161</v>
      </c>
    </row>
    <row r="114" spans="1:11" x14ac:dyDescent="0.25">
      <c r="A114" s="1">
        <v>112</v>
      </c>
      <c r="B114" t="s">
        <v>10</v>
      </c>
      <c r="C114" t="s">
        <v>123</v>
      </c>
      <c r="D114">
        <v>569</v>
      </c>
      <c r="E114" t="s">
        <v>27</v>
      </c>
      <c r="F114" t="s">
        <v>143</v>
      </c>
      <c r="G114" t="s">
        <v>144</v>
      </c>
      <c r="H114">
        <f>3739</f>
        <v>3739</v>
      </c>
      <c r="I114">
        <v>1</v>
      </c>
      <c r="K114" t="s">
        <v>87</v>
      </c>
    </row>
    <row r="115" spans="1:11" x14ac:dyDescent="0.25">
      <c r="A115" s="1">
        <v>113</v>
      </c>
      <c r="B115" t="s">
        <v>10</v>
      </c>
      <c r="C115" t="s">
        <v>123</v>
      </c>
      <c r="D115">
        <v>570</v>
      </c>
      <c r="E115" t="s">
        <v>84</v>
      </c>
      <c r="F115" t="s">
        <v>85</v>
      </c>
      <c r="G115" t="s">
        <v>86</v>
      </c>
      <c r="H115" t="s">
        <v>162</v>
      </c>
      <c r="K115" t="s">
        <v>87</v>
      </c>
    </row>
    <row r="116" spans="1:11" x14ac:dyDescent="0.25">
      <c r="A116" s="1">
        <v>114</v>
      </c>
      <c r="B116" t="s">
        <v>10</v>
      </c>
      <c r="C116" t="s">
        <v>123</v>
      </c>
      <c r="D116">
        <v>571</v>
      </c>
      <c r="E116" t="s">
        <v>12</v>
      </c>
      <c r="F116" t="s">
        <v>157</v>
      </c>
      <c r="G116" t="s">
        <v>158</v>
      </c>
      <c r="K116" t="s">
        <v>87</v>
      </c>
    </row>
    <row r="117" spans="1:11" x14ac:dyDescent="0.25">
      <c r="A117" s="1">
        <v>115</v>
      </c>
      <c r="B117" t="s">
        <v>10</v>
      </c>
      <c r="C117" t="s">
        <v>123</v>
      </c>
      <c r="D117">
        <v>572</v>
      </c>
      <c r="E117" t="s">
        <v>95</v>
      </c>
      <c r="F117" t="s">
        <v>96</v>
      </c>
      <c r="G117" t="s">
        <v>163</v>
      </c>
      <c r="H117" t="s">
        <v>164</v>
      </c>
    </row>
    <row r="118" spans="1:11" x14ac:dyDescent="0.25">
      <c r="A118" s="1">
        <v>116</v>
      </c>
      <c r="B118" t="s">
        <v>10</v>
      </c>
      <c r="C118" t="s">
        <v>123</v>
      </c>
      <c r="D118">
        <v>573</v>
      </c>
      <c r="E118" t="s">
        <v>36</v>
      </c>
      <c r="F118" t="s">
        <v>141</v>
      </c>
      <c r="H118">
        <f>3738</f>
        <v>3738</v>
      </c>
    </row>
    <row r="119" spans="1:11" x14ac:dyDescent="0.25">
      <c r="A119" s="1">
        <v>117</v>
      </c>
      <c r="B119" t="s">
        <v>10</v>
      </c>
      <c r="C119" t="s">
        <v>123</v>
      </c>
      <c r="D119">
        <v>574</v>
      </c>
      <c r="E119" t="s">
        <v>24</v>
      </c>
      <c r="F119" t="s">
        <v>93</v>
      </c>
      <c r="G119" t="s">
        <v>94</v>
      </c>
    </row>
    <row r="120" spans="1:11" x14ac:dyDescent="0.25">
      <c r="A120" s="1">
        <v>118</v>
      </c>
      <c r="B120" t="s">
        <v>10</v>
      </c>
      <c r="C120" t="s">
        <v>123</v>
      </c>
      <c r="D120">
        <v>575</v>
      </c>
      <c r="E120" t="s">
        <v>48</v>
      </c>
      <c r="F120" t="s">
        <v>90</v>
      </c>
      <c r="G120" t="s">
        <v>91</v>
      </c>
      <c r="H120" t="s">
        <v>165</v>
      </c>
    </row>
    <row r="121" spans="1:11" x14ac:dyDescent="0.25">
      <c r="A121" s="1">
        <v>119</v>
      </c>
      <c r="B121" t="s">
        <v>10</v>
      </c>
      <c r="C121" t="s">
        <v>123</v>
      </c>
      <c r="D121">
        <v>576</v>
      </c>
      <c r="E121" t="s">
        <v>12</v>
      </c>
      <c r="F121" t="s">
        <v>166</v>
      </c>
      <c r="G121" t="s">
        <v>167</v>
      </c>
      <c r="H121" t="s">
        <v>168</v>
      </c>
      <c r="K121" t="s">
        <v>87</v>
      </c>
    </row>
    <row r="122" spans="1:11" x14ac:dyDescent="0.25">
      <c r="A122" s="1">
        <v>120</v>
      </c>
      <c r="B122" t="s">
        <v>10</v>
      </c>
      <c r="C122" t="s">
        <v>123</v>
      </c>
      <c r="D122">
        <v>577</v>
      </c>
      <c r="E122" t="s">
        <v>12</v>
      </c>
      <c r="F122" t="s">
        <v>169</v>
      </c>
      <c r="G122" t="s">
        <v>170</v>
      </c>
      <c r="H122" t="s">
        <v>171</v>
      </c>
      <c r="I122">
        <v>1</v>
      </c>
    </row>
    <row r="123" spans="1:11" x14ac:dyDescent="0.25">
      <c r="A123" s="1">
        <v>121</v>
      </c>
      <c r="B123" t="s">
        <v>10</v>
      </c>
      <c r="C123" t="s">
        <v>123</v>
      </c>
      <c r="D123">
        <v>578</v>
      </c>
      <c r="E123" t="s">
        <v>36</v>
      </c>
      <c r="F123" t="s">
        <v>37</v>
      </c>
      <c r="G123" t="s">
        <v>172</v>
      </c>
      <c r="H123" t="s">
        <v>173</v>
      </c>
      <c r="I123">
        <v>1</v>
      </c>
    </row>
    <row r="124" spans="1:11" x14ac:dyDescent="0.25">
      <c r="A124" s="1">
        <v>122</v>
      </c>
      <c r="B124" t="s">
        <v>10</v>
      </c>
      <c r="C124" t="s">
        <v>123</v>
      </c>
      <c r="E124" t="s">
        <v>122</v>
      </c>
    </row>
    <row r="125" spans="1:11" x14ac:dyDescent="0.25">
      <c r="A125" s="1">
        <v>123</v>
      </c>
      <c r="B125" t="s">
        <v>10</v>
      </c>
      <c r="C125" t="s">
        <v>123</v>
      </c>
      <c r="E125" t="s">
        <v>24</v>
      </c>
      <c r="F125" t="s">
        <v>93</v>
      </c>
      <c r="G125" t="s">
        <v>94</v>
      </c>
    </row>
    <row r="126" spans="1:11" x14ac:dyDescent="0.25">
      <c r="A126" s="1">
        <v>124</v>
      </c>
      <c r="B126" t="s">
        <v>10</v>
      </c>
      <c r="C126" t="s">
        <v>123</v>
      </c>
      <c r="E126" t="s">
        <v>24</v>
      </c>
      <c r="F126" t="s">
        <v>93</v>
      </c>
      <c r="G126" t="s">
        <v>94</v>
      </c>
    </row>
    <row r="127" spans="1:11" x14ac:dyDescent="0.25">
      <c r="A127" s="1">
        <v>125</v>
      </c>
      <c r="B127" t="s">
        <v>10</v>
      </c>
      <c r="C127" t="s">
        <v>123</v>
      </c>
      <c r="E127" t="s">
        <v>24</v>
      </c>
      <c r="F127" t="s">
        <v>93</v>
      </c>
      <c r="G127" t="s">
        <v>94</v>
      </c>
    </row>
    <row r="128" spans="1:11" x14ac:dyDescent="0.25">
      <c r="A128" s="1">
        <v>126</v>
      </c>
      <c r="B128" t="s">
        <v>10</v>
      </c>
      <c r="C128" t="s">
        <v>123</v>
      </c>
      <c r="E128" t="s">
        <v>39</v>
      </c>
    </row>
    <row r="129" spans="1:11" x14ac:dyDescent="0.25">
      <c r="A129" s="1">
        <v>127</v>
      </c>
      <c r="B129" t="s">
        <v>10</v>
      </c>
      <c r="C129" t="s">
        <v>123</v>
      </c>
      <c r="E129" t="s">
        <v>84</v>
      </c>
      <c r="F129" t="s">
        <v>174</v>
      </c>
    </row>
    <row r="130" spans="1:11" x14ac:dyDescent="0.25">
      <c r="A130" s="1">
        <v>128</v>
      </c>
      <c r="B130" t="s">
        <v>10</v>
      </c>
      <c r="C130" t="s">
        <v>123</v>
      </c>
      <c r="E130" t="s">
        <v>48</v>
      </c>
      <c r="F130" t="s">
        <v>90</v>
      </c>
      <c r="G130" t="s">
        <v>91</v>
      </c>
    </row>
    <row r="131" spans="1:11" x14ac:dyDescent="0.25">
      <c r="A131" s="1">
        <v>129</v>
      </c>
      <c r="B131" t="s">
        <v>10</v>
      </c>
      <c r="C131" t="s">
        <v>123</v>
      </c>
      <c r="E131" t="s">
        <v>160</v>
      </c>
      <c r="F131" t="s">
        <v>161</v>
      </c>
    </row>
    <row r="132" spans="1:11" x14ac:dyDescent="0.25">
      <c r="A132" s="1">
        <v>130</v>
      </c>
      <c r="B132" t="s">
        <v>10</v>
      </c>
      <c r="C132" t="s">
        <v>123</v>
      </c>
      <c r="E132" t="s">
        <v>24</v>
      </c>
      <c r="F132" t="s">
        <v>93</v>
      </c>
      <c r="G132" t="s">
        <v>94</v>
      </c>
    </row>
    <row r="133" spans="1:11" x14ac:dyDescent="0.25">
      <c r="A133" s="1">
        <v>131</v>
      </c>
      <c r="B133" t="s">
        <v>10</v>
      </c>
      <c r="C133" t="s">
        <v>123</v>
      </c>
      <c r="E133" t="s">
        <v>24</v>
      </c>
      <c r="F133" t="s">
        <v>93</v>
      </c>
      <c r="G133" t="s">
        <v>94</v>
      </c>
    </row>
    <row r="134" spans="1:11" x14ac:dyDescent="0.25">
      <c r="A134" s="1">
        <v>132</v>
      </c>
      <c r="B134" t="s">
        <v>10</v>
      </c>
      <c r="C134" t="s">
        <v>123</v>
      </c>
      <c r="E134" t="s">
        <v>24</v>
      </c>
      <c r="F134" t="s">
        <v>93</v>
      </c>
      <c r="G134" t="s">
        <v>94</v>
      </c>
    </row>
    <row r="135" spans="1:11" x14ac:dyDescent="0.25">
      <c r="A135" s="1">
        <v>133</v>
      </c>
      <c r="B135" t="s">
        <v>10</v>
      </c>
      <c r="C135" t="s">
        <v>123</v>
      </c>
      <c r="E135" t="s">
        <v>12</v>
      </c>
    </row>
    <row r="136" spans="1:11" x14ac:dyDescent="0.25">
      <c r="A136" s="1">
        <v>134</v>
      </c>
      <c r="B136" t="s">
        <v>10</v>
      </c>
      <c r="C136" t="s">
        <v>175</v>
      </c>
      <c r="D136">
        <v>579</v>
      </c>
      <c r="E136" t="s">
        <v>27</v>
      </c>
      <c r="F136" t="s">
        <v>28</v>
      </c>
      <c r="G136" t="s">
        <v>29</v>
      </c>
      <c r="H136">
        <v>2081</v>
      </c>
      <c r="K136" t="s">
        <v>176</v>
      </c>
    </row>
    <row r="137" spans="1:11" x14ac:dyDescent="0.25">
      <c r="A137" s="1">
        <v>135</v>
      </c>
      <c r="B137" t="s">
        <v>10</v>
      </c>
      <c r="C137" t="s">
        <v>175</v>
      </c>
      <c r="D137">
        <v>580</v>
      </c>
      <c r="E137" t="s">
        <v>84</v>
      </c>
      <c r="F137" t="s">
        <v>85</v>
      </c>
      <c r="G137" t="s">
        <v>177</v>
      </c>
      <c r="I137">
        <v>1</v>
      </c>
      <c r="K137" t="s">
        <v>176</v>
      </c>
    </row>
    <row r="138" spans="1:11" x14ac:dyDescent="0.25">
      <c r="A138" s="1">
        <v>136</v>
      </c>
      <c r="B138" t="s">
        <v>10</v>
      </c>
      <c r="C138" t="s">
        <v>175</v>
      </c>
      <c r="D138">
        <v>581</v>
      </c>
      <c r="E138" t="s">
        <v>20</v>
      </c>
      <c r="F138" t="s">
        <v>42</v>
      </c>
      <c r="G138" t="s">
        <v>43</v>
      </c>
      <c r="H138">
        <v>3683</v>
      </c>
    </row>
    <row r="139" spans="1:11" x14ac:dyDescent="0.25">
      <c r="A139" s="1">
        <v>137</v>
      </c>
      <c r="B139" t="s">
        <v>10</v>
      </c>
      <c r="C139" t="s">
        <v>175</v>
      </c>
      <c r="D139">
        <v>582</v>
      </c>
      <c r="E139" t="s">
        <v>178</v>
      </c>
      <c r="F139" t="s">
        <v>179</v>
      </c>
      <c r="G139" t="s">
        <v>180</v>
      </c>
      <c r="H139">
        <v>3687</v>
      </c>
    </row>
    <row r="140" spans="1:11" x14ac:dyDescent="0.25">
      <c r="A140" s="1">
        <v>138</v>
      </c>
      <c r="B140" t="s">
        <v>10</v>
      </c>
      <c r="C140" t="s">
        <v>175</v>
      </c>
      <c r="D140">
        <v>583</v>
      </c>
      <c r="E140" t="s">
        <v>20</v>
      </c>
      <c r="F140" t="s">
        <v>42</v>
      </c>
      <c r="G140" t="s">
        <v>43</v>
      </c>
      <c r="H140">
        <v>3683</v>
      </c>
      <c r="I140">
        <v>1</v>
      </c>
    </row>
    <row r="141" spans="1:11" x14ac:dyDescent="0.25">
      <c r="A141" s="1">
        <v>139</v>
      </c>
      <c r="B141" t="s">
        <v>10</v>
      </c>
      <c r="C141" t="s">
        <v>175</v>
      </c>
      <c r="D141">
        <v>584</v>
      </c>
      <c r="E141" t="s">
        <v>181</v>
      </c>
      <c r="H141">
        <v>2079</v>
      </c>
      <c r="I141">
        <v>1</v>
      </c>
    </row>
    <row r="142" spans="1:11" x14ac:dyDescent="0.25">
      <c r="A142" s="1">
        <v>140</v>
      </c>
      <c r="B142" t="s">
        <v>10</v>
      </c>
      <c r="C142" t="s">
        <v>175</v>
      </c>
      <c r="D142">
        <v>585</v>
      </c>
      <c r="E142" t="s">
        <v>182</v>
      </c>
      <c r="F142" t="s">
        <v>183</v>
      </c>
      <c r="G142" t="s">
        <v>184</v>
      </c>
      <c r="H142">
        <v>2083</v>
      </c>
      <c r="I142">
        <v>1</v>
      </c>
      <c r="K142" t="s">
        <v>176</v>
      </c>
    </row>
    <row r="143" spans="1:11" x14ac:dyDescent="0.25">
      <c r="A143" s="1">
        <v>141</v>
      </c>
      <c r="B143" t="s">
        <v>10</v>
      </c>
      <c r="C143" t="s">
        <v>175</v>
      </c>
      <c r="D143">
        <v>586</v>
      </c>
      <c r="E143" t="s">
        <v>107</v>
      </c>
      <c r="F143" t="s">
        <v>108</v>
      </c>
      <c r="G143" t="s">
        <v>105</v>
      </c>
      <c r="I143">
        <v>1</v>
      </c>
    </row>
    <row r="144" spans="1:11" x14ac:dyDescent="0.25">
      <c r="A144" s="1">
        <v>142</v>
      </c>
      <c r="B144" t="s">
        <v>10</v>
      </c>
      <c r="C144" t="s">
        <v>175</v>
      </c>
      <c r="D144">
        <v>586</v>
      </c>
      <c r="E144" t="s">
        <v>107</v>
      </c>
      <c r="F144" t="s">
        <v>108</v>
      </c>
      <c r="G144" t="s">
        <v>185</v>
      </c>
    </row>
    <row r="145" spans="1:11" x14ac:dyDescent="0.25">
      <c r="A145" s="1">
        <v>143</v>
      </c>
      <c r="B145" t="s">
        <v>10</v>
      </c>
      <c r="C145" t="s">
        <v>175</v>
      </c>
      <c r="D145">
        <v>587</v>
      </c>
      <c r="E145" t="s">
        <v>107</v>
      </c>
      <c r="F145" t="s">
        <v>108</v>
      </c>
      <c r="G145" t="s">
        <v>105</v>
      </c>
      <c r="H145">
        <v>2076</v>
      </c>
    </row>
    <row r="146" spans="1:11" x14ac:dyDescent="0.25">
      <c r="A146" s="1">
        <v>144</v>
      </c>
      <c r="B146" t="s">
        <v>10</v>
      </c>
      <c r="C146" t="s">
        <v>175</v>
      </c>
      <c r="D146">
        <v>588</v>
      </c>
      <c r="E146" t="s">
        <v>39</v>
      </c>
      <c r="F146" t="s">
        <v>186</v>
      </c>
      <c r="G146" t="s">
        <v>187</v>
      </c>
    </row>
    <row r="147" spans="1:11" x14ac:dyDescent="0.25">
      <c r="A147" s="1">
        <v>145</v>
      </c>
      <c r="B147" t="s">
        <v>10</v>
      </c>
      <c r="C147" t="s">
        <v>175</v>
      </c>
      <c r="D147">
        <v>589</v>
      </c>
      <c r="E147" t="s">
        <v>36</v>
      </c>
      <c r="F147" t="s">
        <v>124</v>
      </c>
      <c r="G147" t="s">
        <v>125</v>
      </c>
      <c r="H147">
        <v>3684</v>
      </c>
    </row>
    <row r="148" spans="1:11" x14ac:dyDescent="0.25">
      <c r="A148" s="1">
        <v>146</v>
      </c>
      <c r="B148" t="s">
        <v>10</v>
      </c>
      <c r="C148" t="s">
        <v>175</v>
      </c>
      <c r="D148">
        <v>590</v>
      </c>
      <c r="E148" t="s">
        <v>188</v>
      </c>
      <c r="F148" t="s">
        <v>189</v>
      </c>
      <c r="G148" t="s">
        <v>190</v>
      </c>
      <c r="H148">
        <v>2073</v>
      </c>
      <c r="K148" t="s">
        <v>176</v>
      </c>
    </row>
    <row r="149" spans="1:11" x14ac:dyDescent="0.25">
      <c r="A149" s="1">
        <v>147</v>
      </c>
      <c r="B149" t="s">
        <v>10</v>
      </c>
      <c r="C149" t="s">
        <v>175</v>
      </c>
      <c r="D149">
        <v>591</v>
      </c>
      <c r="E149" t="s">
        <v>20</v>
      </c>
      <c r="H149">
        <v>3685</v>
      </c>
    </row>
    <row r="150" spans="1:11" x14ac:dyDescent="0.25">
      <c r="A150" s="1">
        <v>148</v>
      </c>
      <c r="B150" t="s">
        <v>10</v>
      </c>
      <c r="C150" t="s">
        <v>175</v>
      </c>
      <c r="D150">
        <v>592</v>
      </c>
      <c r="E150" t="s">
        <v>12</v>
      </c>
      <c r="H150">
        <v>3686</v>
      </c>
      <c r="I150">
        <v>1</v>
      </c>
      <c r="K150" t="s">
        <v>176</v>
      </c>
    </row>
    <row r="151" spans="1:11" x14ac:dyDescent="0.25">
      <c r="A151" s="1">
        <v>149</v>
      </c>
      <c r="B151" t="s">
        <v>10</v>
      </c>
      <c r="C151" t="s">
        <v>175</v>
      </c>
      <c r="D151">
        <v>593</v>
      </c>
      <c r="E151" t="s">
        <v>178</v>
      </c>
      <c r="F151" t="s">
        <v>179</v>
      </c>
      <c r="G151" t="s">
        <v>180</v>
      </c>
      <c r="H151">
        <v>3687</v>
      </c>
    </row>
    <row r="152" spans="1:11" x14ac:dyDescent="0.25">
      <c r="A152" s="1">
        <v>150</v>
      </c>
      <c r="B152" t="s">
        <v>10</v>
      </c>
      <c r="C152" t="s">
        <v>175</v>
      </c>
      <c r="D152">
        <v>594</v>
      </c>
      <c r="E152" t="s">
        <v>182</v>
      </c>
      <c r="F152" t="s">
        <v>183</v>
      </c>
      <c r="G152" t="s">
        <v>184</v>
      </c>
      <c r="H152" t="s">
        <v>191</v>
      </c>
    </row>
    <row r="153" spans="1:11" x14ac:dyDescent="0.25">
      <c r="A153" s="1">
        <v>151</v>
      </c>
      <c r="B153" t="s">
        <v>10</v>
      </c>
      <c r="C153" t="s">
        <v>175</v>
      </c>
      <c r="D153">
        <v>595</v>
      </c>
      <c r="E153" t="s">
        <v>107</v>
      </c>
      <c r="F153" t="s">
        <v>108</v>
      </c>
      <c r="G153" t="s">
        <v>105</v>
      </c>
      <c r="H153">
        <v>3689</v>
      </c>
      <c r="I153">
        <v>1</v>
      </c>
      <c r="K153" t="s">
        <v>176</v>
      </c>
    </row>
    <row r="154" spans="1:11" x14ac:dyDescent="0.25">
      <c r="A154" s="1">
        <v>152</v>
      </c>
      <c r="B154" t="s">
        <v>10</v>
      </c>
      <c r="C154" t="s">
        <v>175</v>
      </c>
      <c r="D154">
        <v>596</v>
      </c>
      <c r="E154" t="s">
        <v>182</v>
      </c>
      <c r="F154" t="s">
        <v>192</v>
      </c>
      <c r="H154">
        <v>2070</v>
      </c>
      <c r="I154">
        <v>1</v>
      </c>
    </row>
    <row r="155" spans="1:11" x14ac:dyDescent="0.25">
      <c r="A155" s="1">
        <v>153</v>
      </c>
      <c r="B155" t="s">
        <v>10</v>
      </c>
      <c r="C155" t="s">
        <v>175</v>
      </c>
      <c r="D155">
        <v>597</v>
      </c>
      <c r="E155" t="s">
        <v>188</v>
      </c>
      <c r="F155" t="s">
        <v>193</v>
      </c>
      <c r="G155" t="s">
        <v>194</v>
      </c>
    </row>
    <row r="156" spans="1:11" x14ac:dyDescent="0.25">
      <c r="A156" s="1">
        <v>154</v>
      </c>
      <c r="B156" t="s">
        <v>10</v>
      </c>
      <c r="C156" t="s">
        <v>175</v>
      </c>
      <c r="D156">
        <v>598</v>
      </c>
      <c r="E156" t="s">
        <v>195</v>
      </c>
      <c r="F156" t="s">
        <v>196</v>
      </c>
      <c r="G156" t="s">
        <v>197</v>
      </c>
      <c r="H156">
        <v>2069</v>
      </c>
      <c r="I156">
        <v>1</v>
      </c>
      <c r="K156" t="s">
        <v>176</v>
      </c>
    </row>
    <row r="157" spans="1:11" x14ac:dyDescent="0.25">
      <c r="A157" s="1">
        <v>155</v>
      </c>
      <c r="B157" t="s">
        <v>10</v>
      </c>
      <c r="C157" t="s">
        <v>175</v>
      </c>
      <c r="D157">
        <v>599</v>
      </c>
      <c r="E157" t="s">
        <v>39</v>
      </c>
      <c r="F157" t="s">
        <v>186</v>
      </c>
      <c r="G157" t="s">
        <v>187</v>
      </c>
    </row>
    <row r="158" spans="1:11" x14ac:dyDescent="0.25">
      <c r="A158" s="1">
        <v>156</v>
      </c>
      <c r="B158" t="s">
        <v>10</v>
      </c>
      <c r="C158" t="s">
        <v>175</v>
      </c>
      <c r="D158">
        <v>600</v>
      </c>
      <c r="E158" t="s">
        <v>17</v>
      </c>
      <c r="F158" t="s">
        <v>32</v>
      </c>
      <c r="H158">
        <v>3665</v>
      </c>
      <c r="K158" t="s">
        <v>176</v>
      </c>
    </row>
    <row r="159" spans="1:11" x14ac:dyDescent="0.25">
      <c r="A159" s="1">
        <v>157</v>
      </c>
      <c r="B159" t="s">
        <v>10</v>
      </c>
      <c r="C159" t="s">
        <v>175</v>
      </c>
      <c r="D159">
        <v>601</v>
      </c>
      <c r="E159" t="s">
        <v>198</v>
      </c>
      <c r="F159" t="s">
        <v>199</v>
      </c>
      <c r="G159" t="s">
        <v>200</v>
      </c>
    </row>
    <row r="160" spans="1:11" x14ac:dyDescent="0.25">
      <c r="A160" s="1">
        <v>158</v>
      </c>
      <c r="B160" t="s">
        <v>10</v>
      </c>
      <c r="C160" t="s">
        <v>175</v>
      </c>
      <c r="D160">
        <v>602</v>
      </c>
      <c r="E160" t="s">
        <v>178</v>
      </c>
      <c r="F160" t="s">
        <v>179</v>
      </c>
      <c r="G160" t="s">
        <v>180</v>
      </c>
      <c r="H160">
        <v>3687</v>
      </c>
    </row>
    <row r="161" spans="1:11" x14ac:dyDescent="0.25">
      <c r="A161" s="1">
        <v>159</v>
      </c>
      <c r="B161" t="s">
        <v>10</v>
      </c>
      <c r="C161" t="s">
        <v>175</v>
      </c>
      <c r="D161">
        <v>603</v>
      </c>
      <c r="E161" t="s">
        <v>181</v>
      </c>
      <c r="F161" t="s">
        <v>201</v>
      </c>
      <c r="G161" t="s">
        <v>202</v>
      </c>
      <c r="H161">
        <v>3690</v>
      </c>
    </row>
    <row r="162" spans="1:11" x14ac:dyDescent="0.25">
      <c r="A162" s="1">
        <v>160</v>
      </c>
      <c r="B162" t="s">
        <v>10</v>
      </c>
      <c r="C162" t="s">
        <v>175</v>
      </c>
      <c r="D162">
        <v>604</v>
      </c>
      <c r="E162" t="s">
        <v>36</v>
      </c>
      <c r="F162" t="s">
        <v>124</v>
      </c>
      <c r="G162" t="s">
        <v>125</v>
      </c>
    </row>
    <row r="163" spans="1:11" x14ac:dyDescent="0.25">
      <c r="A163" s="1">
        <v>161</v>
      </c>
      <c r="B163" t="s">
        <v>10</v>
      </c>
      <c r="C163" t="s">
        <v>175</v>
      </c>
      <c r="D163">
        <v>605</v>
      </c>
      <c r="E163" t="s">
        <v>39</v>
      </c>
      <c r="F163" t="s">
        <v>186</v>
      </c>
      <c r="G163" t="s">
        <v>187</v>
      </c>
    </row>
    <row r="164" spans="1:11" x14ac:dyDescent="0.25">
      <c r="A164" s="1">
        <v>162</v>
      </c>
      <c r="B164" t="s">
        <v>10</v>
      </c>
      <c r="C164" t="s">
        <v>175</v>
      </c>
      <c r="D164">
        <v>606</v>
      </c>
      <c r="E164" t="s">
        <v>107</v>
      </c>
      <c r="F164" t="s">
        <v>108</v>
      </c>
      <c r="G164" t="s">
        <v>185</v>
      </c>
      <c r="H164">
        <v>3691</v>
      </c>
      <c r="K164" t="s">
        <v>176</v>
      </c>
    </row>
    <row r="165" spans="1:11" x14ac:dyDescent="0.25">
      <c r="A165" s="1">
        <v>163</v>
      </c>
      <c r="B165" t="s">
        <v>10</v>
      </c>
      <c r="C165" t="s">
        <v>175</v>
      </c>
      <c r="D165">
        <v>607</v>
      </c>
      <c r="E165" t="s">
        <v>44</v>
      </c>
      <c r="F165" t="s">
        <v>45</v>
      </c>
      <c r="H165">
        <v>3692</v>
      </c>
    </row>
    <row r="166" spans="1:11" x14ac:dyDescent="0.25">
      <c r="A166" s="1">
        <v>164</v>
      </c>
      <c r="B166" t="s">
        <v>10</v>
      </c>
      <c r="C166" t="s">
        <v>175</v>
      </c>
      <c r="D166">
        <v>608</v>
      </c>
      <c r="E166" t="s">
        <v>24</v>
      </c>
      <c r="F166" t="s">
        <v>93</v>
      </c>
      <c r="G166" t="s">
        <v>94</v>
      </c>
    </row>
    <row r="167" spans="1:11" x14ac:dyDescent="0.25">
      <c r="A167" s="1">
        <v>165</v>
      </c>
      <c r="B167" t="s">
        <v>10</v>
      </c>
      <c r="C167" t="s">
        <v>175</v>
      </c>
      <c r="D167">
        <v>609</v>
      </c>
      <c r="E167" t="s">
        <v>20</v>
      </c>
      <c r="F167" t="s">
        <v>42</v>
      </c>
      <c r="G167" t="s">
        <v>203</v>
      </c>
      <c r="H167">
        <v>3693</v>
      </c>
    </row>
    <row r="168" spans="1:11" x14ac:dyDescent="0.25">
      <c r="A168" s="1">
        <v>166</v>
      </c>
      <c r="B168" t="s">
        <v>10</v>
      </c>
      <c r="C168" t="s">
        <v>175</v>
      </c>
      <c r="E168" t="s">
        <v>20</v>
      </c>
      <c r="F168" t="s">
        <v>42</v>
      </c>
      <c r="G168" t="s">
        <v>203</v>
      </c>
    </row>
    <row r="169" spans="1:11" x14ac:dyDescent="0.25">
      <c r="A169" s="1">
        <v>167</v>
      </c>
      <c r="B169" t="s">
        <v>10</v>
      </c>
      <c r="C169" t="s">
        <v>175</v>
      </c>
      <c r="D169">
        <v>610</v>
      </c>
      <c r="E169" t="s">
        <v>95</v>
      </c>
      <c r="F169" t="s">
        <v>204</v>
      </c>
      <c r="G169" t="s">
        <v>205</v>
      </c>
      <c r="H169">
        <v>3694</v>
      </c>
    </row>
    <row r="170" spans="1:11" x14ac:dyDescent="0.25">
      <c r="A170" s="1">
        <v>168</v>
      </c>
      <c r="B170" t="s">
        <v>10</v>
      </c>
      <c r="C170" t="s">
        <v>175</v>
      </c>
      <c r="D170">
        <v>611</v>
      </c>
      <c r="E170" t="s">
        <v>63</v>
      </c>
      <c r="H170">
        <v>2067</v>
      </c>
      <c r="I170">
        <v>1</v>
      </c>
      <c r="K170" t="s">
        <v>176</v>
      </c>
    </row>
    <row r="171" spans="1:11" x14ac:dyDescent="0.25">
      <c r="A171" s="1">
        <v>169</v>
      </c>
      <c r="B171" t="s">
        <v>10</v>
      </c>
      <c r="C171" t="s">
        <v>206</v>
      </c>
      <c r="D171">
        <v>612</v>
      </c>
      <c r="E171" t="s">
        <v>207</v>
      </c>
      <c r="F171" t="s">
        <v>208</v>
      </c>
      <c r="G171" t="s">
        <v>209</v>
      </c>
      <c r="H171">
        <v>2091</v>
      </c>
    </row>
    <row r="172" spans="1:11" x14ac:dyDescent="0.25">
      <c r="A172" s="1">
        <v>170</v>
      </c>
      <c r="B172" t="s">
        <v>10</v>
      </c>
      <c r="C172" t="s">
        <v>206</v>
      </c>
      <c r="D172">
        <v>613</v>
      </c>
      <c r="E172" t="s">
        <v>207</v>
      </c>
      <c r="F172" t="s">
        <v>208</v>
      </c>
      <c r="G172" t="s">
        <v>209</v>
      </c>
      <c r="H172">
        <v>2091</v>
      </c>
    </row>
    <row r="173" spans="1:11" x14ac:dyDescent="0.25">
      <c r="A173" s="1">
        <v>171</v>
      </c>
      <c r="B173" t="s">
        <v>10</v>
      </c>
      <c r="C173" t="s">
        <v>206</v>
      </c>
      <c r="D173">
        <v>614</v>
      </c>
      <c r="E173" t="s">
        <v>188</v>
      </c>
      <c r="F173" t="s">
        <v>210</v>
      </c>
      <c r="H173">
        <v>2090</v>
      </c>
    </row>
    <row r="174" spans="1:11" x14ac:dyDescent="0.25">
      <c r="A174" s="1">
        <v>172</v>
      </c>
      <c r="B174" t="s">
        <v>10</v>
      </c>
      <c r="C174" t="s">
        <v>206</v>
      </c>
      <c r="D174">
        <v>615</v>
      </c>
      <c r="E174" t="s">
        <v>95</v>
      </c>
      <c r="F174" t="s">
        <v>96</v>
      </c>
      <c r="H174">
        <v>3600</v>
      </c>
    </row>
    <row r="175" spans="1:11" x14ac:dyDescent="0.25">
      <c r="A175" s="1">
        <v>173</v>
      </c>
      <c r="B175" t="s">
        <v>10</v>
      </c>
      <c r="C175" t="s">
        <v>206</v>
      </c>
      <c r="D175">
        <v>617</v>
      </c>
      <c r="E175" t="s">
        <v>36</v>
      </c>
      <c r="F175" t="s">
        <v>37</v>
      </c>
      <c r="G175" t="s">
        <v>211</v>
      </c>
      <c r="H175">
        <v>2097</v>
      </c>
    </row>
    <row r="176" spans="1:11" x14ac:dyDescent="0.25">
      <c r="A176" s="1">
        <v>174</v>
      </c>
      <c r="B176" t="s">
        <v>10</v>
      </c>
      <c r="C176" t="s">
        <v>206</v>
      </c>
      <c r="D176">
        <v>618</v>
      </c>
      <c r="E176" t="s">
        <v>182</v>
      </c>
      <c r="F176" t="s">
        <v>183</v>
      </c>
      <c r="G176" t="s">
        <v>184</v>
      </c>
      <c r="H176">
        <v>2108</v>
      </c>
      <c r="I176">
        <v>1</v>
      </c>
    </row>
    <row r="177" spans="1:9" x14ac:dyDescent="0.25">
      <c r="A177" s="1">
        <v>175</v>
      </c>
      <c r="B177" t="s">
        <v>10</v>
      </c>
      <c r="C177" t="s">
        <v>206</v>
      </c>
      <c r="D177">
        <v>619</v>
      </c>
      <c r="E177" t="s">
        <v>122</v>
      </c>
    </row>
    <row r="178" spans="1:9" x14ac:dyDescent="0.25">
      <c r="A178" s="1">
        <v>176</v>
      </c>
      <c r="B178" t="s">
        <v>10</v>
      </c>
      <c r="C178" t="s">
        <v>206</v>
      </c>
      <c r="D178">
        <v>620</v>
      </c>
      <c r="E178" t="s">
        <v>17</v>
      </c>
      <c r="F178" t="s">
        <v>18</v>
      </c>
      <c r="G178" t="s">
        <v>19</v>
      </c>
      <c r="I178">
        <v>1</v>
      </c>
    </row>
    <row r="179" spans="1:9" x14ac:dyDescent="0.25">
      <c r="A179" s="1">
        <v>177</v>
      </c>
      <c r="B179" t="s">
        <v>10</v>
      </c>
      <c r="C179" t="s">
        <v>206</v>
      </c>
      <c r="D179">
        <v>621</v>
      </c>
      <c r="E179" t="s">
        <v>95</v>
      </c>
    </row>
    <row r="180" spans="1:9" x14ac:dyDescent="0.25">
      <c r="A180" s="1">
        <v>178</v>
      </c>
      <c r="B180" t="s">
        <v>10</v>
      </c>
      <c r="C180" t="s">
        <v>206</v>
      </c>
      <c r="D180">
        <v>622</v>
      </c>
      <c r="E180" t="s">
        <v>160</v>
      </c>
      <c r="F180" t="s">
        <v>161</v>
      </c>
    </row>
    <row r="181" spans="1:9" x14ac:dyDescent="0.25">
      <c r="A181" s="1">
        <v>179</v>
      </c>
      <c r="B181" t="s">
        <v>10</v>
      </c>
      <c r="C181" t="s">
        <v>206</v>
      </c>
      <c r="D181">
        <v>623</v>
      </c>
      <c r="E181" t="s">
        <v>39</v>
      </c>
      <c r="F181" t="s">
        <v>186</v>
      </c>
      <c r="G181" t="s">
        <v>187</v>
      </c>
      <c r="H181">
        <v>3564</v>
      </c>
    </row>
    <row r="182" spans="1:9" x14ac:dyDescent="0.25">
      <c r="A182" s="1">
        <v>180</v>
      </c>
      <c r="B182" t="s">
        <v>10</v>
      </c>
      <c r="C182" t="s">
        <v>206</v>
      </c>
      <c r="D182">
        <v>624</v>
      </c>
      <c r="E182" t="s">
        <v>107</v>
      </c>
      <c r="F182" t="s">
        <v>108</v>
      </c>
      <c r="G182" t="s">
        <v>105</v>
      </c>
    </row>
    <row r="183" spans="1:9" x14ac:dyDescent="0.25">
      <c r="A183" s="1">
        <v>181</v>
      </c>
      <c r="B183" t="s">
        <v>10</v>
      </c>
      <c r="C183" t="s">
        <v>206</v>
      </c>
      <c r="D183">
        <v>625</v>
      </c>
      <c r="E183" t="s">
        <v>24</v>
      </c>
      <c r="F183" t="s">
        <v>212</v>
      </c>
      <c r="G183" t="s">
        <v>213</v>
      </c>
    </row>
    <row r="184" spans="1:9" x14ac:dyDescent="0.25">
      <c r="A184" s="1">
        <v>182</v>
      </c>
      <c r="B184" t="s">
        <v>10</v>
      </c>
      <c r="C184" t="s">
        <v>206</v>
      </c>
      <c r="D184">
        <v>626</v>
      </c>
      <c r="E184" t="s">
        <v>24</v>
      </c>
      <c r="F184" t="s">
        <v>25</v>
      </c>
      <c r="G184" t="s">
        <v>26</v>
      </c>
    </row>
    <row r="185" spans="1:9" x14ac:dyDescent="0.25">
      <c r="A185" s="1">
        <v>183</v>
      </c>
      <c r="B185" t="s">
        <v>10</v>
      </c>
      <c r="C185" t="s">
        <v>206</v>
      </c>
      <c r="D185">
        <v>627</v>
      </c>
      <c r="E185" t="s">
        <v>95</v>
      </c>
      <c r="F185" t="s">
        <v>96</v>
      </c>
      <c r="G185" t="s">
        <v>214</v>
      </c>
    </row>
    <row r="186" spans="1:9" x14ac:dyDescent="0.25">
      <c r="A186" s="1">
        <v>184</v>
      </c>
      <c r="B186" t="s">
        <v>10</v>
      </c>
      <c r="C186" t="s">
        <v>206</v>
      </c>
      <c r="D186">
        <v>628</v>
      </c>
      <c r="E186" t="s">
        <v>24</v>
      </c>
      <c r="F186" t="s">
        <v>212</v>
      </c>
      <c r="G186" t="s">
        <v>213</v>
      </c>
    </row>
    <row r="187" spans="1:9" x14ac:dyDescent="0.25">
      <c r="A187" s="1">
        <v>185</v>
      </c>
      <c r="B187" t="s">
        <v>10</v>
      </c>
      <c r="C187" t="s">
        <v>206</v>
      </c>
      <c r="D187">
        <v>629</v>
      </c>
      <c r="E187" t="s">
        <v>36</v>
      </c>
      <c r="F187" t="s">
        <v>37</v>
      </c>
      <c r="G187" t="s">
        <v>215</v>
      </c>
      <c r="H187">
        <v>3649</v>
      </c>
    </row>
    <row r="188" spans="1:9" x14ac:dyDescent="0.25">
      <c r="A188" s="1">
        <v>186</v>
      </c>
      <c r="B188" t="s">
        <v>10</v>
      </c>
      <c r="C188" t="s">
        <v>206</v>
      </c>
      <c r="D188">
        <v>630</v>
      </c>
      <c r="E188" t="s">
        <v>122</v>
      </c>
    </row>
    <row r="189" spans="1:9" x14ac:dyDescent="0.25">
      <c r="A189" s="1">
        <v>187</v>
      </c>
      <c r="B189" t="s">
        <v>10</v>
      </c>
      <c r="C189" t="s">
        <v>206</v>
      </c>
      <c r="D189">
        <v>631</v>
      </c>
      <c r="E189" t="s">
        <v>160</v>
      </c>
      <c r="F189" t="s">
        <v>161</v>
      </c>
      <c r="G189" t="s">
        <v>216</v>
      </c>
      <c r="H189">
        <v>3665</v>
      </c>
    </row>
    <row r="190" spans="1:9" x14ac:dyDescent="0.25">
      <c r="A190" s="1">
        <v>188</v>
      </c>
      <c r="B190" t="s">
        <v>10</v>
      </c>
      <c r="C190" t="s">
        <v>206</v>
      </c>
      <c r="D190">
        <v>632</v>
      </c>
      <c r="E190" t="s">
        <v>84</v>
      </c>
    </row>
    <row r="191" spans="1:9" x14ac:dyDescent="0.25">
      <c r="A191" s="1">
        <v>189</v>
      </c>
      <c r="B191" t="s">
        <v>10</v>
      </c>
      <c r="C191" t="s">
        <v>206</v>
      </c>
      <c r="D191">
        <v>633</v>
      </c>
      <c r="E191" t="s">
        <v>92</v>
      </c>
      <c r="F191" t="s">
        <v>217</v>
      </c>
      <c r="G191" t="s">
        <v>218</v>
      </c>
      <c r="H191">
        <v>3623</v>
      </c>
    </row>
    <row r="192" spans="1:9" x14ac:dyDescent="0.25">
      <c r="A192" s="1">
        <v>190</v>
      </c>
      <c r="B192" t="s">
        <v>10</v>
      </c>
      <c r="C192" t="s">
        <v>206</v>
      </c>
      <c r="D192">
        <v>634</v>
      </c>
      <c r="E192" t="s">
        <v>219</v>
      </c>
      <c r="F192" t="s">
        <v>220</v>
      </c>
      <c r="G192" t="s">
        <v>221</v>
      </c>
      <c r="H192" t="s">
        <v>222</v>
      </c>
    </row>
    <row r="193" spans="1:9" x14ac:dyDescent="0.25">
      <c r="A193" s="1">
        <v>191</v>
      </c>
      <c r="B193" t="s">
        <v>10</v>
      </c>
      <c r="C193" t="s">
        <v>206</v>
      </c>
      <c r="D193">
        <v>635</v>
      </c>
      <c r="E193" t="s">
        <v>223</v>
      </c>
      <c r="F193" t="s">
        <v>224</v>
      </c>
      <c r="G193" t="s">
        <v>225</v>
      </c>
      <c r="H193">
        <v>3650</v>
      </c>
    </row>
    <row r="194" spans="1:9" x14ac:dyDescent="0.25">
      <c r="A194" s="1">
        <v>192</v>
      </c>
      <c r="B194" t="s">
        <v>10</v>
      </c>
      <c r="C194" t="s">
        <v>206</v>
      </c>
      <c r="D194">
        <v>636</v>
      </c>
      <c r="E194" t="s">
        <v>24</v>
      </c>
      <c r="F194" t="s">
        <v>30</v>
      </c>
      <c r="G194" t="s">
        <v>226</v>
      </c>
    </row>
    <row r="195" spans="1:9" x14ac:dyDescent="0.25">
      <c r="A195" s="1">
        <v>193</v>
      </c>
      <c r="B195" t="s">
        <v>10</v>
      </c>
      <c r="C195" t="s">
        <v>206</v>
      </c>
      <c r="D195">
        <v>637</v>
      </c>
      <c r="E195" t="s">
        <v>188</v>
      </c>
      <c r="F195" t="s">
        <v>193</v>
      </c>
      <c r="G195" t="s">
        <v>194</v>
      </c>
    </row>
    <row r="196" spans="1:9" x14ac:dyDescent="0.25">
      <c r="A196" s="1">
        <v>194</v>
      </c>
      <c r="B196" t="s">
        <v>10</v>
      </c>
      <c r="C196" t="s">
        <v>206</v>
      </c>
      <c r="D196">
        <v>638</v>
      </c>
      <c r="E196" t="s">
        <v>95</v>
      </c>
      <c r="F196" t="s">
        <v>96</v>
      </c>
      <c r="G196" t="s">
        <v>214</v>
      </c>
    </row>
    <row r="197" spans="1:9" x14ac:dyDescent="0.25">
      <c r="A197" s="1">
        <v>195</v>
      </c>
      <c r="B197" t="s">
        <v>10</v>
      </c>
      <c r="C197" t="s">
        <v>206</v>
      </c>
      <c r="D197">
        <v>639</v>
      </c>
      <c r="E197" t="s">
        <v>36</v>
      </c>
      <c r="F197" t="s">
        <v>37</v>
      </c>
      <c r="I197">
        <v>1</v>
      </c>
    </row>
    <row r="198" spans="1:9" x14ac:dyDescent="0.25">
      <c r="A198" s="1">
        <v>196</v>
      </c>
      <c r="B198" t="s">
        <v>10</v>
      </c>
      <c r="C198" t="s">
        <v>206</v>
      </c>
      <c r="D198">
        <v>640</v>
      </c>
      <c r="E198" t="s">
        <v>24</v>
      </c>
      <c r="F198" t="s">
        <v>212</v>
      </c>
      <c r="G198" t="s">
        <v>213</v>
      </c>
    </row>
    <row r="199" spans="1:9" x14ac:dyDescent="0.25">
      <c r="A199" s="1">
        <v>197</v>
      </c>
      <c r="B199" t="s">
        <v>10</v>
      </c>
      <c r="C199" t="s">
        <v>206</v>
      </c>
      <c r="D199">
        <v>641</v>
      </c>
      <c r="E199" t="s">
        <v>95</v>
      </c>
      <c r="F199" t="s">
        <v>96</v>
      </c>
      <c r="G199" t="s">
        <v>214</v>
      </c>
      <c r="H199">
        <v>2100</v>
      </c>
      <c r="I199">
        <v>1</v>
      </c>
    </row>
    <row r="200" spans="1:9" x14ac:dyDescent="0.25">
      <c r="A200" s="1">
        <v>198</v>
      </c>
      <c r="B200" t="s">
        <v>10</v>
      </c>
      <c r="C200" t="s">
        <v>206</v>
      </c>
      <c r="D200">
        <v>642</v>
      </c>
      <c r="E200" t="s">
        <v>122</v>
      </c>
    </row>
    <row r="201" spans="1:9" x14ac:dyDescent="0.25">
      <c r="A201" s="1">
        <v>199</v>
      </c>
      <c r="B201" t="s">
        <v>10</v>
      </c>
      <c r="C201" t="s">
        <v>206</v>
      </c>
      <c r="D201">
        <v>643</v>
      </c>
      <c r="E201" t="s">
        <v>24</v>
      </c>
      <c r="F201" t="s">
        <v>212</v>
      </c>
      <c r="G201" t="s">
        <v>213</v>
      </c>
    </row>
    <row r="202" spans="1:9" x14ac:dyDescent="0.25">
      <c r="A202" s="1">
        <v>200</v>
      </c>
      <c r="B202" t="s">
        <v>10</v>
      </c>
      <c r="C202" t="s">
        <v>206</v>
      </c>
      <c r="D202">
        <v>644</v>
      </c>
      <c r="E202" t="s">
        <v>122</v>
      </c>
      <c r="H202">
        <v>2105</v>
      </c>
      <c r="I202">
        <v>1</v>
      </c>
    </row>
    <row r="203" spans="1:9" x14ac:dyDescent="0.25">
      <c r="A203" s="1">
        <v>201</v>
      </c>
      <c r="B203" t="s">
        <v>10</v>
      </c>
      <c r="C203" t="s">
        <v>206</v>
      </c>
      <c r="D203">
        <v>645</v>
      </c>
      <c r="E203" t="s">
        <v>12</v>
      </c>
      <c r="F203" t="s">
        <v>149</v>
      </c>
      <c r="G203" t="s">
        <v>227</v>
      </c>
      <c r="H203">
        <v>2106</v>
      </c>
    </row>
    <row r="204" spans="1:9" x14ac:dyDescent="0.25">
      <c r="A204" s="1">
        <v>202</v>
      </c>
      <c r="B204" t="s">
        <v>10</v>
      </c>
      <c r="C204" t="s">
        <v>206</v>
      </c>
      <c r="D204">
        <v>646</v>
      </c>
      <c r="E204" t="s">
        <v>39</v>
      </c>
      <c r="F204" t="s">
        <v>186</v>
      </c>
      <c r="G204" t="s">
        <v>187</v>
      </c>
      <c r="H204">
        <v>2107</v>
      </c>
    </row>
    <row r="205" spans="1:9" x14ac:dyDescent="0.25">
      <c r="A205" s="1">
        <v>203</v>
      </c>
      <c r="B205" t="s">
        <v>10</v>
      </c>
      <c r="C205" t="s">
        <v>206</v>
      </c>
      <c r="D205">
        <v>647</v>
      </c>
      <c r="E205" t="s">
        <v>24</v>
      </c>
      <c r="F205" t="s">
        <v>212</v>
      </c>
      <c r="G205" t="s">
        <v>213</v>
      </c>
    </row>
    <row r="206" spans="1:9" x14ac:dyDescent="0.25">
      <c r="A206" s="1">
        <v>204</v>
      </c>
      <c r="B206" t="s">
        <v>10</v>
      </c>
      <c r="C206" t="s">
        <v>206</v>
      </c>
      <c r="D206">
        <v>648</v>
      </c>
      <c r="E206" t="s">
        <v>24</v>
      </c>
      <c r="F206" t="s">
        <v>30</v>
      </c>
      <c r="G206" t="s">
        <v>226</v>
      </c>
    </row>
    <row r="207" spans="1:9" x14ac:dyDescent="0.25">
      <c r="A207" s="1">
        <v>205</v>
      </c>
      <c r="B207" t="s">
        <v>10</v>
      </c>
      <c r="C207" t="s">
        <v>206</v>
      </c>
      <c r="D207">
        <v>649</v>
      </c>
      <c r="E207" t="s">
        <v>27</v>
      </c>
      <c r="F207" t="s">
        <v>28</v>
      </c>
      <c r="G207" t="s">
        <v>29</v>
      </c>
    </row>
    <row r="208" spans="1:9" x14ac:dyDescent="0.25">
      <c r="A208" s="1">
        <v>206</v>
      </c>
      <c r="B208" t="s">
        <v>10</v>
      </c>
      <c r="C208" t="s">
        <v>228</v>
      </c>
      <c r="D208">
        <v>650</v>
      </c>
      <c r="E208" t="s">
        <v>95</v>
      </c>
      <c r="F208" t="s">
        <v>204</v>
      </c>
      <c r="G208" t="s">
        <v>229</v>
      </c>
      <c r="I208">
        <v>1</v>
      </c>
    </row>
    <row r="209" spans="1:8" x14ac:dyDescent="0.25">
      <c r="A209" s="1">
        <v>207</v>
      </c>
      <c r="B209" t="s">
        <v>10</v>
      </c>
      <c r="C209" t="s">
        <v>228</v>
      </c>
      <c r="D209">
        <v>651</v>
      </c>
      <c r="E209" t="s">
        <v>36</v>
      </c>
      <c r="F209" t="s">
        <v>230</v>
      </c>
      <c r="G209" t="s">
        <v>19</v>
      </c>
      <c r="H209">
        <v>3562</v>
      </c>
    </row>
    <row r="210" spans="1:8" x14ac:dyDescent="0.25">
      <c r="A210" s="1">
        <v>208</v>
      </c>
      <c r="B210" t="s">
        <v>10</v>
      </c>
      <c r="C210" t="s">
        <v>228</v>
      </c>
      <c r="D210">
        <v>652</v>
      </c>
      <c r="E210" t="s">
        <v>20</v>
      </c>
      <c r="F210" t="s">
        <v>42</v>
      </c>
      <c r="H210">
        <v>3569</v>
      </c>
    </row>
    <row r="211" spans="1:8" x14ac:dyDescent="0.25">
      <c r="A211" s="1">
        <v>209</v>
      </c>
      <c r="B211" t="s">
        <v>10</v>
      </c>
      <c r="C211" t="s">
        <v>228</v>
      </c>
      <c r="D211">
        <v>653</v>
      </c>
      <c r="E211" t="s">
        <v>188</v>
      </c>
      <c r="F211" t="s">
        <v>193</v>
      </c>
      <c r="G211" t="s">
        <v>194</v>
      </c>
    </row>
    <row r="212" spans="1:8" x14ac:dyDescent="0.25">
      <c r="A212" s="1">
        <v>210</v>
      </c>
      <c r="B212" t="s">
        <v>10</v>
      </c>
      <c r="C212" t="s">
        <v>228</v>
      </c>
      <c r="D212">
        <v>654</v>
      </c>
      <c r="E212" t="s">
        <v>24</v>
      </c>
      <c r="F212" t="s">
        <v>231</v>
      </c>
      <c r="G212" t="s">
        <v>232</v>
      </c>
    </row>
    <row r="213" spans="1:8" x14ac:dyDescent="0.25">
      <c r="A213" s="1">
        <v>211</v>
      </c>
      <c r="B213" t="s">
        <v>10</v>
      </c>
      <c r="C213" t="s">
        <v>228</v>
      </c>
      <c r="D213">
        <v>655</v>
      </c>
      <c r="E213" t="s">
        <v>24</v>
      </c>
      <c r="F213" t="s">
        <v>212</v>
      </c>
      <c r="G213" t="s">
        <v>213</v>
      </c>
    </row>
    <row r="214" spans="1:8" x14ac:dyDescent="0.25">
      <c r="A214" s="1">
        <v>212</v>
      </c>
      <c r="B214" t="s">
        <v>10</v>
      </c>
      <c r="C214" t="s">
        <v>228</v>
      </c>
      <c r="D214">
        <v>656</v>
      </c>
      <c r="E214" t="s">
        <v>12</v>
      </c>
      <c r="F214" t="s">
        <v>57</v>
      </c>
      <c r="G214" t="s">
        <v>233</v>
      </c>
      <c r="H214">
        <v>3563</v>
      </c>
    </row>
    <row r="215" spans="1:8" x14ac:dyDescent="0.25">
      <c r="A215" s="1">
        <v>213</v>
      </c>
      <c r="B215" t="s">
        <v>10</v>
      </c>
      <c r="C215" t="s">
        <v>228</v>
      </c>
      <c r="D215">
        <v>657</v>
      </c>
      <c r="E215" t="s">
        <v>48</v>
      </c>
      <c r="F215" t="s">
        <v>90</v>
      </c>
      <c r="G215" t="s">
        <v>91</v>
      </c>
    </row>
    <row r="216" spans="1:8" x14ac:dyDescent="0.25">
      <c r="A216" s="1">
        <v>214</v>
      </c>
      <c r="B216" t="s">
        <v>10</v>
      </c>
      <c r="C216" t="s">
        <v>228</v>
      </c>
      <c r="D216">
        <v>658</v>
      </c>
      <c r="E216" t="s">
        <v>234</v>
      </c>
      <c r="F216" t="s">
        <v>235</v>
      </c>
      <c r="G216" t="s">
        <v>236</v>
      </c>
      <c r="H216">
        <v>2314</v>
      </c>
    </row>
    <row r="217" spans="1:8" x14ac:dyDescent="0.25">
      <c r="A217" s="1">
        <v>215</v>
      </c>
      <c r="B217" t="s">
        <v>10</v>
      </c>
      <c r="C217" t="s">
        <v>228</v>
      </c>
      <c r="D217">
        <v>659</v>
      </c>
      <c r="E217" t="s">
        <v>39</v>
      </c>
      <c r="F217" t="s">
        <v>186</v>
      </c>
      <c r="G217" t="s">
        <v>187</v>
      </c>
      <c r="H217">
        <v>3564</v>
      </c>
    </row>
    <row r="218" spans="1:8" x14ac:dyDescent="0.25">
      <c r="A218" s="1">
        <v>216</v>
      </c>
      <c r="B218" t="s">
        <v>10</v>
      </c>
      <c r="C218" t="s">
        <v>228</v>
      </c>
      <c r="D218">
        <v>660</v>
      </c>
      <c r="E218" t="s">
        <v>24</v>
      </c>
      <c r="F218" t="s">
        <v>212</v>
      </c>
      <c r="G218" t="s">
        <v>213</v>
      </c>
    </row>
    <row r="219" spans="1:8" x14ac:dyDescent="0.25">
      <c r="A219" s="1">
        <v>217</v>
      </c>
      <c r="B219" t="s">
        <v>10</v>
      </c>
      <c r="C219" t="s">
        <v>228</v>
      </c>
      <c r="D219">
        <v>661</v>
      </c>
      <c r="E219" t="s">
        <v>188</v>
      </c>
      <c r="F219" t="s">
        <v>189</v>
      </c>
      <c r="G219" t="s">
        <v>190</v>
      </c>
      <c r="H219">
        <v>3565</v>
      </c>
    </row>
    <row r="220" spans="1:8" x14ac:dyDescent="0.25">
      <c r="A220" s="1">
        <v>218</v>
      </c>
      <c r="B220" t="s">
        <v>10</v>
      </c>
      <c r="C220" t="s">
        <v>228</v>
      </c>
      <c r="D220">
        <v>662</v>
      </c>
      <c r="E220" t="s">
        <v>39</v>
      </c>
      <c r="F220" t="s">
        <v>40</v>
      </c>
      <c r="G220" t="s">
        <v>41</v>
      </c>
      <c r="H220">
        <v>3570</v>
      </c>
    </row>
    <row r="221" spans="1:8" x14ac:dyDescent="0.25">
      <c r="A221" s="1">
        <v>219</v>
      </c>
      <c r="B221" t="s">
        <v>10</v>
      </c>
      <c r="C221" t="s">
        <v>228</v>
      </c>
      <c r="D221">
        <v>663</v>
      </c>
      <c r="E221" t="s">
        <v>178</v>
      </c>
      <c r="F221" t="s">
        <v>179</v>
      </c>
      <c r="G221" t="s">
        <v>180</v>
      </c>
      <c r="H221">
        <v>3572</v>
      </c>
    </row>
    <row r="222" spans="1:8" x14ac:dyDescent="0.25">
      <c r="A222" s="1">
        <v>220</v>
      </c>
      <c r="B222" t="s">
        <v>10</v>
      </c>
      <c r="C222" t="s">
        <v>228</v>
      </c>
      <c r="D222">
        <v>664</v>
      </c>
      <c r="E222" t="s">
        <v>207</v>
      </c>
      <c r="F222" t="s">
        <v>237</v>
      </c>
      <c r="G222" t="s">
        <v>238</v>
      </c>
      <c r="H222" t="s">
        <v>239</v>
      </c>
    </row>
    <row r="223" spans="1:8" x14ac:dyDescent="0.25">
      <c r="A223" s="1">
        <v>221</v>
      </c>
      <c r="B223" t="s">
        <v>10</v>
      </c>
      <c r="C223" t="s">
        <v>228</v>
      </c>
      <c r="D223">
        <v>665</v>
      </c>
      <c r="E223" t="s">
        <v>24</v>
      </c>
      <c r="F223" t="s">
        <v>30</v>
      </c>
      <c r="G223" t="s">
        <v>226</v>
      </c>
    </row>
    <row r="224" spans="1:8" x14ac:dyDescent="0.25">
      <c r="A224" s="1">
        <v>222</v>
      </c>
      <c r="B224" t="s">
        <v>10</v>
      </c>
      <c r="C224" t="s">
        <v>228</v>
      </c>
      <c r="D224">
        <v>666</v>
      </c>
      <c r="E224" t="s">
        <v>24</v>
      </c>
      <c r="F224" t="s">
        <v>212</v>
      </c>
      <c r="G224" t="s">
        <v>213</v>
      </c>
    </row>
    <row r="225" spans="1:9" x14ac:dyDescent="0.25">
      <c r="A225" s="1">
        <v>223</v>
      </c>
      <c r="B225" t="s">
        <v>10</v>
      </c>
      <c r="C225" t="s">
        <v>228</v>
      </c>
      <c r="D225">
        <v>667</v>
      </c>
      <c r="E225" t="s">
        <v>48</v>
      </c>
      <c r="F225" t="s">
        <v>90</v>
      </c>
      <c r="G225" t="s">
        <v>91</v>
      </c>
      <c r="I225">
        <v>1</v>
      </c>
    </row>
    <row r="226" spans="1:9" x14ac:dyDescent="0.25">
      <c r="A226" s="1">
        <v>224</v>
      </c>
      <c r="B226" t="s">
        <v>10</v>
      </c>
      <c r="C226" t="s">
        <v>228</v>
      </c>
      <c r="D226">
        <v>668</v>
      </c>
      <c r="E226" t="s">
        <v>240</v>
      </c>
      <c r="F226" t="s">
        <v>241</v>
      </c>
      <c r="H226" t="s">
        <v>242</v>
      </c>
      <c r="I226">
        <v>1</v>
      </c>
    </row>
    <row r="227" spans="1:9" x14ac:dyDescent="0.25">
      <c r="A227" s="1">
        <v>225</v>
      </c>
      <c r="B227" t="s">
        <v>10</v>
      </c>
      <c r="C227" t="s">
        <v>228</v>
      </c>
      <c r="D227">
        <v>669</v>
      </c>
      <c r="E227" t="s">
        <v>95</v>
      </c>
      <c r="F227" t="s">
        <v>204</v>
      </c>
      <c r="G227" t="s">
        <v>229</v>
      </c>
    </row>
    <row r="228" spans="1:9" x14ac:dyDescent="0.25">
      <c r="A228" s="1">
        <v>226</v>
      </c>
      <c r="B228" t="s">
        <v>10</v>
      </c>
      <c r="C228" t="s">
        <v>228</v>
      </c>
      <c r="D228">
        <v>670</v>
      </c>
      <c r="E228" t="s">
        <v>84</v>
      </c>
      <c r="F228" t="s">
        <v>243</v>
      </c>
      <c r="G228" t="s">
        <v>244</v>
      </c>
      <c r="H228">
        <v>2317</v>
      </c>
    </row>
    <row r="229" spans="1:9" x14ac:dyDescent="0.25">
      <c r="A229" s="1">
        <v>227</v>
      </c>
      <c r="B229" t="s">
        <v>10</v>
      </c>
      <c r="C229" t="s">
        <v>228</v>
      </c>
      <c r="D229">
        <v>671</v>
      </c>
      <c r="E229" t="s">
        <v>48</v>
      </c>
      <c r="F229" t="s">
        <v>90</v>
      </c>
    </row>
    <row r="230" spans="1:9" x14ac:dyDescent="0.25">
      <c r="A230" s="1">
        <v>228</v>
      </c>
      <c r="B230" t="s">
        <v>10</v>
      </c>
      <c r="C230" t="s">
        <v>228</v>
      </c>
      <c r="D230">
        <v>672</v>
      </c>
      <c r="E230" t="s">
        <v>24</v>
      </c>
      <c r="F230" t="s">
        <v>212</v>
      </c>
      <c r="G230" t="s">
        <v>213</v>
      </c>
    </row>
    <row r="231" spans="1:9" x14ac:dyDescent="0.25">
      <c r="A231" s="1">
        <v>229</v>
      </c>
      <c r="B231" t="s">
        <v>10</v>
      </c>
      <c r="C231" t="s">
        <v>228</v>
      </c>
      <c r="D231">
        <v>673</v>
      </c>
      <c r="E231" t="s">
        <v>84</v>
      </c>
      <c r="F231" t="s">
        <v>174</v>
      </c>
      <c r="G231" t="s">
        <v>209</v>
      </c>
      <c r="H231">
        <v>3573</v>
      </c>
    </row>
    <row r="232" spans="1:9" x14ac:dyDescent="0.25">
      <c r="A232" s="1">
        <v>230</v>
      </c>
      <c r="B232" t="s">
        <v>10</v>
      </c>
      <c r="C232" t="s">
        <v>228</v>
      </c>
      <c r="D232">
        <v>674</v>
      </c>
      <c r="E232" t="s">
        <v>207</v>
      </c>
      <c r="F232" t="s">
        <v>237</v>
      </c>
      <c r="G232" t="s">
        <v>238</v>
      </c>
    </row>
    <row r="233" spans="1:9" x14ac:dyDescent="0.25">
      <c r="A233" s="1">
        <v>231</v>
      </c>
      <c r="B233" t="s">
        <v>10</v>
      </c>
      <c r="C233" t="s">
        <v>228</v>
      </c>
      <c r="D233">
        <v>675</v>
      </c>
      <c r="E233" t="s">
        <v>36</v>
      </c>
      <c r="F233" t="s">
        <v>37</v>
      </c>
      <c r="G233" t="s">
        <v>215</v>
      </c>
      <c r="H233">
        <v>3571</v>
      </c>
    </row>
    <row r="234" spans="1:9" x14ac:dyDescent="0.25">
      <c r="A234" s="1">
        <v>232</v>
      </c>
      <c r="B234" t="s">
        <v>10</v>
      </c>
      <c r="C234" t="s">
        <v>228</v>
      </c>
      <c r="D234">
        <v>676</v>
      </c>
      <c r="E234" t="s">
        <v>39</v>
      </c>
      <c r="F234" t="s">
        <v>186</v>
      </c>
      <c r="G234" t="s">
        <v>187</v>
      </c>
      <c r="H234">
        <v>3564</v>
      </c>
    </row>
    <row r="235" spans="1:9" x14ac:dyDescent="0.25">
      <c r="A235" s="1">
        <v>233</v>
      </c>
      <c r="B235" t="s">
        <v>10</v>
      </c>
      <c r="C235" t="s">
        <v>228</v>
      </c>
      <c r="D235">
        <v>677</v>
      </c>
      <c r="E235" t="s">
        <v>12</v>
      </c>
      <c r="F235" t="s">
        <v>149</v>
      </c>
      <c r="G235" t="s">
        <v>245</v>
      </c>
      <c r="H235">
        <v>3566</v>
      </c>
    </row>
    <row r="236" spans="1:9" x14ac:dyDescent="0.25">
      <c r="A236" s="1">
        <v>234</v>
      </c>
      <c r="B236" t="s">
        <v>10</v>
      </c>
      <c r="C236" t="s">
        <v>228</v>
      </c>
      <c r="D236">
        <v>678</v>
      </c>
      <c r="E236" t="s">
        <v>101</v>
      </c>
      <c r="F236" t="s">
        <v>246</v>
      </c>
      <c r="I236">
        <v>1</v>
      </c>
    </row>
    <row r="237" spans="1:9" x14ac:dyDescent="0.25">
      <c r="A237" s="1">
        <v>235</v>
      </c>
      <c r="B237" t="s">
        <v>10</v>
      </c>
      <c r="C237" t="s">
        <v>228</v>
      </c>
      <c r="D237">
        <v>679</v>
      </c>
      <c r="E237" t="s">
        <v>95</v>
      </c>
      <c r="F237" t="s">
        <v>204</v>
      </c>
      <c r="G237" t="s">
        <v>229</v>
      </c>
      <c r="H237">
        <v>3568</v>
      </c>
    </row>
    <row r="238" spans="1:9" x14ac:dyDescent="0.25">
      <c r="A238" s="1">
        <v>236</v>
      </c>
      <c r="B238" t="s">
        <v>10</v>
      </c>
      <c r="C238" t="s">
        <v>228</v>
      </c>
      <c r="D238">
        <v>680</v>
      </c>
      <c r="E238" t="s">
        <v>95</v>
      </c>
      <c r="F238" t="s">
        <v>204</v>
      </c>
      <c r="G238" t="s">
        <v>229</v>
      </c>
    </row>
    <row r="239" spans="1:9" x14ac:dyDescent="0.25">
      <c r="A239" s="1">
        <v>237</v>
      </c>
      <c r="B239" t="s">
        <v>10</v>
      </c>
      <c r="C239" t="s">
        <v>228</v>
      </c>
      <c r="D239">
        <v>681</v>
      </c>
      <c r="E239" t="s">
        <v>101</v>
      </c>
      <c r="F239" t="s">
        <v>246</v>
      </c>
      <c r="H239">
        <v>2527</v>
      </c>
    </row>
    <row r="240" spans="1:9" x14ac:dyDescent="0.25">
      <c r="A240" s="1">
        <v>238</v>
      </c>
      <c r="B240" t="s">
        <v>10</v>
      </c>
      <c r="C240" t="s">
        <v>228</v>
      </c>
      <c r="D240" t="s">
        <v>59</v>
      </c>
      <c r="E240" t="s">
        <v>122</v>
      </c>
    </row>
    <row r="241" spans="1:11" x14ac:dyDescent="0.25">
      <c r="A241" s="1">
        <v>239</v>
      </c>
      <c r="B241" t="s">
        <v>10</v>
      </c>
      <c r="C241" t="s">
        <v>175</v>
      </c>
      <c r="D241">
        <v>584</v>
      </c>
      <c r="E241" t="s">
        <v>181</v>
      </c>
      <c r="K241" t="s">
        <v>176</v>
      </c>
    </row>
    <row r="242" spans="1:11" x14ac:dyDescent="0.25">
      <c r="A242" s="1">
        <v>240</v>
      </c>
      <c r="B242" t="s">
        <v>10</v>
      </c>
      <c r="C242" t="s">
        <v>247</v>
      </c>
      <c r="D242">
        <v>726</v>
      </c>
      <c r="E242" t="s">
        <v>95</v>
      </c>
      <c r="F242" t="s">
        <v>248</v>
      </c>
      <c r="H242" t="s">
        <v>249</v>
      </c>
      <c r="K242" t="s">
        <v>87</v>
      </c>
    </row>
    <row r="243" spans="1:11" x14ac:dyDescent="0.25">
      <c r="A243" s="1">
        <v>241</v>
      </c>
      <c r="B243" t="s">
        <v>10</v>
      </c>
      <c r="C243" t="s">
        <v>247</v>
      </c>
      <c r="D243">
        <v>715</v>
      </c>
      <c r="E243" t="s">
        <v>250</v>
      </c>
      <c r="F243" t="s">
        <v>251</v>
      </c>
      <c r="G243" t="s">
        <v>252</v>
      </c>
      <c r="H243" t="s">
        <v>253</v>
      </c>
      <c r="K243" t="s">
        <v>87</v>
      </c>
    </row>
    <row r="244" spans="1:11" x14ac:dyDescent="0.25">
      <c r="A244" s="1">
        <v>242</v>
      </c>
      <c r="B244" t="s">
        <v>10</v>
      </c>
      <c r="C244" t="s">
        <v>247</v>
      </c>
      <c r="D244">
        <v>716</v>
      </c>
      <c r="E244" t="s">
        <v>207</v>
      </c>
      <c r="F244" t="s">
        <v>254</v>
      </c>
      <c r="G244" t="s">
        <v>255</v>
      </c>
      <c r="H244" t="s">
        <v>256</v>
      </c>
      <c r="K244" t="s">
        <v>87</v>
      </c>
    </row>
    <row r="245" spans="1:11" x14ac:dyDescent="0.25">
      <c r="A245" s="1">
        <v>243</v>
      </c>
      <c r="B245" t="s">
        <v>10</v>
      </c>
      <c r="C245" t="s">
        <v>247</v>
      </c>
      <c r="D245">
        <v>717</v>
      </c>
      <c r="E245" t="s">
        <v>12</v>
      </c>
      <c r="F245" t="s">
        <v>257</v>
      </c>
      <c r="H245" t="s">
        <v>258</v>
      </c>
    </row>
    <row r="246" spans="1:11" x14ac:dyDescent="0.25">
      <c r="A246" s="1">
        <v>244</v>
      </c>
      <c r="B246" t="s">
        <v>10</v>
      </c>
      <c r="C246" t="s">
        <v>247</v>
      </c>
      <c r="D246">
        <v>718</v>
      </c>
      <c r="E246" t="s">
        <v>198</v>
      </c>
      <c r="F246" t="s">
        <v>199</v>
      </c>
      <c r="G246" t="s">
        <v>200</v>
      </c>
      <c r="H246" t="s">
        <v>259</v>
      </c>
    </row>
    <row r="247" spans="1:11" x14ac:dyDescent="0.25">
      <c r="A247" s="1">
        <v>245</v>
      </c>
      <c r="B247" t="s">
        <v>10</v>
      </c>
      <c r="C247" t="s">
        <v>247</v>
      </c>
      <c r="D247">
        <v>719</v>
      </c>
      <c r="E247" t="s">
        <v>36</v>
      </c>
      <c r="F247" t="s">
        <v>260</v>
      </c>
      <c r="G247" t="s">
        <v>261</v>
      </c>
      <c r="H247" t="s">
        <v>262</v>
      </c>
      <c r="K247" t="s">
        <v>87</v>
      </c>
    </row>
    <row r="248" spans="1:11" x14ac:dyDescent="0.25">
      <c r="A248" s="1">
        <v>246</v>
      </c>
      <c r="B248" t="s">
        <v>10</v>
      </c>
      <c r="C248" t="s">
        <v>247</v>
      </c>
      <c r="D248">
        <v>720</v>
      </c>
      <c r="E248" t="s">
        <v>24</v>
      </c>
      <c r="F248" t="s">
        <v>30</v>
      </c>
      <c r="G248" t="s">
        <v>226</v>
      </c>
    </row>
    <row r="249" spans="1:11" x14ac:dyDescent="0.25">
      <c r="A249" s="1">
        <v>247</v>
      </c>
      <c r="B249" t="s">
        <v>10</v>
      </c>
      <c r="C249" t="s">
        <v>247</v>
      </c>
      <c r="D249">
        <v>721</v>
      </c>
      <c r="E249" t="s">
        <v>198</v>
      </c>
      <c r="F249" t="s">
        <v>199</v>
      </c>
      <c r="G249" t="s">
        <v>200</v>
      </c>
    </row>
    <row r="250" spans="1:11" x14ac:dyDescent="0.25">
      <c r="A250" s="1">
        <v>248</v>
      </c>
      <c r="B250" t="s">
        <v>10</v>
      </c>
      <c r="C250" t="s">
        <v>247</v>
      </c>
      <c r="D250">
        <v>722</v>
      </c>
      <c r="E250" t="s">
        <v>20</v>
      </c>
      <c r="F250" t="s">
        <v>42</v>
      </c>
      <c r="G250" t="s">
        <v>263</v>
      </c>
      <c r="H250" t="s">
        <v>264</v>
      </c>
    </row>
    <row r="251" spans="1:11" x14ac:dyDescent="0.25">
      <c r="A251" s="1">
        <v>249</v>
      </c>
      <c r="B251" t="s">
        <v>10</v>
      </c>
      <c r="C251" t="s">
        <v>247</v>
      </c>
      <c r="D251">
        <v>723</v>
      </c>
      <c r="E251" t="s">
        <v>198</v>
      </c>
      <c r="F251" t="s">
        <v>199</v>
      </c>
      <c r="G251" t="s">
        <v>200</v>
      </c>
    </row>
    <row r="252" spans="1:11" x14ac:dyDescent="0.25">
      <c r="A252" s="1">
        <v>250</v>
      </c>
      <c r="B252" t="s">
        <v>10</v>
      </c>
      <c r="C252" t="s">
        <v>247</v>
      </c>
      <c r="D252">
        <v>724</v>
      </c>
      <c r="E252" t="s">
        <v>265</v>
      </c>
      <c r="H252" t="s">
        <v>266</v>
      </c>
    </row>
    <row r="253" spans="1:11" x14ac:dyDescent="0.25">
      <c r="A253" s="1">
        <v>251</v>
      </c>
      <c r="B253" t="s">
        <v>10</v>
      </c>
      <c r="C253" t="s">
        <v>247</v>
      </c>
      <c r="D253">
        <v>725</v>
      </c>
      <c r="E253" t="s">
        <v>267</v>
      </c>
      <c r="F253" t="s">
        <v>199</v>
      </c>
      <c r="G253" t="s">
        <v>200</v>
      </c>
    </row>
    <row r="254" spans="1:11" x14ac:dyDescent="0.25">
      <c r="A254" s="1">
        <v>252</v>
      </c>
      <c r="B254" t="s">
        <v>10</v>
      </c>
      <c r="C254" t="s">
        <v>247</v>
      </c>
      <c r="D254">
        <v>727</v>
      </c>
      <c r="E254" t="s">
        <v>24</v>
      </c>
      <c r="F254" t="s">
        <v>212</v>
      </c>
      <c r="G254" t="s">
        <v>213</v>
      </c>
    </row>
    <row r="255" spans="1:11" x14ac:dyDescent="0.25">
      <c r="A255" s="1">
        <v>253</v>
      </c>
      <c r="B255" t="s">
        <v>10</v>
      </c>
      <c r="C255" t="s">
        <v>247</v>
      </c>
      <c r="D255">
        <v>728</v>
      </c>
      <c r="E255" t="s">
        <v>24</v>
      </c>
      <c r="F255" t="s">
        <v>212</v>
      </c>
      <c r="G255" t="s">
        <v>213</v>
      </c>
    </row>
    <row r="256" spans="1:11" x14ac:dyDescent="0.25">
      <c r="A256" s="1">
        <v>254</v>
      </c>
      <c r="B256" t="s">
        <v>10</v>
      </c>
      <c r="C256" t="s">
        <v>247</v>
      </c>
      <c r="D256">
        <v>729</v>
      </c>
      <c r="E256" t="s">
        <v>24</v>
      </c>
      <c r="F256" t="s">
        <v>212</v>
      </c>
      <c r="G256" t="s">
        <v>213</v>
      </c>
    </row>
    <row r="257" spans="1:11" x14ac:dyDescent="0.25">
      <c r="A257" s="1">
        <v>255</v>
      </c>
      <c r="B257" t="s">
        <v>10</v>
      </c>
      <c r="C257" t="s">
        <v>247</v>
      </c>
      <c r="D257">
        <v>730</v>
      </c>
      <c r="E257" t="s">
        <v>36</v>
      </c>
      <c r="F257" t="s">
        <v>37</v>
      </c>
      <c r="G257" t="s">
        <v>268</v>
      </c>
      <c r="H257" t="s">
        <v>269</v>
      </c>
    </row>
    <row r="258" spans="1:11" x14ac:dyDescent="0.25">
      <c r="A258" s="1">
        <v>256</v>
      </c>
      <c r="B258" t="s">
        <v>10</v>
      </c>
      <c r="C258" t="s">
        <v>247</v>
      </c>
      <c r="D258">
        <v>731</v>
      </c>
      <c r="E258" t="s">
        <v>39</v>
      </c>
      <c r="F258" t="s">
        <v>88</v>
      </c>
      <c r="G258" t="s">
        <v>270</v>
      </c>
      <c r="H258" t="s">
        <v>271</v>
      </c>
    </row>
    <row r="259" spans="1:11" x14ac:dyDescent="0.25">
      <c r="A259" s="1">
        <v>257</v>
      </c>
      <c r="B259" t="s">
        <v>10</v>
      </c>
      <c r="C259" t="s">
        <v>247</v>
      </c>
      <c r="D259">
        <v>732</v>
      </c>
      <c r="E259" t="s">
        <v>55</v>
      </c>
      <c r="F259" t="s">
        <v>272</v>
      </c>
      <c r="H259" t="s">
        <v>273</v>
      </c>
    </row>
    <row r="260" spans="1:11" x14ac:dyDescent="0.25">
      <c r="A260" s="1">
        <v>258</v>
      </c>
      <c r="B260" t="s">
        <v>10</v>
      </c>
      <c r="C260" t="s">
        <v>247</v>
      </c>
      <c r="D260">
        <v>733</v>
      </c>
    </row>
    <row r="261" spans="1:11" x14ac:dyDescent="0.25">
      <c r="A261" s="1">
        <v>259</v>
      </c>
      <c r="B261" t="s">
        <v>10</v>
      </c>
      <c r="C261" t="s">
        <v>247</v>
      </c>
      <c r="D261">
        <v>734</v>
      </c>
      <c r="E261" t="s">
        <v>24</v>
      </c>
      <c r="F261" t="s">
        <v>212</v>
      </c>
      <c r="G261" t="s">
        <v>213</v>
      </c>
    </row>
    <row r="262" spans="1:11" x14ac:dyDescent="0.25">
      <c r="A262" s="1">
        <v>260</v>
      </c>
      <c r="B262" t="s">
        <v>10</v>
      </c>
      <c r="C262" t="s">
        <v>247</v>
      </c>
      <c r="D262">
        <v>735</v>
      </c>
      <c r="E262" t="s">
        <v>274</v>
      </c>
      <c r="F262" t="s">
        <v>275</v>
      </c>
      <c r="G262" t="s">
        <v>276</v>
      </c>
    </row>
    <row r="263" spans="1:11" x14ac:dyDescent="0.25">
      <c r="A263" s="1">
        <v>261</v>
      </c>
      <c r="B263" t="s">
        <v>10</v>
      </c>
      <c r="C263" t="s">
        <v>247</v>
      </c>
      <c r="D263">
        <v>736</v>
      </c>
      <c r="E263" t="s">
        <v>14</v>
      </c>
      <c r="F263" t="s">
        <v>277</v>
      </c>
      <c r="G263" t="s">
        <v>278</v>
      </c>
      <c r="H263" t="s">
        <v>279</v>
      </c>
    </row>
    <row r="264" spans="1:11" x14ac:dyDescent="0.25">
      <c r="A264" s="1">
        <v>262</v>
      </c>
      <c r="B264" t="s">
        <v>10</v>
      </c>
      <c r="C264" t="s">
        <v>247</v>
      </c>
      <c r="D264">
        <v>737</v>
      </c>
      <c r="E264" t="s">
        <v>84</v>
      </c>
      <c r="F264" t="s">
        <v>280</v>
      </c>
      <c r="G264" t="s">
        <v>281</v>
      </c>
      <c r="H264" t="s">
        <v>282</v>
      </c>
      <c r="K264" t="s">
        <v>87</v>
      </c>
    </row>
    <row r="265" spans="1:11" x14ac:dyDescent="0.25">
      <c r="A265" s="1">
        <v>263</v>
      </c>
      <c r="B265" t="s">
        <v>10</v>
      </c>
      <c r="C265" t="s">
        <v>247</v>
      </c>
      <c r="D265">
        <v>738</v>
      </c>
      <c r="E265" t="s">
        <v>12</v>
      </c>
      <c r="F265" t="s">
        <v>283</v>
      </c>
      <c r="H265" t="s">
        <v>284</v>
      </c>
    </row>
    <row r="266" spans="1:11" x14ac:dyDescent="0.25">
      <c r="A266" s="1">
        <v>264</v>
      </c>
      <c r="B266" t="s">
        <v>10</v>
      </c>
      <c r="C266" t="s">
        <v>247</v>
      </c>
      <c r="D266">
        <v>739</v>
      </c>
      <c r="E266" t="s">
        <v>12</v>
      </c>
      <c r="F266" t="s">
        <v>285</v>
      </c>
      <c r="G266" t="s">
        <v>286</v>
      </c>
      <c r="H266" t="s">
        <v>287</v>
      </c>
      <c r="K266" t="s">
        <v>87</v>
      </c>
    </row>
    <row r="267" spans="1:11" x14ac:dyDescent="0.25">
      <c r="A267" s="1">
        <v>265</v>
      </c>
      <c r="B267" t="s">
        <v>10</v>
      </c>
      <c r="C267" t="s">
        <v>247</v>
      </c>
      <c r="D267">
        <v>740</v>
      </c>
      <c r="E267" t="s">
        <v>288</v>
      </c>
      <c r="F267" t="s">
        <v>289</v>
      </c>
      <c r="G267" t="s">
        <v>290</v>
      </c>
      <c r="H267" t="s">
        <v>291</v>
      </c>
      <c r="K267" t="s">
        <v>87</v>
      </c>
    </row>
    <row r="268" spans="1:11" x14ac:dyDescent="0.25">
      <c r="A268" s="1">
        <v>266</v>
      </c>
      <c r="B268" t="s">
        <v>10</v>
      </c>
      <c r="C268" t="s">
        <v>247</v>
      </c>
      <c r="D268">
        <v>741</v>
      </c>
      <c r="E268" t="s">
        <v>24</v>
      </c>
      <c r="F268" t="s">
        <v>212</v>
      </c>
      <c r="G268" t="s">
        <v>213</v>
      </c>
    </row>
    <row r="269" spans="1:11" x14ac:dyDescent="0.25">
      <c r="A269" s="1">
        <v>267</v>
      </c>
      <c r="B269" t="s">
        <v>10</v>
      </c>
      <c r="C269" t="s">
        <v>247</v>
      </c>
      <c r="D269">
        <v>742</v>
      </c>
      <c r="H269" t="s">
        <v>292</v>
      </c>
    </row>
    <row r="270" spans="1:11" x14ac:dyDescent="0.25">
      <c r="A270" s="1">
        <v>268</v>
      </c>
      <c r="B270" t="s">
        <v>10</v>
      </c>
      <c r="C270" t="s">
        <v>247</v>
      </c>
      <c r="D270">
        <v>743</v>
      </c>
      <c r="E270" t="s">
        <v>48</v>
      </c>
      <c r="F270" t="s">
        <v>90</v>
      </c>
      <c r="G270" t="s">
        <v>91</v>
      </c>
    </row>
    <row r="271" spans="1:11" x14ac:dyDescent="0.25">
      <c r="A271" s="1">
        <v>269</v>
      </c>
      <c r="B271" t="s">
        <v>10</v>
      </c>
      <c r="C271" t="s">
        <v>247</v>
      </c>
      <c r="D271">
        <v>744</v>
      </c>
      <c r="E271" t="s">
        <v>20</v>
      </c>
      <c r="H271">
        <f>3577</f>
        <v>3577</v>
      </c>
    </row>
    <row r="272" spans="1:11" x14ac:dyDescent="0.25">
      <c r="A272" s="1">
        <v>270</v>
      </c>
      <c r="B272" t="s">
        <v>10</v>
      </c>
      <c r="C272" t="s">
        <v>247</v>
      </c>
      <c r="D272">
        <v>745</v>
      </c>
      <c r="E272" t="s">
        <v>188</v>
      </c>
      <c r="F272" t="s">
        <v>193</v>
      </c>
      <c r="G272" t="s">
        <v>194</v>
      </c>
    </row>
    <row r="273" spans="1:11" x14ac:dyDescent="0.25">
      <c r="A273" s="1">
        <v>271</v>
      </c>
      <c r="B273" t="s">
        <v>10</v>
      </c>
      <c r="C273" t="s">
        <v>247</v>
      </c>
      <c r="D273">
        <v>746</v>
      </c>
      <c r="E273" t="s">
        <v>39</v>
      </c>
      <c r="F273" t="s">
        <v>88</v>
      </c>
      <c r="G273" t="s">
        <v>270</v>
      </c>
      <c r="H273">
        <f>3578</f>
        <v>3578</v>
      </c>
    </row>
    <row r="274" spans="1:11" x14ac:dyDescent="0.25">
      <c r="A274" s="1">
        <v>272</v>
      </c>
      <c r="B274" t="s">
        <v>10</v>
      </c>
      <c r="C274" t="s">
        <v>247</v>
      </c>
      <c r="D274">
        <v>747</v>
      </c>
      <c r="E274" t="s">
        <v>24</v>
      </c>
      <c r="F274" t="s">
        <v>30</v>
      </c>
      <c r="G274" t="s">
        <v>226</v>
      </c>
    </row>
    <row r="275" spans="1:11" x14ac:dyDescent="0.25">
      <c r="A275" s="1">
        <v>273</v>
      </c>
      <c r="B275" t="s">
        <v>10</v>
      </c>
      <c r="C275" t="s">
        <v>247</v>
      </c>
      <c r="D275">
        <v>748</v>
      </c>
      <c r="E275" t="s">
        <v>36</v>
      </c>
      <c r="F275" t="s">
        <v>260</v>
      </c>
      <c r="G275" t="s">
        <v>261</v>
      </c>
      <c r="H275">
        <f>3579</f>
        <v>3579</v>
      </c>
      <c r="K275" t="s">
        <v>87</v>
      </c>
    </row>
    <row r="276" spans="1:11" x14ac:dyDescent="0.25">
      <c r="A276" s="1">
        <v>274</v>
      </c>
      <c r="B276" t="s">
        <v>10</v>
      </c>
      <c r="C276" t="s">
        <v>247</v>
      </c>
      <c r="D276">
        <v>749</v>
      </c>
      <c r="E276" t="s">
        <v>20</v>
      </c>
      <c r="H276" t="s">
        <v>293</v>
      </c>
    </row>
    <row r="277" spans="1:11" x14ac:dyDescent="0.25">
      <c r="A277" s="1">
        <v>275</v>
      </c>
      <c r="B277" t="s">
        <v>10</v>
      </c>
      <c r="C277" t="s">
        <v>247</v>
      </c>
      <c r="D277">
        <v>750</v>
      </c>
      <c r="E277" t="s">
        <v>24</v>
      </c>
      <c r="F277" t="s">
        <v>212</v>
      </c>
      <c r="G277" t="s">
        <v>213</v>
      </c>
    </row>
    <row r="278" spans="1:11" x14ac:dyDescent="0.25">
      <c r="A278" s="1">
        <v>276</v>
      </c>
      <c r="B278" t="s">
        <v>10</v>
      </c>
      <c r="C278" t="s">
        <v>247</v>
      </c>
      <c r="D278">
        <v>751</v>
      </c>
      <c r="E278" t="s">
        <v>48</v>
      </c>
      <c r="F278" t="s">
        <v>90</v>
      </c>
      <c r="G278" t="s">
        <v>91</v>
      </c>
    </row>
    <row r="279" spans="1:11" x14ac:dyDescent="0.25">
      <c r="A279" s="1">
        <v>277</v>
      </c>
      <c r="B279" t="s">
        <v>10</v>
      </c>
      <c r="C279" t="s">
        <v>247</v>
      </c>
      <c r="D279">
        <v>752</v>
      </c>
      <c r="E279" t="s">
        <v>12</v>
      </c>
      <c r="F279" t="s">
        <v>257</v>
      </c>
      <c r="G279" t="s">
        <v>294</v>
      </c>
      <c r="H279" t="s">
        <v>295</v>
      </c>
    </row>
    <row r="280" spans="1:11" x14ac:dyDescent="0.25">
      <c r="A280" s="1">
        <v>278</v>
      </c>
      <c r="B280" t="s">
        <v>10</v>
      </c>
      <c r="C280" t="s">
        <v>247</v>
      </c>
      <c r="D280">
        <v>753</v>
      </c>
      <c r="E280" t="s">
        <v>12</v>
      </c>
      <c r="F280" t="s">
        <v>257</v>
      </c>
      <c r="G280" t="s">
        <v>294</v>
      </c>
      <c r="H280">
        <f>3583</f>
        <v>3583</v>
      </c>
    </row>
    <row r="281" spans="1:11" x14ac:dyDescent="0.25">
      <c r="A281" s="1">
        <v>279</v>
      </c>
      <c r="B281" t="s">
        <v>10</v>
      </c>
      <c r="C281" t="s">
        <v>247</v>
      </c>
      <c r="D281">
        <v>754</v>
      </c>
      <c r="E281" t="s">
        <v>24</v>
      </c>
      <c r="F281" t="s">
        <v>212</v>
      </c>
      <c r="G281" t="s">
        <v>213</v>
      </c>
    </row>
    <row r="282" spans="1:11" x14ac:dyDescent="0.25">
      <c r="A282" s="1">
        <v>280</v>
      </c>
      <c r="B282" t="s">
        <v>10</v>
      </c>
      <c r="C282" t="s">
        <v>247</v>
      </c>
      <c r="D282">
        <v>755</v>
      </c>
      <c r="E282" t="s">
        <v>20</v>
      </c>
      <c r="F282" t="s">
        <v>42</v>
      </c>
      <c r="G282" t="s">
        <v>296</v>
      </c>
      <c r="H282" t="s">
        <v>297</v>
      </c>
      <c r="K282" t="s">
        <v>87</v>
      </c>
    </row>
    <row r="283" spans="1:11" x14ac:dyDescent="0.25">
      <c r="A283" s="1">
        <v>281</v>
      </c>
      <c r="B283" t="s">
        <v>10</v>
      </c>
      <c r="C283" t="s">
        <v>247</v>
      </c>
      <c r="D283">
        <v>756</v>
      </c>
      <c r="E283" t="s">
        <v>188</v>
      </c>
      <c r="F283" t="s">
        <v>189</v>
      </c>
      <c r="G283" t="s">
        <v>190</v>
      </c>
      <c r="H283">
        <f>3565</f>
        <v>3565</v>
      </c>
    </row>
    <row r="284" spans="1:11" x14ac:dyDescent="0.25">
      <c r="A284" s="1">
        <v>282</v>
      </c>
      <c r="B284" t="s">
        <v>10</v>
      </c>
      <c r="C284" t="s">
        <v>247</v>
      </c>
      <c r="D284">
        <v>757</v>
      </c>
      <c r="E284" t="s">
        <v>298</v>
      </c>
      <c r="F284" t="s">
        <v>299</v>
      </c>
      <c r="H284" t="s">
        <v>300</v>
      </c>
      <c r="K284" t="s">
        <v>87</v>
      </c>
    </row>
    <row r="285" spans="1:11" x14ac:dyDescent="0.25">
      <c r="A285" s="1">
        <v>283</v>
      </c>
      <c r="B285" t="s">
        <v>10</v>
      </c>
      <c r="C285" t="s">
        <v>247</v>
      </c>
      <c r="D285">
        <v>758</v>
      </c>
      <c r="E285" t="s">
        <v>274</v>
      </c>
      <c r="F285" t="s">
        <v>275</v>
      </c>
      <c r="G285" t="s">
        <v>276</v>
      </c>
      <c r="H285">
        <f>2303</f>
        <v>2303</v>
      </c>
    </row>
    <row r="286" spans="1:11" x14ac:dyDescent="0.25">
      <c r="A286" s="1">
        <v>284</v>
      </c>
      <c r="B286" t="s">
        <v>10</v>
      </c>
      <c r="C286" t="s">
        <v>247</v>
      </c>
      <c r="D286">
        <v>759</v>
      </c>
      <c r="E286" t="s">
        <v>198</v>
      </c>
      <c r="F286" t="s">
        <v>199</v>
      </c>
      <c r="G286" t="s">
        <v>200</v>
      </c>
    </row>
    <row r="287" spans="1:11" x14ac:dyDescent="0.25">
      <c r="A287" s="1">
        <v>285</v>
      </c>
      <c r="B287" t="s">
        <v>10</v>
      </c>
      <c r="C287" t="s">
        <v>247</v>
      </c>
      <c r="E287" t="s">
        <v>48</v>
      </c>
      <c r="F287" t="s">
        <v>90</v>
      </c>
      <c r="G287" t="s">
        <v>91</v>
      </c>
      <c r="K287" t="s">
        <v>87</v>
      </c>
    </row>
    <row r="288" spans="1:11" x14ac:dyDescent="0.25">
      <c r="A288" s="1">
        <v>286</v>
      </c>
      <c r="B288" t="s">
        <v>10</v>
      </c>
      <c r="C288" t="s">
        <v>247</v>
      </c>
      <c r="E288" t="s">
        <v>301</v>
      </c>
      <c r="F288" t="s">
        <v>302</v>
      </c>
      <c r="G288" t="s">
        <v>303</v>
      </c>
    </row>
    <row r="289" spans="1:9" x14ac:dyDescent="0.25">
      <c r="A289" s="1">
        <v>287</v>
      </c>
      <c r="B289" t="s">
        <v>10</v>
      </c>
      <c r="C289" t="s">
        <v>247</v>
      </c>
      <c r="E289" t="s">
        <v>12</v>
      </c>
      <c r="F289" t="s">
        <v>283</v>
      </c>
    </row>
    <row r="290" spans="1:9" x14ac:dyDescent="0.25">
      <c r="A290" s="1">
        <v>288</v>
      </c>
      <c r="B290" t="s">
        <v>10</v>
      </c>
      <c r="C290" t="s">
        <v>247</v>
      </c>
      <c r="E290" t="s">
        <v>20</v>
      </c>
    </row>
    <row r="291" spans="1:9" x14ac:dyDescent="0.25">
      <c r="A291" s="1">
        <v>289</v>
      </c>
      <c r="B291" t="s">
        <v>10</v>
      </c>
      <c r="C291" t="s">
        <v>247</v>
      </c>
      <c r="E291" t="s">
        <v>178</v>
      </c>
      <c r="F291" t="s">
        <v>179</v>
      </c>
    </row>
    <row r="292" spans="1:9" x14ac:dyDescent="0.25">
      <c r="A292" s="1">
        <v>290</v>
      </c>
      <c r="B292" t="s">
        <v>10</v>
      </c>
      <c r="C292" t="s">
        <v>247</v>
      </c>
      <c r="E292" t="s">
        <v>207</v>
      </c>
    </row>
    <row r="293" spans="1:9" x14ac:dyDescent="0.25">
      <c r="A293" s="1">
        <v>291</v>
      </c>
      <c r="B293" t="s">
        <v>10</v>
      </c>
      <c r="C293" t="s">
        <v>247</v>
      </c>
      <c r="E293" t="s">
        <v>36</v>
      </c>
      <c r="F293" t="s">
        <v>260</v>
      </c>
    </row>
    <row r="294" spans="1:9" x14ac:dyDescent="0.25">
      <c r="A294" s="1">
        <v>292</v>
      </c>
      <c r="B294" t="s">
        <v>10</v>
      </c>
      <c r="C294" t="s">
        <v>247</v>
      </c>
      <c r="E294" t="s">
        <v>122</v>
      </c>
    </row>
    <row r="295" spans="1:9" x14ac:dyDescent="0.25">
      <c r="A295" s="1">
        <v>293</v>
      </c>
      <c r="B295" t="s">
        <v>10</v>
      </c>
      <c r="C295" t="s">
        <v>247</v>
      </c>
      <c r="E295" t="s">
        <v>20</v>
      </c>
    </row>
    <row r="296" spans="1:9" x14ac:dyDescent="0.25">
      <c r="A296" s="1">
        <v>294</v>
      </c>
      <c r="B296" t="s">
        <v>10</v>
      </c>
      <c r="C296" t="s">
        <v>247</v>
      </c>
      <c r="E296" t="s">
        <v>198</v>
      </c>
      <c r="F296" t="s">
        <v>199</v>
      </c>
    </row>
    <row r="297" spans="1:9" x14ac:dyDescent="0.25">
      <c r="A297" s="1">
        <v>295</v>
      </c>
      <c r="B297" t="s">
        <v>10</v>
      </c>
      <c r="C297" t="s">
        <v>247</v>
      </c>
      <c r="E297" t="s">
        <v>122</v>
      </c>
    </row>
    <row r="298" spans="1:9" x14ac:dyDescent="0.25">
      <c r="A298" s="1">
        <v>296</v>
      </c>
      <c r="B298" t="s">
        <v>10</v>
      </c>
      <c r="C298" t="s">
        <v>247</v>
      </c>
      <c r="E298" t="s">
        <v>304</v>
      </c>
      <c r="F298" t="s">
        <v>305</v>
      </c>
    </row>
    <row r="299" spans="1:9" x14ac:dyDescent="0.25">
      <c r="A299" s="1">
        <v>297</v>
      </c>
      <c r="B299" t="s">
        <v>10</v>
      </c>
      <c r="C299" t="s">
        <v>247</v>
      </c>
      <c r="E299" t="s">
        <v>12</v>
      </c>
      <c r="F299" t="s">
        <v>283</v>
      </c>
    </row>
    <row r="300" spans="1:9" x14ac:dyDescent="0.25">
      <c r="A300" s="1">
        <v>298</v>
      </c>
      <c r="B300" t="s">
        <v>10</v>
      </c>
      <c r="C300" t="s">
        <v>247</v>
      </c>
      <c r="E300" t="s">
        <v>12</v>
      </c>
    </row>
    <row r="301" spans="1:9" x14ac:dyDescent="0.25">
      <c r="A301" s="1">
        <v>299</v>
      </c>
      <c r="B301" t="s">
        <v>10</v>
      </c>
      <c r="C301" t="s">
        <v>247</v>
      </c>
      <c r="E301" t="s">
        <v>24</v>
      </c>
      <c r="F301" t="s">
        <v>212</v>
      </c>
      <c r="G301" t="s">
        <v>213</v>
      </c>
    </row>
    <row r="302" spans="1:9" x14ac:dyDescent="0.25">
      <c r="A302" s="1">
        <v>300</v>
      </c>
      <c r="B302" t="s">
        <v>10</v>
      </c>
      <c r="C302" t="s">
        <v>306</v>
      </c>
      <c r="D302">
        <v>760</v>
      </c>
      <c r="E302" t="s">
        <v>27</v>
      </c>
      <c r="F302" t="s">
        <v>143</v>
      </c>
      <c r="G302" t="s">
        <v>144</v>
      </c>
      <c r="H302">
        <f>3739</f>
        <v>3739</v>
      </c>
    </row>
    <row r="303" spans="1:9" x14ac:dyDescent="0.25">
      <c r="A303" s="1">
        <v>301</v>
      </c>
      <c r="B303" t="s">
        <v>10</v>
      </c>
      <c r="C303" t="s">
        <v>306</v>
      </c>
      <c r="D303">
        <v>761</v>
      </c>
      <c r="E303" t="s">
        <v>95</v>
      </c>
      <c r="F303" t="s">
        <v>204</v>
      </c>
      <c r="G303" t="s">
        <v>307</v>
      </c>
      <c r="H303" t="s">
        <v>308</v>
      </c>
    </row>
    <row r="304" spans="1:9" x14ac:dyDescent="0.25">
      <c r="A304" s="1">
        <v>302</v>
      </c>
      <c r="B304" t="s">
        <v>10</v>
      </c>
      <c r="C304" t="s">
        <v>306</v>
      </c>
      <c r="D304">
        <v>762</v>
      </c>
      <c r="E304" t="s">
        <v>182</v>
      </c>
      <c r="F304" t="s">
        <v>183</v>
      </c>
      <c r="G304" t="s">
        <v>309</v>
      </c>
      <c r="H304" t="s">
        <v>310</v>
      </c>
      <c r="I304">
        <v>1</v>
      </c>
    </row>
    <row r="305" spans="1:9" x14ac:dyDescent="0.25">
      <c r="A305" s="1">
        <v>303</v>
      </c>
      <c r="B305" t="s">
        <v>10</v>
      </c>
      <c r="C305" t="s">
        <v>306</v>
      </c>
      <c r="D305">
        <v>763</v>
      </c>
      <c r="E305" t="s">
        <v>240</v>
      </c>
      <c r="F305" t="s">
        <v>241</v>
      </c>
      <c r="H305" t="s">
        <v>311</v>
      </c>
      <c r="I305">
        <v>1</v>
      </c>
    </row>
    <row r="306" spans="1:9" x14ac:dyDescent="0.25">
      <c r="A306" s="1">
        <v>304</v>
      </c>
      <c r="B306" t="s">
        <v>10</v>
      </c>
      <c r="C306" t="s">
        <v>306</v>
      </c>
      <c r="D306">
        <v>764</v>
      </c>
      <c r="E306" t="s">
        <v>71</v>
      </c>
      <c r="F306" t="s">
        <v>72</v>
      </c>
      <c r="G306" t="s">
        <v>156</v>
      </c>
    </row>
    <row r="307" spans="1:9" x14ac:dyDescent="0.25">
      <c r="A307" s="1">
        <v>305</v>
      </c>
      <c r="B307" t="s">
        <v>10</v>
      </c>
      <c r="C307" t="s">
        <v>306</v>
      </c>
      <c r="D307">
        <v>765</v>
      </c>
      <c r="E307" t="s">
        <v>71</v>
      </c>
      <c r="F307" t="s">
        <v>99</v>
      </c>
      <c r="H307" t="s">
        <v>312</v>
      </c>
    </row>
    <row r="308" spans="1:9" x14ac:dyDescent="0.25">
      <c r="A308" s="1">
        <v>306</v>
      </c>
      <c r="B308" t="s">
        <v>10</v>
      </c>
      <c r="C308" t="s">
        <v>306</v>
      </c>
      <c r="D308">
        <v>766</v>
      </c>
      <c r="E308" t="s">
        <v>36</v>
      </c>
      <c r="F308" t="s">
        <v>37</v>
      </c>
      <c r="G308" t="s">
        <v>268</v>
      </c>
      <c r="H308">
        <f>3777</f>
        <v>3777</v>
      </c>
    </row>
    <row r="309" spans="1:9" x14ac:dyDescent="0.25">
      <c r="A309" s="1">
        <v>307</v>
      </c>
      <c r="B309" t="s">
        <v>10</v>
      </c>
      <c r="C309" t="s">
        <v>306</v>
      </c>
      <c r="D309">
        <v>767</v>
      </c>
      <c r="E309" t="s">
        <v>95</v>
      </c>
      <c r="F309" t="s">
        <v>119</v>
      </c>
      <c r="G309" t="s">
        <v>120</v>
      </c>
      <c r="H309" t="s">
        <v>313</v>
      </c>
    </row>
    <row r="310" spans="1:9" x14ac:dyDescent="0.25">
      <c r="A310" s="1">
        <v>308</v>
      </c>
      <c r="B310" t="s">
        <v>10</v>
      </c>
      <c r="C310" t="s">
        <v>306</v>
      </c>
      <c r="D310">
        <v>768</v>
      </c>
      <c r="E310" t="s">
        <v>115</v>
      </c>
      <c r="F310" t="s">
        <v>314</v>
      </c>
      <c r="G310" t="s">
        <v>187</v>
      </c>
      <c r="H310">
        <f>3762</f>
        <v>3762</v>
      </c>
      <c r="I310">
        <v>1</v>
      </c>
    </row>
    <row r="311" spans="1:9" x14ac:dyDescent="0.25">
      <c r="A311" s="1">
        <v>309</v>
      </c>
      <c r="B311" t="s">
        <v>10</v>
      </c>
      <c r="C311" t="s">
        <v>306</v>
      </c>
      <c r="D311">
        <v>769</v>
      </c>
      <c r="E311" t="s">
        <v>36</v>
      </c>
      <c r="F311" t="s">
        <v>37</v>
      </c>
      <c r="G311" t="s">
        <v>38</v>
      </c>
      <c r="H311">
        <f>3736</f>
        <v>3736</v>
      </c>
    </row>
    <row r="312" spans="1:9" x14ac:dyDescent="0.25">
      <c r="A312" s="1">
        <v>310</v>
      </c>
      <c r="B312" t="s">
        <v>10</v>
      </c>
      <c r="C312" t="s">
        <v>306</v>
      </c>
      <c r="D312">
        <v>770</v>
      </c>
      <c r="E312" t="s">
        <v>71</v>
      </c>
      <c r="F312" t="s">
        <v>72</v>
      </c>
      <c r="G312" t="s">
        <v>315</v>
      </c>
    </row>
    <row r="313" spans="1:9" x14ac:dyDescent="0.25">
      <c r="A313" s="1">
        <v>311</v>
      </c>
      <c r="B313" t="s">
        <v>10</v>
      </c>
      <c r="C313" t="s">
        <v>306</v>
      </c>
      <c r="D313">
        <v>771</v>
      </c>
      <c r="E313" t="s">
        <v>44</v>
      </c>
      <c r="F313" t="s">
        <v>316</v>
      </c>
      <c r="G313" t="s">
        <v>317</v>
      </c>
    </row>
    <row r="314" spans="1:9" x14ac:dyDescent="0.25">
      <c r="A314" s="1">
        <v>312</v>
      </c>
      <c r="B314" t="s">
        <v>10</v>
      </c>
      <c r="C314" t="s">
        <v>306</v>
      </c>
      <c r="D314">
        <v>772</v>
      </c>
      <c r="E314" t="s">
        <v>39</v>
      </c>
      <c r="F314" t="s">
        <v>88</v>
      </c>
      <c r="G314" t="s">
        <v>118</v>
      </c>
    </row>
    <row r="315" spans="1:9" x14ac:dyDescent="0.25">
      <c r="A315" s="1">
        <v>313</v>
      </c>
      <c r="B315" t="s">
        <v>10</v>
      </c>
      <c r="C315" t="s">
        <v>306</v>
      </c>
      <c r="D315">
        <v>773</v>
      </c>
      <c r="E315" t="s">
        <v>24</v>
      </c>
      <c r="F315" t="s">
        <v>93</v>
      </c>
      <c r="G315" t="s">
        <v>94</v>
      </c>
    </row>
    <row r="316" spans="1:9" x14ac:dyDescent="0.25">
      <c r="A316" s="1">
        <v>314</v>
      </c>
      <c r="B316" t="s">
        <v>10</v>
      </c>
      <c r="C316" t="s">
        <v>306</v>
      </c>
      <c r="D316">
        <v>774</v>
      </c>
      <c r="E316" t="s">
        <v>318</v>
      </c>
      <c r="F316" t="s">
        <v>319</v>
      </c>
      <c r="G316" t="s">
        <v>320</v>
      </c>
      <c r="H316" t="s">
        <v>321</v>
      </c>
    </row>
    <row r="317" spans="1:9" x14ac:dyDescent="0.25">
      <c r="A317" s="1">
        <v>315</v>
      </c>
      <c r="B317" t="s">
        <v>10</v>
      </c>
      <c r="C317" t="s">
        <v>306</v>
      </c>
      <c r="D317">
        <v>775</v>
      </c>
      <c r="E317" t="s">
        <v>36</v>
      </c>
      <c r="F317" t="s">
        <v>37</v>
      </c>
      <c r="G317" t="s">
        <v>152</v>
      </c>
      <c r="H317" t="s">
        <v>322</v>
      </c>
    </row>
    <row r="318" spans="1:9" x14ac:dyDescent="0.25">
      <c r="A318" s="1">
        <v>316</v>
      </c>
      <c r="B318" t="s">
        <v>10</v>
      </c>
      <c r="C318" t="s">
        <v>306</v>
      </c>
      <c r="D318">
        <v>776</v>
      </c>
      <c r="E318" t="s">
        <v>178</v>
      </c>
      <c r="F318" t="s">
        <v>179</v>
      </c>
      <c r="G318" t="s">
        <v>180</v>
      </c>
      <c r="H318">
        <f>3793</f>
        <v>3793</v>
      </c>
    </row>
    <row r="319" spans="1:9" x14ac:dyDescent="0.25">
      <c r="A319" s="1">
        <v>317</v>
      </c>
      <c r="B319" t="s">
        <v>10</v>
      </c>
      <c r="C319" t="s">
        <v>306</v>
      </c>
      <c r="D319">
        <v>777</v>
      </c>
      <c r="E319" t="s">
        <v>178</v>
      </c>
      <c r="F319" t="s">
        <v>179</v>
      </c>
      <c r="G319" t="s">
        <v>180</v>
      </c>
      <c r="H319" t="s">
        <v>323</v>
      </c>
      <c r="I319">
        <v>1</v>
      </c>
    </row>
    <row r="320" spans="1:9" x14ac:dyDescent="0.25">
      <c r="A320" s="1">
        <v>318</v>
      </c>
      <c r="B320" t="s">
        <v>10</v>
      </c>
      <c r="C320" t="s">
        <v>306</v>
      </c>
      <c r="D320">
        <v>778</v>
      </c>
    </row>
    <row r="321" spans="1:9" x14ac:dyDescent="0.25">
      <c r="A321" s="1">
        <v>319</v>
      </c>
      <c r="B321" t="s">
        <v>10</v>
      </c>
      <c r="C321" t="s">
        <v>306</v>
      </c>
      <c r="D321">
        <v>779</v>
      </c>
      <c r="E321" t="s">
        <v>36</v>
      </c>
      <c r="F321" t="s">
        <v>37</v>
      </c>
      <c r="H321" t="s">
        <v>324</v>
      </c>
      <c r="I321">
        <v>1</v>
      </c>
    </row>
    <row r="322" spans="1:9" x14ac:dyDescent="0.25">
      <c r="A322" s="1">
        <v>320</v>
      </c>
      <c r="B322" t="s">
        <v>10</v>
      </c>
      <c r="C322" t="s">
        <v>306</v>
      </c>
      <c r="D322">
        <v>780</v>
      </c>
      <c r="E322" t="s">
        <v>95</v>
      </c>
      <c r="F322" t="s">
        <v>119</v>
      </c>
      <c r="G322" t="s">
        <v>120</v>
      </c>
      <c r="H322">
        <f>3787</f>
        <v>3787</v>
      </c>
    </row>
    <row r="323" spans="1:9" x14ac:dyDescent="0.25">
      <c r="A323" s="1">
        <v>321</v>
      </c>
      <c r="B323" t="s">
        <v>10</v>
      </c>
      <c r="C323" t="s">
        <v>306</v>
      </c>
      <c r="D323">
        <v>781</v>
      </c>
      <c r="E323" t="s">
        <v>107</v>
      </c>
      <c r="F323" t="s">
        <v>113</v>
      </c>
      <c r="G323" t="s">
        <v>114</v>
      </c>
      <c r="H323" t="s">
        <v>325</v>
      </c>
      <c r="I323">
        <v>1</v>
      </c>
    </row>
    <row r="324" spans="1:9" x14ac:dyDescent="0.25">
      <c r="A324" s="1">
        <v>322</v>
      </c>
      <c r="B324" t="s">
        <v>10</v>
      </c>
      <c r="C324" t="s">
        <v>306</v>
      </c>
      <c r="D324">
        <v>782</v>
      </c>
      <c r="E324" t="s">
        <v>178</v>
      </c>
      <c r="F324" t="s">
        <v>179</v>
      </c>
      <c r="G324" t="s">
        <v>180</v>
      </c>
      <c r="H324" t="s">
        <v>326</v>
      </c>
    </row>
    <row r="325" spans="1:9" x14ac:dyDescent="0.25">
      <c r="A325" s="1">
        <v>323</v>
      </c>
      <c r="B325" t="s">
        <v>10</v>
      </c>
      <c r="C325" t="s">
        <v>306</v>
      </c>
      <c r="D325">
        <v>783</v>
      </c>
      <c r="E325" t="s">
        <v>71</v>
      </c>
      <c r="F325" t="s">
        <v>72</v>
      </c>
      <c r="G325" t="s">
        <v>156</v>
      </c>
    </row>
    <row r="326" spans="1:9" x14ac:dyDescent="0.25">
      <c r="A326" s="1">
        <v>324</v>
      </c>
      <c r="B326" t="s">
        <v>10</v>
      </c>
      <c r="C326" t="s">
        <v>306</v>
      </c>
      <c r="D326">
        <v>784</v>
      </c>
      <c r="E326" t="s">
        <v>178</v>
      </c>
      <c r="F326" t="s">
        <v>179</v>
      </c>
      <c r="G326" t="s">
        <v>180</v>
      </c>
      <c r="H326">
        <f>3790</f>
        <v>3790</v>
      </c>
    </row>
    <row r="327" spans="1:9" x14ac:dyDescent="0.25">
      <c r="A327" s="1">
        <v>325</v>
      </c>
      <c r="B327" t="s">
        <v>10</v>
      </c>
      <c r="C327" t="s">
        <v>306</v>
      </c>
      <c r="D327">
        <v>785</v>
      </c>
      <c r="E327" t="s">
        <v>24</v>
      </c>
      <c r="F327" t="s">
        <v>93</v>
      </c>
      <c r="G327" t="s">
        <v>94</v>
      </c>
    </row>
    <row r="328" spans="1:9" x14ac:dyDescent="0.25">
      <c r="A328" s="1">
        <v>326</v>
      </c>
      <c r="B328" t="s">
        <v>10</v>
      </c>
      <c r="C328" t="s">
        <v>306</v>
      </c>
      <c r="D328">
        <v>786</v>
      </c>
      <c r="E328" t="s">
        <v>24</v>
      </c>
      <c r="F328" t="s">
        <v>93</v>
      </c>
      <c r="G328" t="s">
        <v>94</v>
      </c>
    </row>
    <row r="329" spans="1:9" x14ac:dyDescent="0.25">
      <c r="A329" s="1">
        <v>327</v>
      </c>
      <c r="B329" t="s">
        <v>10</v>
      </c>
      <c r="C329" t="s">
        <v>306</v>
      </c>
      <c r="D329">
        <v>787</v>
      </c>
      <c r="E329" t="s">
        <v>36</v>
      </c>
      <c r="F329" t="s">
        <v>37</v>
      </c>
    </row>
    <row r="330" spans="1:9" x14ac:dyDescent="0.25">
      <c r="A330" s="1">
        <v>328</v>
      </c>
      <c r="B330" t="s">
        <v>10</v>
      </c>
      <c r="C330" t="s">
        <v>306</v>
      </c>
      <c r="D330">
        <v>788</v>
      </c>
      <c r="E330" t="s">
        <v>14</v>
      </c>
      <c r="F330" t="s">
        <v>327</v>
      </c>
      <c r="G330" t="s">
        <v>328</v>
      </c>
      <c r="H330" t="s">
        <v>329</v>
      </c>
    </row>
    <row r="331" spans="1:9" x14ac:dyDescent="0.25">
      <c r="A331" s="1">
        <v>329</v>
      </c>
      <c r="B331" t="s">
        <v>10</v>
      </c>
      <c r="C331" t="s">
        <v>306</v>
      </c>
      <c r="D331">
        <v>789</v>
      </c>
      <c r="E331" t="s">
        <v>330</v>
      </c>
      <c r="F331" t="s">
        <v>49</v>
      </c>
      <c r="G331" t="s">
        <v>331</v>
      </c>
    </row>
    <row r="332" spans="1:9" x14ac:dyDescent="0.25">
      <c r="A332" s="1">
        <v>330</v>
      </c>
      <c r="B332" t="s">
        <v>10</v>
      </c>
      <c r="C332" t="s">
        <v>306</v>
      </c>
      <c r="D332">
        <v>790</v>
      </c>
      <c r="E332" t="s">
        <v>181</v>
      </c>
      <c r="F332" t="s">
        <v>201</v>
      </c>
      <c r="G332" t="s">
        <v>332</v>
      </c>
      <c r="H332" t="s">
        <v>333</v>
      </c>
    </row>
    <row r="333" spans="1:9" x14ac:dyDescent="0.25">
      <c r="A333" s="1">
        <v>331</v>
      </c>
      <c r="B333" t="s">
        <v>10</v>
      </c>
      <c r="C333" t="s">
        <v>306</v>
      </c>
      <c r="D333">
        <v>791</v>
      </c>
      <c r="E333" t="s">
        <v>24</v>
      </c>
      <c r="F333" t="s">
        <v>93</v>
      </c>
      <c r="G333" t="s">
        <v>94</v>
      </c>
    </row>
    <row r="334" spans="1:9" x14ac:dyDescent="0.25">
      <c r="A334" s="1">
        <v>332</v>
      </c>
      <c r="B334" t="s">
        <v>10</v>
      </c>
      <c r="C334" t="s">
        <v>306</v>
      </c>
      <c r="D334">
        <v>792</v>
      </c>
      <c r="E334" t="s">
        <v>207</v>
      </c>
      <c r="F334" t="s">
        <v>208</v>
      </c>
      <c r="G334" t="s">
        <v>334</v>
      </c>
      <c r="H334" t="s">
        <v>335</v>
      </c>
      <c r="I334">
        <v>1</v>
      </c>
    </row>
    <row r="335" spans="1:9" x14ac:dyDescent="0.25">
      <c r="A335" s="1">
        <v>333</v>
      </c>
      <c r="B335" t="s">
        <v>10</v>
      </c>
      <c r="C335" t="s">
        <v>306</v>
      </c>
      <c r="D335">
        <v>793</v>
      </c>
      <c r="E335" t="s">
        <v>36</v>
      </c>
      <c r="F335" t="s">
        <v>37</v>
      </c>
      <c r="G335" t="s">
        <v>152</v>
      </c>
      <c r="H335">
        <f>3789</f>
        <v>3789</v>
      </c>
      <c r="I335">
        <v>1</v>
      </c>
    </row>
    <row r="336" spans="1:9" x14ac:dyDescent="0.25">
      <c r="A336" s="1">
        <v>334</v>
      </c>
      <c r="B336" t="s">
        <v>10</v>
      </c>
      <c r="C336" t="s">
        <v>306</v>
      </c>
      <c r="D336">
        <v>794</v>
      </c>
      <c r="E336" t="s">
        <v>84</v>
      </c>
      <c r="F336" t="s">
        <v>85</v>
      </c>
      <c r="G336" t="s">
        <v>86</v>
      </c>
      <c r="H336" t="s">
        <v>336</v>
      </c>
      <c r="I336">
        <v>1</v>
      </c>
    </row>
    <row r="337" spans="1:9" x14ac:dyDescent="0.25">
      <c r="A337" s="1">
        <v>335</v>
      </c>
      <c r="B337" t="s">
        <v>10</v>
      </c>
      <c r="C337" t="s">
        <v>306</v>
      </c>
      <c r="D337">
        <v>795</v>
      </c>
      <c r="E337" t="s">
        <v>219</v>
      </c>
      <c r="F337" t="s">
        <v>220</v>
      </c>
      <c r="G337" t="s">
        <v>337</v>
      </c>
      <c r="H337" t="s">
        <v>338</v>
      </c>
      <c r="I337">
        <v>1</v>
      </c>
    </row>
    <row r="338" spans="1:9" x14ac:dyDescent="0.25">
      <c r="A338" s="1">
        <v>336</v>
      </c>
      <c r="B338" t="s">
        <v>10</v>
      </c>
      <c r="C338" t="s">
        <v>339</v>
      </c>
      <c r="D338">
        <v>1365</v>
      </c>
      <c r="E338" t="s">
        <v>27</v>
      </c>
      <c r="F338" t="s">
        <v>28</v>
      </c>
      <c r="G338" t="s">
        <v>29</v>
      </c>
      <c r="H338" t="s">
        <v>340</v>
      </c>
    </row>
    <row r="339" spans="1:9" x14ac:dyDescent="0.25">
      <c r="A339" s="1">
        <v>337</v>
      </c>
      <c r="B339" t="s">
        <v>10</v>
      </c>
      <c r="C339" t="s">
        <v>339</v>
      </c>
      <c r="D339">
        <v>1366</v>
      </c>
      <c r="E339" t="s">
        <v>17</v>
      </c>
      <c r="F339" t="s">
        <v>18</v>
      </c>
      <c r="G339" t="s">
        <v>19</v>
      </c>
      <c r="H339" t="s">
        <v>341</v>
      </c>
    </row>
    <row r="340" spans="1:9" x14ac:dyDescent="0.25">
      <c r="A340" s="1">
        <v>338</v>
      </c>
      <c r="B340" t="s">
        <v>10</v>
      </c>
      <c r="C340" t="s">
        <v>339</v>
      </c>
      <c r="D340">
        <v>1367</v>
      </c>
      <c r="E340" t="s">
        <v>17</v>
      </c>
      <c r="F340" t="s">
        <v>22</v>
      </c>
      <c r="G340" t="s">
        <v>23</v>
      </c>
      <c r="H340" t="s">
        <v>342</v>
      </c>
    </row>
    <row r="341" spans="1:9" x14ac:dyDescent="0.25">
      <c r="A341" s="1">
        <v>339</v>
      </c>
      <c r="B341" t="s">
        <v>10</v>
      </c>
      <c r="C341" t="s">
        <v>339</v>
      </c>
      <c r="D341">
        <v>1368</v>
      </c>
      <c r="E341" t="s">
        <v>48</v>
      </c>
      <c r="F341" t="s">
        <v>90</v>
      </c>
      <c r="G341" t="s">
        <v>343</v>
      </c>
      <c r="H341" t="s">
        <v>344</v>
      </c>
    </row>
    <row r="342" spans="1:9" x14ac:dyDescent="0.25">
      <c r="A342" s="1">
        <v>340</v>
      </c>
      <c r="B342" t="s">
        <v>10</v>
      </c>
      <c r="C342" t="s">
        <v>339</v>
      </c>
      <c r="D342">
        <v>1369</v>
      </c>
      <c r="E342" t="s">
        <v>107</v>
      </c>
      <c r="F342" t="s">
        <v>108</v>
      </c>
      <c r="G342" t="s">
        <v>105</v>
      </c>
    </row>
    <row r="343" spans="1:9" x14ac:dyDescent="0.25">
      <c r="A343" s="1">
        <v>341</v>
      </c>
      <c r="B343" t="s">
        <v>10</v>
      </c>
      <c r="C343" t="s">
        <v>339</v>
      </c>
      <c r="D343">
        <v>1370</v>
      </c>
      <c r="E343" t="s">
        <v>39</v>
      </c>
      <c r="F343" t="s">
        <v>40</v>
      </c>
      <c r="G343" t="s">
        <v>41</v>
      </c>
      <c r="H343">
        <f>3715</f>
        <v>3715</v>
      </c>
    </row>
    <row r="344" spans="1:9" x14ac:dyDescent="0.25">
      <c r="A344" s="1">
        <v>342</v>
      </c>
      <c r="B344" t="s">
        <v>10</v>
      </c>
      <c r="C344" t="s">
        <v>339</v>
      </c>
      <c r="D344">
        <v>1371</v>
      </c>
      <c r="E344" t="s">
        <v>36</v>
      </c>
      <c r="F344" t="s">
        <v>37</v>
      </c>
      <c r="G344" t="s">
        <v>345</v>
      </c>
      <c r="H344" t="s">
        <v>346</v>
      </c>
    </row>
    <row r="345" spans="1:9" x14ac:dyDescent="0.25">
      <c r="A345" s="1">
        <v>343</v>
      </c>
      <c r="B345" t="s">
        <v>10</v>
      </c>
      <c r="C345" t="s">
        <v>339</v>
      </c>
      <c r="D345">
        <v>1372</v>
      </c>
      <c r="E345" t="s">
        <v>36</v>
      </c>
      <c r="F345" t="s">
        <v>37</v>
      </c>
      <c r="G345" t="s">
        <v>80</v>
      </c>
      <c r="H345" t="s">
        <v>347</v>
      </c>
    </row>
    <row r="346" spans="1:9" x14ac:dyDescent="0.25">
      <c r="A346" s="1">
        <v>344</v>
      </c>
      <c r="B346" t="s">
        <v>10</v>
      </c>
      <c r="C346" t="s">
        <v>339</v>
      </c>
      <c r="D346">
        <v>1373</v>
      </c>
      <c r="E346" t="s">
        <v>39</v>
      </c>
      <c r="F346" t="s">
        <v>186</v>
      </c>
      <c r="G346" t="s">
        <v>187</v>
      </c>
    </row>
    <row r="347" spans="1:9" x14ac:dyDescent="0.25">
      <c r="A347" s="1">
        <v>345</v>
      </c>
      <c r="B347" t="s">
        <v>10</v>
      </c>
      <c r="C347" t="s">
        <v>339</v>
      </c>
      <c r="D347">
        <v>1374</v>
      </c>
      <c r="E347" t="s">
        <v>219</v>
      </c>
      <c r="F347" t="s">
        <v>220</v>
      </c>
      <c r="G347" t="s">
        <v>348</v>
      </c>
      <c r="H347" t="s">
        <v>349</v>
      </c>
    </row>
    <row r="348" spans="1:9" x14ac:dyDescent="0.25">
      <c r="A348" s="1">
        <v>346</v>
      </c>
      <c r="B348" t="s">
        <v>10</v>
      </c>
      <c r="C348" t="s">
        <v>339</v>
      </c>
      <c r="D348">
        <v>1375</v>
      </c>
      <c r="E348" t="s">
        <v>17</v>
      </c>
      <c r="F348" t="s">
        <v>18</v>
      </c>
      <c r="G348" t="s">
        <v>19</v>
      </c>
    </row>
    <row r="349" spans="1:9" x14ac:dyDescent="0.25">
      <c r="A349" s="1">
        <v>347</v>
      </c>
      <c r="B349" t="s">
        <v>10</v>
      </c>
      <c r="C349" t="s">
        <v>339</v>
      </c>
      <c r="D349">
        <v>1376</v>
      </c>
      <c r="E349" t="s">
        <v>350</v>
      </c>
      <c r="F349" t="s">
        <v>351</v>
      </c>
      <c r="G349" t="s">
        <v>352</v>
      </c>
      <c r="H349">
        <f>3751</f>
        <v>3751</v>
      </c>
    </row>
    <row r="350" spans="1:9" x14ac:dyDescent="0.25">
      <c r="A350" s="1">
        <v>348</v>
      </c>
      <c r="B350" t="s">
        <v>10</v>
      </c>
      <c r="C350" t="s">
        <v>339</v>
      </c>
      <c r="D350">
        <v>1377</v>
      </c>
      <c r="E350" t="s">
        <v>36</v>
      </c>
      <c r="F350" t="s">
        <v>37</v>
      </c>
      <c r="G350" t="s">
        <v>80</v>
      </c>
    </row>
    <row r="351" spans="1:9" x14ac:dyDescent="0.25">
      <c r="A351" s="1">
        <v>349</v>
      </c>
      <c r="B351" t="s">
        <v>10</v>
      </c>
      <c r="C351" t="s">
        <v>339</v>
      </c>
      <c r="D351">
        <v>1378</v>
      </c>
      <c r="E351" t="s">
        <v>24</v>
      </c>
      <c r="F351" t="s">
        <v>25</v>
      </c>
      <c r="G351" t="s">
        <v>26</v>
      </c>
    </row>
    <row r="352" spans="1:9" x14ac:dyDescent="0.25">
      <c r="A352" s="1">
        <v>350</v>
      </c>
      <c r="B352" t="s">
        <v>10</v>
      </c>
      <c r="C352" t="s">
        <v>339</v>
      </c>
      <c r="D352">
        <v>1379</v>
      </c>
      <c r="E352" t="s">
        <v>353</v>
      </c>
      <c r="F352" t="s">
        <v>354</v>
      </c>
      <c r="G352" t="s">
        <v>355</v>
      </c>
      <c r="H352" t="s">
        <v>356</v>
      </c>
    </row>
    <row r="353" spans="1:11" x14ac:dyDescent="0.25">
      <c r="A353" s="1">
        <v>351</v>
      </c>
      <c r="B353" t="s">
        <v>10</v>
      </c>
      <c r="C353" t="s">
        <v>339</v>
      </c>
      <c r="D353">
        <v>1380</v>
      </c>
      <c r="E353" t="s">
        <v>20</v>
      </c>
      <c r="F353" t="s">
        <v>21</v>
      </c>
      <c r="G353" t="s">
        <v>180</v>
      </c>
      <c r="H353" t="s">
        <v>357</v>
      </c>
    </row>
    <row r="354" spans="1:11" x14ac:dyDescent="0.25">
      <c r="A354" s="1">
        <v>352</v>
      </c>
      <c r="B354" t="s">
        <v>10</v>
      </c>
      <c r="C354" t="s">
        <v>339</v>
      </c>
      <c r="D354">
        <v>1381</v>
      </c>
      <c r="E354" t="s">
        <v>39</v>
      </c>
      <c r="F354" t="s">
        <v>40</v>
      </c>
      <c r="G354" t="s">
        <v>41</v>
      </c>
    </row>
    <row r="355" spans="1:11" x14ac:dyDescent="0.25">
      <c r="A355" s="1">
        <v>353</v>
      </c>
      <c r="B355" t="s">
        <v>10</v>
      </c>
      <c r="C355" t="s">
        <v>339</v>
      </c>
      <c r="D355">
        <v>1382</v>
      </c>
    </row>
    <row r="356" spans="1:11" x14ac:dyDescent="0.25">
      <c r="A356" s="1">
        <v>354</v>
      </c>
      <c r="B356" t="s">
        <v>10</v>
      </c>
      <c r="C356" t="s">
        <v>339</v>
      </c>
      <c r="D356">
        <v>1383</v>
      </c>
      <c r="E356" t="s">
        <v>63</v>
      </c>
      <c r="F356" t="s">
        <v>64</v>
      </c>
      <c r="G356" t="s">
        <v>65</v>
      </c>
    </row>
    <row r="357" spans="1:11" x14ac:dyDescent="0.25">
      <c r="A357" s="1">
        <v>355</v>
      </c>
      <c r="B357" t="s">
        <v>10</v>
      </c>
      <c r="C357" t="s">
        <v>339</v>
      </c>
      <c r="D357">
        <v>1384</v>
      </c>
      <c r="E357" t="s">
        <v>24</v>
      </c>
      <c r="F357" t="s">
        <v>93</v>
      </c>
      <c r="G357" t="s">
        <v>94</v>
      </c>
    </row>
    <row r="358" spans="1:11" x14ac:dyDescent="0.25">
      <c r="A358" s="1">
        <v>356</v>
      </c>
      <c r="B358" t="s">
        <v>10</v>
      </c>
      <c r="C358" t="s">
        <v>339</v>
      </c>
      <c r="D358">
        <v>1385</v>
      </c>
    </row>
    <row r="359" spans="1:11" x14ac:dyDescent="0.25">
      <c r="A359" s="1">
        <v>357</v>
      </c>
      <c r="B359" t="s">
        <v>10</v>
      </c>
      <c r="C359" t="s">
        <v>339</v>
      </c>
      <c r="D359">
        <v>1386</v>
      </c>
      <c r="E359" t="s">
        <v>240</v>
      </c>
      <c r="F359" t="s">
        <v>241</v>
      </c>
      <c r="H359" t="s">
        <v>358</v>
      </c>
    </row>
    <row r="360" spans="1:11" x14ac:dyDescent="0.25">
      <c r="A360" s="1">
        <v>358</v>
      </c>
      <c r="B360" t="s">
        <v>10</v>
      </c>
      <c r="C360" t="s">
        <v>339</v>
      </c>
      <c r="D360">
        <v>1387</v>
      </c>
      <c r="E360" t="s">
        <v>39</v>
      </c>
      <c r="F360" t="s">
        <v>40</v>
      </c>
      <c r="G360" t="s">
        <v>41</v>
      </c>
    </row>
    <row r="361" spans="1:11" x14ac:dyDescent="0.25">
      <c r="A361" s="1">
        <v>359</v>
      </c>
      <c r="B361" t="s">
        <v>10</v>
      </c>
      <c r="C361" t="s">
        <v>339</v>
      </c>
      <c r="D361">
        <v>1388</v>
      </c>
      <c r="E361" t="s">
        <v>71</v>
      </c>
      <c r="F361" t="s">
        <v>78</v>
      </c>
      <c r="G361" t="s">
        <v>79</v>
      </c>
    </row>
    <row r="362" spans="1:11" x14ac:dyDescent="0.25">
      <c r="A362" s="1">
        <v>360</v>
      </c>
      <c r="B362" t="s">
        <v>10</v>
      </c>
      <c r="C362" t="s">
        <v>359</v>
      </c>
      <c r="D362">
        <v>1389</v>
      </c>
      <c r="E362" t="s">
        <v>207</v>
      </c>
      <c r="F362" t="s">
        <v>360</v>
      </c>
      <c r="G362" t="s">
        <v>184</v>
      </c>
      <c r="H362" t="s">
        <v>361</v>
      </c>
      <c r="K362" t="s">
        <v>176</v>
      </c>
    </row>
    <row r="363" spans="1:11" x14ac:dyDescent="0.25">
      <c r="A363" s="1">
        <v>361</v>
      </c>
      <c r="B363" t="s">
        <v>10</v>
      </c>
      <c r="C363" t="s">
        <v>359</v>
      </c>
      <c r="D363">
        <v>1390</v>
      </c>
      <c r="E363" t="s">
        <v>219</v>
      </c>
      <c r="F363" t="s">
        <v>220</v>
      </c>
      <c r="G363" t="s">
        <v>362</v>
      </c>
      <c r="H363" t="s">
        <v>363</v>
      </c>
      <c r="K363" t="s">
        <v>176</v>
      </c>
    </row>
    <row r="364" spans="1:11" x14ac:dyDescent="0.25">
      <c r="A364" s="1">
        <v>362</v>
      </c>
      <c r="B364" t="s">
        <v>10</v>
      </c>
      <c r="C364" t="s">
        <v>359</v>
      </c>
      <c r="D364">
        <v>1391</v>
      </c>
      <c r="E364" t="s">
        <v>364</v>
      </c>
      <c r="F364" t="s">
        <v>365</v>
      </c>
      <c r="H364" t="s">
        <v>366</v>
      </c>
    </row>
    <row r="365" spans="1:11" x14ac:dyDescent="0.25">
      <c r="A365" s="1">
        <v>363</v>
      </c>
      <c r="B365" t="s">
        <v>10</v>
      </c>
      <c r="C365" t="s">
        <v>359</v>
      </c>
      <c r="D365">
        <v>1392</v>
      </c>
      <c r="E365" t="s">
        <v>24</v>
      </c>
      <c r="F365" t="s">
        <v>93</v>
      </c>
      <c r="G365" t="s">
        <v>94</v>
      </c>
    </row>
    <row r="366" spans="1:11" x14ac:dyDescent="0.25">
      <c r="A366" s="1">
        <v>364</v>
      </c>
      <c r="B366" t="s">
        <v>10</v>
      </c>
      <c r="C366" t="s">
        <v>359</v>
      </c>
      <c r="D366">
        <v>1393</v>
      </c>
      <c r="E366" t="s">
        <v>48</v>
      </c>
      <c r="F366" t="s">
        <v>90</v>
      </c>
      <c r="G366" t="s">
        <v>151</v>
      </c>
      <c r="H366" t="s">
        <v>367</v>
      </c>
    </row>
    <row r="367" spans="1:11" x14ac:dyDescent="0.25">
      <c r="A367" s="1">
        <v>365</v>
      </c>
      <c r="B367" t="s">
        <v>10</v>
      </c>
      <c r="C367" t="s">
        <v>359</v>
      </c>
      <c r="D367">
        <v>1394</v>
      </c>
      <c r="E367" t="s">
        <v>20</v>
      </c>
      <c r="H367" t="s">
        <v>368</v>
      </c>
    </row>
    <row r="368" spans="1:11" x14ac:dyDescent="0.25">
      <c r="A368" s="1">
        <v>366</v>
      </c>
      <c r="B368" t="s">
        <v>10</v>
      </c>
      <c r="C368" t="s">
        <v>359</v>
      </c>
      <c r="D368">
        <v>1395</v>
      </c>
      <c r="E368" t="s">
        <v>20</v>
      </c>
      <c r="H368" t="s">
        <v>368</v>
      </c>
    </row>
    <row r="369" spans="1:11" x14ac:dyDescent="0.25">
      <c r="A369" s="1">
        <v>367</v>
      </c>
      <c r="B369" t="s">
        <v>10</v>
      </c>
      <c r="C369" t="s">
        <v>359</v>
      </c>
      <c r="D369">
        <v>1396</v>
      </c>
      <c r="E369" t="s">
        <v>24</v>
      </c>
      <c r="F369" t="s">
        <v>30</v>
      </c>
      <c r="G369" t="s">
        <v>226</v>
      </c>
    </row>
    <row r="370" spans="1:11" x14ac:dyDescent="0.25">
      <c r="A370" s="1">
        <v>368</v>
      </c>
      <c r="B370" t="s">
        <v>10</v>
      </c>
      <c r="C370" t="s">
        <v>359</v>
      </c>
      <c r="D370">
        <v>1397</v>
      </c>
      <c r="E370" t="s">
        <v>20</v>
      </c>
      <c r="H370" t="s">
        <v>368</v>
      </c>
    </row>
    <row r="371" spans="1:11" x14ac:dyDescent="0.25">
      <c r="A371" s="1">
        <v>369</v>
      </c>
      <c r="B371" t="s">
        <v>10</v>
      </c>
      <c r="C371" t="s">
        <v>359</v>
      </c>
      <c r="D371">
        <v>1397</v>
      </c>
      <c r="E371" t="s">
        <v>20</v>
      </c>
      <c r="K371" t="s">
        <v>176</v>
      </c>
    </row>
    <row r="372" spans="1:11" x14ac:dyDescent="0.25">
      <c r="A372" s="1">
        <v>370</v>
      </c>
      <c r="B372" t="s">
        <v>10</v>
      </c>
      <c r="C372" t="s">
        <v>359</v>
      </c>
      <c r="D372">
        <v>1398</v>
      </c>
      <c r="E372" t="s">
        <v>95</v>
      </c>
      <c r="F372" t="s">
        <v>369</v>
      </c>
      <c r="G372" t="s">
        <v>370</v>
      </c>
      <c r="H372" t="s">
        <v>371</v>
      </c>
      <c r="K372" t="s">
        <v>176</v>
      </c>
    </row>
    <row r="373" spans="1:11" x14ac:dyDescent="0.25">
      <c r="A373" s="1">
        <v>371</v>
      </c>
      <c r="B373" t="s">
        <v>10</v>
      </c>
      <c r="C373" t="s">
        <v>359</v>
      </c>
      <c r="D373">
        <v>1399</v>
      </c>
    </row>
    <row r="374" spans="1:11" x14ac:dyDescent="0.25">
      <c r="A374" s="1">
        <v>372</v>
      </c>
      <c r="B374" t="s">
        <v>10</v>
      </c>
      <c r="C374" t="s">
        <v>359</v>
      </c>
      <c r="D374">
        <v>1400</v>
      </c>
      <c r="E374" t="s">
        <v>84</v>
      </c>
      <c r="F374" t="s">
        <v>243</v>
      </c>
      <c r="G374" t="s">
        <v>244</v>
      </c>
      <c r="H374" t="s">
        <v>372</v>
      </c>
      <c r="K374" t="s">
        <v>176</v>
      </c>
    </row>
    <row r="375" spans="1:11" x14ac:dyDescent="0.25">
      <c r="A375" s="1">
        <v>373</v>
      </c>
      <c r="B375" t="s">
        <v>10</v>
      </c>
      <c r="C375" t="s">
        <v>359</v>
      </c>
      <c r="D375">
        <v>1401</v>
      </c>
      <c r="E375" t="s">
        <v>24</v>
      </c>
      <c r="F375" t="s">
        <v>25</v>
      </c>
      <c r="G375" t="s">
        <v>26</v>
      </c>
    </row>
    <row r="376" spans="1:11" x14ac:dyDescent="0.25">
      <c r="A376" s="1">
        <v>374</v>
      </c>
      <c r="B376" t="s">
        <v>10</v>
      </c>
      <c r="C376" t="s">
        <v>359</v>
      </c>
      <c r="D376">
        <v>1402</v>
      </c>
      <c r="E376" t="s">
        <v>178</v>
      </c>
      <c r="F376" t="s">
        <v>179</v>
      </c>
      <c r="G376" t="s">
        <v>180</v>
      </c>
      <c r="H376">
        <f>3687</f>
        <v>3687</v>
      </c>
    </row>
    <row r="377" spans="1:11" x14ac:dyDescent="0.25">
      <c r="A377" s="1">
        <v>375</v>
      </c>
      <c r="B377" t="s">
        <v>10</v>
      </c>
      <c r="C377" t="s">
        <v>359</v>
      </c>
      <c r="D377">
        <v>1403</v>
      </c>
      <c r="E377" t="s">
        <v>24</v>
      </c>
      <c r="F377" t="s">
        <v>93</v>
      </c>
      <c r="G377" t="s">
        <v>94</v>
      </c>
    </row>
    <row r="378" spans="1:11" x14ac:dyDescent="0.25">
      <c r="A378" s="1">
        <v>376</v>
      </c>
      <c r="B378" t="s">
        <v>10</v>
      </c>
      <c r="C378" t="s">
        <v>359</v>
      </c>
      <c r="D378">
        <v>1404</v>
      </c>
      <c r="E378" t="s">
        <v>304</v>
      </c>
      <c r="F378" t="s">
        <v>373</v>
      </c>
      <c r="G378" t="s">
        <v>374</v>
      </c>
      <c r="H378" t="s">
        <v>375</v>
      </c>
      <c r="K378" t="s">
        <v>176</v>
      </c>
    </row>
    <row r="379" spans="1:11" x14ac:dyDescent="0.25">
      <c r="A379" s="1">
        <v>377</v>
      </c>
      <c r="B379" t="s">
        <v>10</v>
      </c>
      <c r="C379" t="s">
        <v>359</v>
      </c>
      <c r="D379">
        <v>1405</v>
      </c>
      <c r="E379" t="s">
        <v>178</v>
      </c>
      <c r="F379" t="s">
        <v>179</v>
      </c>
      <c r="G379" t="s">
        <v>180</v>
      </c>
    </row>
    <row r="380" spans="1:11" x14ac:dyDescent="0.25">
      <c r="A380" s="1">
        <v>378</v>
      </c>
      <c r="B380" t="s">
        <v>10</v>
      </c>
      <c r="C380" t="s">
        <v>359</v>
      </c>
      <c r="D380">
        <v>1406</v>
      </c>
      <c r="E380" t="s">
        <v>376</v>
      </c>
      <c r="F380" t="s">
        <v>377</v>
      </c>
      <c r="H380" t="s">
        <v>378</v>
      </c>
      <c r="K380" t="s">
        <v>176</v>
      </c>
    </row>
    <row r="381" spans="1:11" x14ac:dyDescent="0.25">
      <c r="A381" s="1">
        <v>379</v>
      </c>
      <c r="B381" t="s">
        <v>10</v>
      </c>
      <c r="C381" t="s">
        <v>359</v>
      </c>
      <c r="D381">
        <v>1407</v>
      </c>
      <c r="E381" t="s">
        <v>240</v>
      </c>
      <c r="F381" t="s">
        <v>379</v>
      </c>
      <c r="H381" t="s">
        <v>380</v>
      </c>
      <c r="K381" t="s">
        <v>176</v>
      </c>
    </row>
    <row r="382" spans="1:11" x14ac:dyDescent="0.25">
      <c r="A382" s="1">
        <v>380</v>
      </c>
      <c r="B382" t="s">
        <v>10</v>
      </c>
      <c r="C382" t="s">
        <v>359</v>
      </c>
      <c r="D382">
        <v>1408</v>
      </c>
      <c r="E382" t="s">
        <v>36</v>
      </c>
      <c r="F382" t="s">
        <v>141</v>
      </c>
      <c r="H382" t="s">
        <v>381</v>
      </c>
    </row>
    <row r="383" spans="1:11" x14ac:dyDescent="0.25">
      <c r="A383" s="1">
        <v>381</v>
      </c>
      <c r="B383" t="s">
        <v>10</v>
      </c>
      <c r="C383" t="s">
        <v>359</v>
      </c>
      <c r="D383">
        <v>1409</v>
      </c>
      <c r="E383" t="s">
        <v>182</v>
      </c>
      <c r="F383" t="s">
        <v>183</v>
      </c>
      <c r="G383" t="s">
        <v>184</v>
      </c>
      <c r="H383">
        <f>3688</f>
        <v>3688</v>
      </c>
    </row>
    <row r="384" spans="1:11" x14ac:dyDescent="0.25">
      <c r="A384" s="1">
        <v>382</v>
      </c>
      <c r="B384" t="s">
        <v>10</v>
      </c>
      <c r="C384" t="s">
        <v>359</v>
      </c>
      <c r="D384">
        <v>1410</v>
      </c>
      <c r="E384" t="s">
        <v>20</v>
      </c>
      <c r="F384" t="s">
        <v>42</v>
      </c>
      <c r="G384" t="s">
        <v>203</v>
      </c>
      <c r="H384" t="s">
        <v>382</v>
      </c>
    </row>
    <row r="385" spans="1:11" x14ac:dyDescent="0.25">
      <c r="A385" s="1">
        <v>383</v>
      </c>
      <c r="B385" t="s">
        <v>10</v>
      </c>
      <c r="C385" t="s">
        <v>359</v>
      </c>
      <c r="D385">
        <v>1411</v>
      </c>
      <c r="E385" t="s">
        <v>84</v>
      </c>
      <c r="F385" t="s">
        <v>280</v>
      </c>
      <c r="G385" t="s">
        <v>383</v>
      </c>
      <c r="H385" t="s">
        <v>384</v>
      </c>
      <c r="K385" t="s">
        <v>176</v>
      </c>
    </row>
    <row r="386" spans="1:11" x14ac:dyDescent="0.25">
      <c r="A386" s="1">
        <v>384</v>
      </c>
      <c r="B386" t="s">
        <v>10</v>
      </c>
      <c r="C386" t="s">
        <v>359</v>
      </c>
      <c r="D386">
        <v>1412</v>
      </c>
      <c r="E386" t="s">
        <v>84</v>
      </c>
      <c r="F386" t="s">
        <v>385</v>
      </c>
      <c r="G386" t="s">
        <v>386</v>
      </c>
      <c r="H386" t="s">
        <v>387</v>
      </c>
    </row>
    <row r="387" spans="1:11" x14ac:dyDescent="0.25">
      <c r="A387" s="1">
        <v>385</v>
      </c>
      <c r="B387" t="s">
        <v>10</v>
      </c>
      <c r="C387" t="s">
        <v>359</v>
      </c>
      <c r="D387">
        <v>1413</v>
      </c>
      <c r="E387" t="s">
        <v>219</v>
      </c>
      <c r="H387" t="s">
        <v>388</v>
      </c>
      <c r="K387" t="s">
        <v>176</v>
      </c>
    </row>
    <row r="388" spans="1:11" x14ac:dyDescent="0.25">
      <c r="A388" s="1">
        <v>386</v>
      </c>
      <c r="B388" t="s">
        <v>10</v>
      </c>
      <c r="C388" t="s">
        <v>359</v>
      </c>
      <c r="D388">
        <v>1414</v>
      </c>
      <c r="E388" t="s">
        <v>84</v>
      </c>
      <c r="F388" t="s">
        <v>389</v>
      </c>
      <c r="G388" t="s">
        <v>390</v>
      </c>
      <c r="H388" t="s">
        <v>391</v>
      </c>
      <c r="K388" t="s">
        <v>176</v>
      </c>
    </row>
    <row r="389" spans="1:11" x14ac:dyDescent="0.25">
      <c r="A389" s="1">
        <v>387</v>
      </c>
      <c r="B389" t="s">
        <v>10</v>
      </c>
      <c r="C389" t="s">
        <v>359</v>
      </c>
      <c r="D389">
        <v>1415</v>
      </c>
      <c r="E389" t="s">
        <v>219</v>
      </c>
      <c r="H389">
        <f>3705</f>
        <v>3705</v>
      </c>
    </row>
    <row r="390" spans="1:11" x14ac:dyDescent="0.25">
      <c r="A390" s="1">
        <v>388</v>
      </c>
      <c r="B390" t="s">
        <v>10</v>
      </c>
      <c r="C390" t="s">
        <v>359</v>
      </c>
      <c r="D390">
        <v>1416</v>
      </c>
      <c r="E390" t="s">
        <v>188</v>
      </c>
      <c r="F390" t="s">
        <v>392</v>
      </c>
      <c r="G390" t="s">
        <v>393</v>
      </c>
    </row>
    <row r="391" spans="1:11" x14ac:dyDescent="0.25">
      <c r="A391" s="1">
        <v>389</v>
      </c>
      <c r="B391" t="s">
        <v>10</v>
      </c>
      <c r="C391" t="s">
        <v>359</v>
      </c>
      <c r="D391">
        <v>1417</v>
      </c>
      <c r="E391" t="s">
        <v>84</v>
      </c>
      <c r="F391" t="s">
        <v>85</v>
      </c>
      <c r="G391" t="s">
        <v>394</v>
      </c>
      <c r="H391" t="s">
        <v>395</v>
      </c>
      <c r="K391" t="s">
        <v>176</v>
      </c>
    </row>
    <row r="392" spans="1:11" x14ac:dyDescent="0.25">
      <c r="A392" s="1">
        <v>390</v>
      </c>
      <c r="B392" t="s">
        <v>10</v>
      </c>
      <c r="C392" t="s">
        <v>359</v>
      </c>
      <c r="E392" t="s">
        <v>12</v>
      </c>
      <c r="F392" t="s">
        <v>396</v>
      </c>
    </row>
    <row r="393" spans="1:11" x14ac:dyDescent="0.25">
      <c r="A393" s="1">
        <v>391</v>
      </c>
      <c r="B393" t="s">
        <v>10</v>
      </c>
      <c r="C393" t="s">
        <v>359</v>
      </c>
      <c r="E393" t="s">
        <v>63</v>
      </c>
      <c r="F393" t="s">
        <v>397</v>
      </c>
      <c r="G393" t="s">
        <v>398</v>
      </c>
      <c r="K393" t="s">
        <v>176</v>
      </c>
    </row>
    <row r="394" spans="1:11" x14ac:dyDescent="0.25">
      <c r="A394" s="1">
        <v>392</v>
      </c>
      <c r="B394" t="s">
        <v>10</v>
      </c>
      <c r="C394" t="s">
        <v>359</v>
      </c>
      <c r="E394" t="s">
        <v>63</v>
      </c>
      <c r="F394" t="s">
        <v>397</v>
      </c>
      <c r="G394" t="s">
        <v>399</v>
      </c>
      <c r="K394" t="s">
        <v>176</v>
      </c>
    </row>
    <row r="395" spans="1:11" x14ac:dyDescent="0.25">
      <c r="A395" s="1">
        <v>393</v>
      </c>
      <c r="B395" t="s">
        <v>10</v>
      </c>
      <c r="C395" t="s">
        <v>359</v>
      </c>
      <c r="E395" t="s">
        <v>63</v>
      </c>
      <c r="F395" t="s">
        <v>397</v>
      </c>
      <c r="G395" t="s">
        <v>398</v>
      </c>
      <c r="K395" t="s">
        <v>176</v>
      </c>
    </row>
    <row r="396" spans="1:11" x14ac:dyDescent="0.25">
      <c r="A396" s="1">
        <v>394</v>
      </c>
      <c r="B396" t="s">
        <v>10</v>
      </c>
      <c r="C396" t="s">
        <v>359</v>
      </c>
      <c r="E396" t="s">
        <v>36</v>
      </c>
      <c r="F396" t="s">
        <v>37</v>
      </c>
    </row>
    <row r="397" spans="1:11" x14ac:dyDescent="0.25">
      <c r="A397" s="1">
        <v>395</v>
      </c>
      <c r="B397" t="s">
        <v>10</v>
      </c>
      <c r="C397" t="s">
        <v>359</v>
      </c>
      <c r="E397" t="s">
        <v>240</v>
      </c>
      <c r="F397" t="s">
        <v>379</v>
      </c>
    </row>
    <row r="398" spans="1:11" x14ac:dyDescent="0.25">
      <c r="A398" s="1">
        <v>396</v>
      </c>
      <c r="B398" t="s">
        <v>10</v>
      </c>
      <c r="C398" t="s">
        <v>359</v>
      </c>
      <c r="E398" t="s">
        <v>400</v>
      </c>
      <c r="F398" t="s">
        <v>401</v>
      </c>
    </row>
    <row r="399" spans="1:11" x14ac:dyDescent="0.25">
      <c r="A399" s="1">
        <v>397</v>
      </c>
      <c r="B399" t="s">
        <v>10</v>
      </c>
      <c r="C399" t="s">
        <v>402</v>
      </c>
      <c r="D399">
        <v>1418</v>
      </c>
      <c r="E399" t="s">
        <v>84</v>
      </c>
      <c r="H399">
        <f>3747</f>
        <v>3747</v>
      </c>
    </row>
    <row r="400" spans="1:11" x14ac:dyDescent="0.25">
      <c r="A400" s="1">
        <v>398</v>
      </c>
      <c r="B400" t="s">
        <v>10</v>
      </c>
      <c r="C400" t="s">
        <v>402</v>
      </c>
      <c r="D400">
        <v>1419</v>
      </c>
      <c r="E400" t="s">
        <v>82</v>
      </c>
      <c r="F400" t="s">
        <v>403</v>
      </c>
      <c r="G400" t="s">
        <v>404</v>
      </c>
    </row>
    <row r="401" spans="1:8" x14ac:dyDescent="0.25">
      <c r="A401" s="1">
        <v>399</v>
      </c>
      <c r="B401" t="s">
        <v>10</v>
      </c>
      <c r="C401" t="s">
        <v>402</v>
      </c>
      <c r="D401">
        <v>1420</v>
      </c>
      <c r="E401" t="s">
        <v>405</v>
      </c>
      <c r="F401" t="s">
        <v>406</v>
      </c>
      <c r="G401" t="s">
        <v>407</v>
      </c>
      <c r="H401" t="s">
        <v>408</v>
      </c>
    </row>
    <row r="402" spans="1:8" x14ac:dyDescent="0.25">
      <c r="A402" s="1">
        <v>400</v>
      </c>
      <c r="B402" t="s">
        <v>10</v>
      </c>
      <c r="C402" t="s">
        <v>402</v>
      </c>
      <c r="D402">
        <v>1421</v>
      </c>
      <c r="E402" t="s">
        <v>219</v>
      </c>
      <c r="F402" t="s">
        <v>409</v>
      </c>
      <c r="H402" t="s">
        <v>410</v>
      </c>
    </row>
    <row r="403" spans="1:8" x14ac:dyDescent="0.25">
      <c r="A403" s="1">
        <v>401</v>
      </c>
      <c r="B403" t="s">
        <v>10</v>
      </c>
      <c r="C403" t="s">
        <v>402</v>
      </c>
      <c r="D403">
        <v>1422</v>
      </c>
      <c r="E403" t="s">
        <v>330</v>
      </c>
      <c r="F403" t="s">
        <v>49</v>
      </c>
      <c r="G403" t="s">
        <v>411</v>
      </c>
      <c r="H403" t="s">
        <v>412</v>
      </c>
    </row>
    <row r="404" spans="1:8" x14ac:dyDescent="0.25">
      <c r="A404" s="1">
        <v>402</v>
      </c>
      <c r="B404" t="s">
        <v>10</v>
      </c>
      <c r="C404" t="s">
        <v>402</v>
      </c>
      <c r="D404">
        <v>1423</v>
      </c>
      <c r="E404" t="s">
        <v>95</v>
      </c>
      <c r="F404" t="s">
        <v>96</v>
      </c>
      <c r="G404" t="s">
        <v>413</v>
      </c>
      <c r="H404" t="s">
        <v>414</v>
      </c>
    </row>
    <row r="405" spans="1:8" x14ac:dyDescent="0.25">
      <c r="A405" s="1">
        <v>403</v>
      </c>
      <c r="B405" t="s">
        <v>10</v>
      </c>
      <c r="C405" t="s">
        <v>402</v>
      </c>
      <c r="D405">
        <v>1424</v>
      </c>
      <c r="E405" t="s">
        <v>71</v>
      </c>
      <c r="F405" t="s">
        <v>72</v>
      </c>
      <c r="G405" t="s">
        <v>315</v>
      </c>
    </row>
    <row r="406" spans="1:8" x14ac:dyDescent="0.25">
      <c r="A406" s="1">
        <v>404</v>
      </c>
      <c r="B406" t="s">
        <v>10</v>
      </c>
      <c r="C406" t="s">
        <v>402</v>
      </c>
      <c r="D406">
        <v>1425</v>
      </c>
      <c r="E406" t="s">
        <v>12</v>
      </c>
      <c r="F406" t="s">
        <v>169</v>
      </c>
      <c r="G406" t="s">
        <v>415</v>
      </c>
      <c r="H406" t="s">
        <v>416</v>
      </c>
    </row>
    <row r="407" spans="1:8" x14ac:dyDescent="0.25">
      <c r="A407" s="1">
        <v>405</v>
      </c>
      <c r="B407" t="s">
        <v>10</v>
      </c>
      <c r="C407" t="s">
        <v>402</v>
      </c>
      <c r="D407">
        <v>1426</v>
      </c>
      <c r="E407" t="s">
        <v>84</v>
      </c>
      <c r="F407" t="s">
        <v>417</v>
      </c>
      <c r="G407" t="s">
        <v>418</v>
      </c>
    </row>
    <row r="408" spans="1:8" x14ac:dyDescent="0.25">
      <c r="A408" s="1">
        <v>406</v>
      </c>
      <c r="B408" t="s">
        <v>10</v>
      </c>
      <c r="C408" t="s">
        <v>402</v>
      </c>
      <c r="D408">
        <v>1427</v>
      </c>
      <c r="E408" t="s">
        <v>92</v>
      </c>
      <c r="F408" t="s">
        <v>419</v>
      </c>
      <c r="H408" t="s">
        <v>420</v>
      </c>
    </row>
    <row r="409" spans="1:8" x14ac:dyDescent="0.25">
      <c r="A409" s="1">
        <v>407</v>
      </c>
      <c r="B409" t="s">
        <v>10</v>
      </c>
      <c r="C409" t="s">
        <v>402</v>
      </c>
      <c r="D409">
        <v>1428</v>
      </c>
      <c r="E409" t="s">
        <v>24</v>
      </c>
      <c r="F409" t="s">
        <v>93</v>
      </c>
      <c r="G409" t="s">
        <v>94</v>
      </c>
    </row>
    <row r="410" spans="1:8" x14ac:dyDescent="0.25">
      <c r="A410" s="1">
        <v>408</v>
      </c>
      <c r="B410" t="s">
        <v>10</v>
      </c>
      <c r="C410" t="s">
        <v>402</v>
      </c>
      <c r="D410">
        <v>1429</v>
      </c>
      <c r="E410" t="s">
        <v>24</v>
      </c>
      <c r="F410" t="s">
        <v>93</v>
      </c>
      <c r="G410" t="s">
        <v>94</v>
      </c>
    </row>
    <row r="411" spans="1:8" x14ac:dyDescent="0.25">
      <c r="A411" s="1">
        <v>409</v>
      </c>
      <c r="B411" t="s">
        <v>10</v>
      </c>
      <c r="C411" t="s">
        <v>402</v>
      </c>
      <c r="D411">
        <v>1430</v>
      </c>
      <c r="E411" t="s">
        <v>178</v>
      </c>
      <c r="F411" t="s">
        <v>179</v>
      </c>
      <c r="G411" t="s">
        <v>180</v>
      </c>
      <c r="H411" t="s">
        <v>421</v>
      </c>
    </row>
    <row r="412" spans="1:8" x14ac:dyDescent="0.25">
      <c r="A412" s="1">
        <v>410</v>
      </c>
      <c r="B412" t="s">
        <v>10</v>
      </c>
      <c r="C412" t="s">
        <v>402</v>
      </c>
      <c r="D412">
        <v>1431</v>
      </c>
      <c r="E412" t="s">
        <v>84</v>
      </c>
      <c r="F412" t="s">
        <v>417</v>
      </c>
      <c r="G412" t="s">
        <v>170</v>
      </c>
      <c r="H412" t="s">
        <v>422</v>
      </c>
    </row>
    <row r="413" spans="1:8" x14ac:dyDescent="0.25">
      <c r="A413" s="1">
        <v>411</v>
      </c>
      <c r="B413" t="s">
        <v>10</v>
      </c>
      <c r="C413" t="s">
        <v>402</v>
      </c>
      <c r="D413">
        <v>1432</v>
      </c>
      <c r="E413" t="s">
        <v>115</v>
      </c>
      <c r="F413" t="s">
        <v>314</v>
      </c>
      <c r="G413" t="s">
        <v>187</v>
      </c>
      <c r="H413" t="s">
        <v>423</v>
      </c>
    </row>
    <row r="414" spans="1:8" x14ac:dyDescent="0.25">
      <c r="A414" s="1">
        <v>412</v>
      </c>
      <c r="B414" t="s">
        <v>10</v>
      </c>
      <c r="C414" t="s">
        <v>402</v>
      </c>
      <c r="D414">
        <v>1433</v>
      </c>
      <c r="E414" t="s">
        <v>24</v>
      </c>
      <c r="F414" t="s">
        <v>93</v>
      </c>
      <c r="G414" t="s">
        <v>94</v>
      </c>
    </row>
    <row r="415" spans="1:8" x14ac:dyDescent="0.25">
      <c r="A415" s="1">
        <v>413</v>
      </c>
      <c r="B415" t="s">
        <v>10</v>
      </c>
      <c r="C415" t="s">
        <v>402</v>
      </c>
      <c r="D415">
        <v>1434</v>
      </c>
      <c r="E415" t="s">
        <v>17</v>
      </c>
      <c r="F415" t="s">
        <v>424</v>
      </c>
      <c r="G415" t="s">
        <v>425</v>
      </c>
      <c r="H415" t="s">
        <v>426</v>
      </c>
    </row>
    <row r="416" spans="1:8" x14ac:dyDescent="0.25">
      <c r="A416" s="1">
        <v>414</v>
      </c>
      <c r="B416" t="s">
        <v>10</v>
      </c>
      <c r="C416" t="s">
        <v>402</v>
      </c>
      <c r="D416">
        <v>1435</v>
      </c>
      <c r="E416" t="s">
        <v>12</v>
      </c>
      <c r="F416" t="s">
        <v>157</v>
      </c>
      <c r="G416" t="s">
        <v>158</v>
      </c>
    </row>
    <row r="417" spans="1:8" x14ac:dyDescent="0.25">
      <c r="A417" s="1">
        <v>415</v>
      </c>
      <c r="B417" t="s">
        <v>10</v>
      </c>
      <c r="C417" t="s">
        <v>402</v>
      </c>
      <c r="D417">
        <v>1436</v>
      </c>
      <c r="E417" t="s">
        <v>24</v>
      </c>
      <c r="F417" t="s">
        <v>93</v>
      </c>
      <c r="G417" t="s">
        <v>94</v>
      </c>
    </row>
    <row r="418" spans="1:8" x14ac:dyDescent="0.25">
      <c r="A418" s="1">
        <v>416</v>
      </c>
      <c r="B418" t="s">
        <v>10</v>
      </c>
      <c r="C418" t="s">
        <v>402</v>
      </c>
      <c r="D418">
        <v>1437</v>
      </c>
      <c r="E418" t="s">
        <v>207</v>
      </c>
      <c r="F418" t="s">
        <v>237</v>
      </c>
      <c r="G418" t="s">
        <v>427</v>
      </c>
      <c r="H418" t="s">
        <v>428</v>
      </c>
    </row>
    <row r="419" spans="1:8" x14ac:dyDescent="0.25">
      <c r="A419" s="1">
        <v>417</v>
      </c>
      <c r="B419" t="s">
        <v>10</v>
      </c>
      <c r="C419" t="s">
        <v>402</v>
      </c>
      <c r="D419">
        <v>1438</v>
      </c>
      <c r="E419" t="s">
        <v>84</v>
      </c>
      <c r="F419" t="s">
        <v>385</v>
      </c>
      <c r="G419" t="s">
        <v>429</v>
      </c>
      <c r="H419" t="s">
        <v>430</v>
      </c>
    </row>
    <row r="420" spans="1:8" x14ac:dyDescent="0.25">
      <c r="A420" s="1">
        <v>418</v>
      </c>
      <c r="B420" t="s">
        <v>10</v>
      </c>
      <c r="C420" t="s">
        <v>402</v>
      </c>
      <c r="D420">
        <v>1439</v>
      </c>
      <c r="E420" t="s">
        <v>39</v>
      </c>
      <c r="F420" t="s">
        <v>186</v>
      </c>
      <c r="G420" t="s">
        <v>431</v>
      </c>
      <c r="H420" t="s">
        <v>432</v>
      </c>
    </row>
    <row r="421" spans="1:8" x14ac:dyDescent="0.25">
      <c r="A421" s="1">
        <v>419</v>
      </c>
      <c r="B421" t="s">
        <v>10</v>
      </c>
      <c r="C421" t="s">
        <v>402</v>
      </c>
      <c r="D421">
        <v>1440</v>
      </c>
      <c r="E421" t="s">
        <v>330</v>
      </c>
      <c r="F421" t="s">
        <v>49</v>
      </c>
      <c r="G421" t="s">
        <v>331</v>
      </c>
    </row>
    <row r="422" spans="1:8" x14ac:dyDescent="0.25">
      <c r="A422" s="1">
        <v>420</v>
      </c>
      <c r="B422" t="s">
        <v>10</v>
      </c>
      <c r="C422" t="s">
        <v>402</v>
      </c>
      <c r="D422">
        <v>1441</v>
      </c>
      <c r="E422" t="s">
        <v>84</v>
      </c>
      <c r="F422" t="s">
        <v>417</v>
      </c>
      <c r="G422" t="s">
        <v>170</v>
      </c>
      <c r="H422" t="s">
        <v>433</v>
      </c>
    </row>
    <row r="423" spans="1:8" x14ac:dyDescent="0.25">
      <c r="A423" s="1">
        <v>421</v>
      </c>
      <c r="B423" t="s">
        <v>10</v>
      </c>
      <c r="C423" t="s">
        <v>402</v>
      </c>
      <c r="D423">
        <v>1442</v>
      </c>
      <c r="E423" t="s">
        <v>71</v>
      </c>
      <c r="F423" t="s">
        <v>72</v>
      </c>
      <c r="G423" t="s">
        <v>156</v>
      </c>
    </row>
    <row r="424" spans="1:8" x14ac:dyDescent="0.25">
      <c r="A424" s="1">
        <v>422</v>
      </c>
      <c r="B424" t="s">
        <v>10</v>
      </c>
      <c r="C424" t="s">
        <v>402</v>
      </c>
      <c r="D424">
        <v>1443</v>
      </c>
      <c r="E424" t="s">
        <v>71</v>
      </c>
      <c r="F424" t="s">
        <v>72</v>
      </c>
      <c r="G424" t="s">
        <v>156</v>
      </c>
    </row>
    <row r="425" spans="1:8" x14ac:dyDescent="0.25">
      <c r="A425" s="1">
        <v>423</v>
      </c>
      <c r="B425" t="s">
        <v>10</v>
      </c>
      <c r="C425" t="s">
        <v>402</v>
      </c>
      <c r="D425">
        <v>1444</v>
      </c>
      <c r="E425" t="s">
        <v>71</v>
      </c>
      <c r="F425" t="s">
        <v>72</v>
      </c>
      <c r="G425" t="s">
        <v>315</v>
      </c>
    </row>
    <row r="426" spans="1:8" x14ac:dyDescent="0.25">
      <c r="A426" s="1">
        <v>424</v>
      </c>
      <c r="B426" t="s">
        <v>10</v>
      </c>
      <c r="C426" t="s">
        <v>402</v>
      </c>
      <c r="D426">
        <v>1445</v>
      </c>
      <c r="E426" t="s">
        <v>115</v>
      </c>
      <c r="F426" t="s">
        <v>314</v>
      </c>
      <c r="G426" t="s">
        <v>187</v>
      </c>
      <c r="H426">
        <f>3762</f>
        <v>3762</v>
      </c>
    </row>
    <row r="427" spans="1:8" x14ac:dyDescent="0.25">
      <c r="A427" s="1">
        <v>425</v>
      </c>
      <c r="B427" t="s">
        <v>10</v>
      </c>
      <c r="C427" t="s">
        <v>402</v>
      </c>
      <c r="D427">
        <v>1446</v>
      </c>
      <c r="E427" t="s">
        <v>71</v>
      </c>
      <c r="F427" t="s">
        <v>72</v>
      </c>
      <c r="G427" t="s">
        <v>156</v>
      </c>
    </row>
    <row r="428" spans="1:8" x14ac:dyDescent="0.25">
      <c r="A428" s="1">
        <v>426</v>
      </c>
      <c r="B428" t="s">
        <v>10</v>
      </c>
      <c r="C428" t="s">
        <v>402</v>
      </c>
      <c r="D428">
        <v>1447</v>
      </c>
      <c r="E428" t="s">
        <v>36</v>
      </c>
      <c r="F428" t="s">
        <v>37</v>
      </c>
      <c r="G428" t="s">
        <v>268</v>
      </c>
      <c r="H428" t="s">
        <v>434</v>
      </c>
    </row>
    <row r="429" spans="1:8" x14ac:dyDescent="0.25">
      <c r="A429" s="1">
        <v>427</v>
      </c>
      <c r="B429" t="s">
        <v>10</v>
      </c>
      <c r="C429" t="s">
        <v>402</v>
      </c>
      <c r="D429">
        <v>1448</v>
      </c>
      <c r="E429" t="s">
        <v>84</v>
      </c>
      <c r="H429" t="s">
        <v>435</v>
      </c>
    </row>
    <row r="430" spans="1:8" x14ac:dyDescent="0.25">
      <c r="A430" s="1">
        <v>428</v>
      </c>
      <c r="B430" t="s">
        <v>10</v>
      </c>
      <c r="C430" t="s">
        <v>402</v>
      </c>
      <c r="D430">
        <v>1449</v>
      </c>
      <c r="E430" t="s">
        <v>24</v>
      </c>
      <c r="F430" t="s">
        <v>93</v>
      </c>
      <c r="G430" t="s">
        <v>94</v>
      </c>
    </row>
    <row r="431" spans="1:8" x14ac:dyDescent="0.25">
      <c r="A431" s="1">
        <v>429</v>
      </c>
      <c r="B431" t="s">
        <v>10</v>
      </c>
      <c r="C431" t="s">
        <v>402</v>
      </c>
      <c r="D431">
        <v>1450</v>
      </c>
      <c r="E431" t="s">
        <v>24</v>
      </c>
      <c r="F431" t="s">
        <v>93</v>
      </c>
      <c r="G431" t="s">
        <v>94</v>
      </c>
    </row>
    <row r="432" spans="1:8" x14ac:dyDescent="0.25">
      <c r="A432" s="1">
        <v>430</v>
      </c>
      <c r="B432" t="s">
        <v>10</v>
      </c>
      <c r="C432" t="s">
        <v>402</v>
      </c>
      <c r="D432">
        <v>1451</v>
      </c>
      <c r="E432" t="s">
        <v>350</v>
      </c>
      <c r="F432" t="s">
        <v>351</v>
      </c>
      <c r="G432" t="s">
        <v>352</v>
      </c>
      <c r="H432" t="s">
        <v>436</v>
      </c>
    </row>
    <row r="433" spans="1:11" x14ac:dyDescent="0.25">
      <c r="A433" s="1">
        <v>431</v>
      </c>
      <c r="B433" t="s">
        <v>10</v>
      </c>
      <c r="C433" t="s">
        <v>437</v>
      </c>
      <c r="D433">
        <v>1472</v>
      </c>
      <c r="E433" t="s">
        <v>36</v>
      </c>
      <c r="F433" t="s">
        <v>260</v>
      </c>
      <c r="G433" t="s">
        <v>261</v>
      </c>
      <c r="H433" t="s">
        <v>438</v>
      </c>
    </row>
    <row r="434" spans="1:11" x14ac:dyDescent="0.25">
      <c r="A434" s="1">
        <v>432</v>
      </c>
      <c r="B434" t="s">
        <v>10</v>
      </c>
      <c r="C434" t="s">
        <v>437</v>
      </c>
      <c r="D434">
        <v>1481</v>
      </c>
      <c r="E434" t="s">
        <v>304</v>
      </c>
      <c r="F434" t="s">
        <v>305</v>
      </c>
      <c r="H434">
        <f>3568</f>
        <v>3568</v>
      </c>
    </row>
    <row r="435" spans="1:11" x14ac:dyDescent="0.25">
      <c r="A435" s="1">
        <v>433</v>
      </c>
      <c r="B435" t="s">
        <v>10</v>
      </c>
      <c r="C435" t="s">
        <v>437</v>
      </c>
      <c r="D435">
        <v>1484</v>
      </c>
      <c r="E435" t="s">
        <v>95</v>
      </c>
      <c r="F435" t="s">
        <v>248</v>
      </c>
      <c r="H435">
        <f>3600</f>
        <v>3600</v>
      </c>
      <c r="K435" t="s">
        <v>87</v>
      </c>
    </row>
    <row r="436" spans="1:11" x14ac:dyDescent="0.25">
      <c r="A436" s="1">
        <v>434</v>
      </c>
      <c r="B436" t="s">
        <v>10</v>
      </c>
      <c r="C436" t="s">
        <v>437</v>
      </c>
      <c r="D436">
        <v>1452</v>
      </c>
      <c r="E436" t="s">
        <v>240</v>
      </c>
      <c r="F436" t="s">
        <v>439</v>
      </c>
      <c r="G436" t="s">
        <v>440</v>
      </c>
      <c r="H436">
        <f>3622</f>
        <v>3622</v>
      </c>
    </row>
    <row r="437" spans="1:11" x14ac:dyDescent="0.25">
      <c r="A437" s="1">
        <v>435</v>
      </c>
      <c r="B437" t="s">
        <v>10</v>
      </c>
      <c r="C437" t="s">
        <v>437</v>
      </c>
      <c r="D437">
        <v>1453</v>
      </c>
      <c r="E437" t="s">
        <v>298</v>
      </c>
      <c r="F437" t="s">
        <v>299</v>
      </c>
      <c r="H437">
        <f>3610</f>
        <v>3610</v>
      </c>
    </row>
    <row r="438" spans="1:11" x14ac:dyDescent="0.25">
      <c r="A438" s="1">
        <v>436</v>
      </c>
      <c r="B438" t="s">
        <v>10</v>
      </c>
      <c r="C438" t="s">
        <v>437</v>
      </c>
      <c r="D438">
        <v>1454</v>
      </c>
      <c r="E438" t="s">
        <v>84</v>
      </c>
      <c r="F438" t="s">
        <v>280</v>
      </c>
      <c r="G438" t="s">
        <v>441</v>
      </c>
    </row>
    <row r="439" spans="1:11" x14ac:dyDescent="0.25">
      <c r="A439" s="1">
        <v>437</v>
      </c>
      <c r="B439" t="s">
        <v>10</v>
      </c>
      <c r="C439" t="s">
        <v>437</v>
      </c>
      <c r="D439">
        <v>1455</v>
      </c>
      <c r="E439" t="s">
        <v>20</v>
      </c>
      <c r="F439" t="s">
        <v>42</v>
      </c>
      <c r="G439" t="s">
        <v>442</v>
      </c>
      <c r="H439">
        <f>3620</f>
        <v>3620</v>
      </c>
    </row>
    <row r="440" spans="1:11" x14ac:dyDescent="0.25">
      <c r="A440" s="1">
        <v>438</v>
      </c>
      <c r="B440" t="s">
        <v>10</v>
      </c>
      <c r="C440" t="s">
        <v>437</v>
      </c>
      <c r="D440">
        <v>1456</v>
      </c>
      <c r="E440" t="s">
        <v>443</v>
      </c>
      <c r="F440" t="s">
        <v>444</v>
      </c>
      <c r="G440" t="s">
        <v>445</v>
      </c>
      <c r="H440">
        <f>3612</f>
        <v>3612</v>
      </c>
      <c r="K440" t="s">
        <v>87</v>
      </c>
    </row>
    <row r="441" spans="1:11" x14ac:dyDescent="0.25">
      <c r="A441" s="1">
        <v>439</v>
      </c>
      <c r="B441" t="s">
        <v>10</v>
      </c>
      <c r="C441" t="s">
        <v>437</v>
      </c>
      <c r="D441">
        <v>1457</v>
      </c>
      <c r="E441" t="s">
        <v>188</v>
      </c>
      <c r="F441" t="s">
        <v>193</v>
      </c>
      <c r="G441" t="s">
        <v>194</v>
      </c>
    </row>
    <row r="442" spans="1:11" x14ac:dyDescent="0.25">
      <c r="A442" s="1">
        <v>440</v>
      </c>
      <c r="B442" t="s">
        <v>10</v>
      </c>
      <c r="C442" t="s">
        <v>437</v>
      </c>
      <c r="D442">
        <v>1458</v>
      </c>
      <c r="E442" t="s">
        <v>160</v>
      </c>
      <c r="F442" t="s">
        <v>161</v>
      </c>
      <c r="H442">
        <f>3600</f>
        <v>3600</v>
      </c>
      <c r="K442" t="s">
        <v>87</v>
      </c>
    </row>
    <row r="443" spans="1:11" x14ac:dyDescent="0.25">
      <c r="A443" s="1">
        <v>441</v>
      </c>
      <c r="B443" t="s">
        <v>10</v>
      </c>
      <c r="C443" t="s">
        <v>437</v>
      </c>
      <c r="D443">
        <v>1459</v>
      </c>
      <c r="E443" t="s">
        <v>63</v>
      </c>
      <c r="F443" t="s">
        <v>446</v>
      </c>
      <c r="G443" t="s">
        <v>447</v>
      </c>
      <c r="H443" t="s">
        <v>448</v>
      </c>
      <c r="K443" t="s">
        <v>87</v>
      </c>
    </row>
    <row r="444" spans="1:11" x14ac:dyDescent="0.25">
      <c r="A444" s="1">
        <v>442</v>
      </c>
      <c r="B444" t="s">
        <v>10</v>
      </c>
      <c r="C444" t="s">
        <v>437</v>
      </c>
      <c r="D444">
        <v>1460</v>
      </c>
      <c r="E444" t="s">
        <v>20</v>
      </c>
      <c r="F444" t="s">
        <v>42</v>
      </c>
      <c r="H444" t="s">
        <v>449</v>
      </c>
    </row>
    <row r="445" spans="1:11" x14ac:dyDescent="0.25">
      <c r="A445" s="1">
        <v>443</v>
      </c>
      <c r="B445" t="s">
        <v>10</v>
      </c>
      <c r="C445" t="s">
        <v>437</v>
      </c>
      <c r="D445">
        <v>1461</v>
      </c>
      <c r="E445" t="s">
        <v>207</v>
      </c>
      <c r="F445" t="s">
        <v>237</v>
      </c>
      <c r="G445" t="s">
        <v>450</v>
      </c>
      <c r="H445" t="s">
        <v>451</v>
      </c>
      <c r="K445" t="s">
        <v>87</v>
      </c>
    </row>
    <row r="446" spans="1:11" x14ac:dyDescent="0.25">
      <c r="A446" s="1">
        <v>444</v>
      </c>
      <c r="B446" t="s">
        <v>10</v>
      </c>
      <c r="C446" t="s">
        <v>437</v>
      </c>
      <c r="D446">
        <v>1462</v>
      </c>
      <c r="E446" t="s">
        <v>20</v>
      </c>
      <c r="F446" t="s">
        <v>42</v>
      </c>
      <c r="H446" t="s">
        <v>452</v>
      </c>
    </row>
    <row r="447" spans="1:11" x14ac:dyDescent="0.25">
      <c r="A447" s="1">
        <v>445</v>
      </c>
      <c r="B447" t="s">
        <v>10</v>
      </c>
      <c r="C447" t="s">
        <v>437</v>
      </c>
      <c r="D447">
        <v>1463</v>
      </c>
      <c r="E447" t="s">
        <v>107</v>
      </c>
      <c r="F447" t="s">
        <v>108</v>
      </c>
      <c r="G447" t="s">
        <v>105</v>
      </c>
    </row>
    <row r="448" spans="1:11" x14ac:dyDescent="0.25">
      <c r="A448" s="1">
        <v>446</v>
      </c>
      <c r="B448" t="s">
        <v>10</v>
      </c>
      <c r="C448" t="s">
        <v>437</v>
      </c>
      <c r="D448">
        <v>1464</v>
      </c>
      <c r="E448" t="s">
        <v>17</v>
      </c>
      <c r="F448" t="s">
        <v>32</v>
      </c>
      <c r="G448" t="s">
        <v>453</v>
      </c>
      <c r="H448" t="s">
        <v>454</v>
      </c>
      <c r="K448" t="s">
        <v>87</v>
      </c>
    </row>
    <row r="449" spans="1:11" x14ac:dyDescent="0.25">
      <c r="A449" s="1">
        <v>447</v>
      </c>
      <c r="B449" t="s">
        <v>10</v>
      </c>
      <c r="C449" t="s">
        <v>437</v>
      </c>
      <c r="D449">
        <v>1465</v>
      </c>
      <c r="E449" t="s">
        <v>20</v>
      </c>
      <c r="F449" t="s">
        <v>455</v>
      </c>
      <c r="G449" t="s">
        <v>456</v>
      </c>
      <c r="H449" t="s">
        <v>457</v>
      </c>
      <c r="K449" t="s">
        <v>87</v>
      </c>
    </row>
    <row r="450" spans="1:11" x14ac:dyDescent="0.25">
      <c r="A450" s="1">
        <v>448</v>
      </c>
      <c r="B450" t="s">
        <v>10</v>
      </c>
      <c r="C450" t="s">
        <v>437</v>
      </c>
      <c r="D450">
        <v>1466</v>
      </c>
      <c r="E450" t="s">
        <v>36</v>
      </c>
      <c r="F450" t="s">
        <v>260</v>
      </c>
      <c r="G450" t="s">
        <v>261</v>
      </c>
    </row>
    <row r="451" spans="1:11" x14ac:dyDescent="0.25">
      <c r="A451" s="1">
        <v>449</v>
      </c>
      <c r="B451" t="s">
        <v>10</v>
      </c>
      <c r="C451" t="s">
        <v>437</v>
      </c>
      <c r="D451">
        <v>1467</v>
      </c>
      <c r="E451" t="s">
        <v>443</v>
      </c>
      <c r="F451" t="s">
        <v>444</v>
      </c>
      <c r="G451" t="s">
        <v>445</v>
      </c>
    </row>
    <row r="452" spans="1:11" x14ac:dyDescent="0.25">
      <c r="A452" s="1">
        <v>450</v>
      </c>
      <c r="B452" t="s">
        <v>10</v>
      </c>
      <c r="C452" t="s">
        <v>437</v>
      </c>
      <c r="D452">
        <v>1468</v>
      </c>
      <c r="E452" t="s">
        <v>17</v>
      </c>
      <c r="F452" t="s">
        <v>299</v>
      </c>
    </row>
    <row r="453" spans="1:11" x14ac:dyDescent="0.25">
      <c r="A453" s="1">
        <v>451</v>
      </c>
      <c r="B453" t="s">
        <v>10</v>
      </c>
      <c r="C453" t="s">
        <v>437</v>
      </c>
      <c r="D453">
        <v>1469</v>
      </c>
      <c r="E453" t="s">
        <v>17</v>
      </c>
      <c r="F453" t="s">
        <v>32</v>
      </c>
    </row>
    <row r="454" spans="1:11" x14ac:dyDescent="0.25">
      <c r="A454" s="1">
        <v>452</v>
      </c>
      <c r="B454" t="s">
        <v>10</v>
      </c>
      <c r="C454" t="s">
        <v>437</v>
      </c>
      <c r="D454">
        <v>1470</v>
      </c>
      <c r="E454" t="s">
        <v>458</v>
      </c>
      <c r="F454" t="s">
        <v>459</v>
      </c>
      <c r="G454" t="s">
        <v>460</v>
      </c>
      <c r="H454" t="s">
        <v>461</v>
      </c>
      <c r="K454" t="s">
        <v>87</v>
      </c>
    </row>
    <row r="455" spans="1:11" x14ac:dyDescent="0.25">
      <c r="A455" s="1">
        <v>453</v>
      </c>
      <c r="B455" t="s">
        <v>10</v>
      </c>
      <c r="C455" t="s">
        <v>437</v>
      </c>
      <c r="D455">
        <v>1471</v>
      </c>
      <c r="E455" t="s">
        <v>36</v>
      </c>
      <c r="F455" t="s">
        <v>37</v>
      </c>
      <c r="H455" t="s">
        <v>462</v>
      </c>
    </row>
    <row r="456" spans="1:11" x14ac:dyDescent="0.25">
      <c r="A456" s="1">
        <v>454</v>
      </c>
      <c r="B456" t="s">
        <v>10</v>
      </c>
      <c r="C456" t="s">
        <v>437</v>
      </c>
      <c r="D456">
        <v>1473</v>
      </c>
      <c r="E456" t="s">
        <v>55</v>
      </c>
      <c r="F456" t="s">
        <v>272</v>
      </c>
    </row>
    <row r="457" spans="1:11" x14ac:dyDescent="0.25">
      <c r="A457" s="1">
        <v>455</v>
      </c>
      <c r="B457" t="s">
        <v>10</v>
      </c>
      <c r="C457" t="s">
        <v>437</v>
      </c>
      <c r="D457">
        <v>1474</v>
      </c>
      <c r="E457" t="s">
        <v>188</v>
      </c>
      <c r="F457" t="s">
        <v>189</v>
      </c>
      <c r="G457" t="s">
        <v>190</v>
      </c>
    </row>
    <row r="458" spans="1:11" x14ac:dyDescent="0.25">
      <c r="A458" s="1">
        <v>456</v>
      </c>
      <c r="B458" t="s">
        <v>10</v>
      </c>
      <c r="C458" t="s">
        <v>437</v>
      </c>
      <c r="D458">
        <v>1475</v>
      </c>
      <c r="E458" t="s">
        <v>39</v>
      </c>
      <c r="F458" t="s">
        <v>186</v>
      </c>
      <c r="G458" t="s">
        <v>187</v>
      </c>
    </row>
    <row r="459" spans="1:11" x14ac:dyDescent="0.25">
      <c r="A459" s="1">
        <v>457</v>
      </c>
      <c r="B459" t="s">
        <v>10</v>
      </c>
      <c r="C459" t="s">
        <v>437</v>
      </c>
      <c r="D459">
        <v>1476</v>
      </c>
      <c r="E459" t="s">
        <v>107</v>
      </c>
      <c r="F459" t="s">
        <v>108</v>
      </c>
      <c r="G459" t="s">
        <v>105</v>
      </c>
    </row>
    <row r="460" spans="1:11" x14ac:dyDescent="0.25">
      <c r="A460" s="1">
        <v>458</v>
      </c>
      <c r="B460" t="s">
        <v>10</v>
      </c>
      <c r="C460" t="s">
        <v>437</v>
      </c>
      <c r="D460">
        <v>1477</v>
      </c>
      <c r="E460" t="s">
        <v>84</v>
      </c>
      <c r="F460" t="s">
        <v>280</v>
      </c>
      <c r="G460" t="s">
        <v>441</v>
      </c>
    </row>
    <row r="461" spans="1:11" x14ac:dyDescent="0.25">
      <c r="A461" s="1">
        <v>459</v>
      </c>
      <c r="B461" t="s">
        <v>10</v>
      </c>
      <c r="C461" t="s">
        <v>437</v>
      </c>
      <c r="D461">
        <v>1478</v>
      </c>
      <c r="E461" t="s">
        <v>20</v>
      </c>
      <c r="F461" t="s">
        <v>42</v>
      </c>
      <c r="G461" t="s">
        <v>463</v>
      </c>
      <c r="H461" t="s">
        <v>464</v>
      </c>
    </row>
    <row r="462" spans="1:11" x14ac:dyDescent="0.25">
      <c r="A462" s="1">
        <v>460</v>
      </c>
      <c r="B462" t="s">
        <v>10</v>
      </c>
      <c r="C462" t="s">
        <v>437</v>
      </c>
      <c r="D462">
        <v>1479</v>
      </c>
      <c r="E462" t="s">
        <v>240</v>
      </c>
      <c r="F462" t="s">
        <v>439</v>
      </c>
      <c r="G462" t="s">
        <v>440</v>
      </c>
      <c r="H462">
        <f>3622</f>
        <v>3622</v>
      </c>
    </row>
    <row r="463" spans="1:11" x14ac:dyDescent="0.25">
      <c r="A463" s="1">
        <v>461</v>
      </c>
      <c r="B463" t="s">
        <v>10</v>
      </c>
      <c r="C463" t="s">
        <v>437</v>
      </c>
      <c r="D463">
        <v>1480</v>
      </c>
      <c r="E463" t="s">
        <v>207</v>
      </c>
      <c r="F463" t="s">
        <v>237</v>
      </c>
      <c r="G463" t="s">
        <v>450</v>
      </c>
      <c r="H463">
        <f>3627</f>
        <v>3627</v>
      </c>
    </row>
    <row r="464" spans="1:11" x14ac:dyDescent="0.25">
      <c r="A464" s="1">
        <v>462</v>
      </c>
      <c r="B464" t="s">
        <v>10</v>
      </c>
      <c r="C464" t="s">
        <v>437</v>
      </c>
      <c r="D464">
        <v>1482</v>
      </c>
      <c r="E464" t="s">
        <v>178</v>
      </c>
      <c r="F464" t="s">
        <v>179</v>
      </c>
      <c r="G464" t="s">
        <v>180</v>
      </c>
      <c r="H464">
        <f>3626</f>
        <v>3626</v>
      </c>
    </row>
    <row r="465" spans="1:11" x14ac:dyDescent="0.25">
      <c r="A465" s="1">
        <v>463</v>
      </c>
      <c r="B465" t="s">
        <v>10</v>
      </c>
      <c r="C465" t="s">
        <v>437</v>
      </c>
      <c r="D465">
        <v>1483</v>
      </c>
      <c r="E465" t="s">
        <v>240</v>
      </c>
      <c r="F465" t="s">
        <v>439</v>
      </c>
      <c r="G465" t="s">
        <v>440</v>
      </c>
      <c r="H465" t="s">
        <v>465</v>
      </c>
      <c r="K465" t="s">
        <v>87</v>
      </c>
    </row>
    <row r="466" spans="1:11" x14ac:dyDescent="0.25">
      <c r="A466" s="1">
        <v>464</v>
      </c>
      <c r="B466" t="s">
        <v>10</v>
      </c>
      <c r="C466" t="s">
        <v>437</v>
      </c>
      <c r="D466">
        <v>1485</v>
      </c>
      <c r="E466" t="s">
        <v>107</v>
      </c>
      <c r="F466" t="s">
        <v>108</v>
      </c>
      <c r="G466" t="s">
        <v>105</v>
      </c>
    </row>
    <row r="467" spans="1:11" x14ac:dyDescent="0.25">
      <c r="A467" s="1">
        <v>465</v>
      </c>
      <c r="B467" t="s">
        <v>10</v>
      </c>
      <c r="C467" t="s">
        <v>437</v>
      </c>
      <c r="D467">
        <v>1486</v>
      </c>
      <c r="E467" t="s">
        <v>20</v>
      </c>
      <c r="F467" t="s">
        <v>42</v>
      </c>
      <c r="G467" t="s">
        <v>466</v>
      </c>
      <c r="H467" t="s">
        <v>467</v>
      </c>
      <c r="K467" t="s">
        <v>87</v>
      </c>
    </row>
    <row r="468" spans="1:11" x14ac:dyDescent="0.25">
      <c r="A468" s="1">
        <v>466</v>
      </c>
      <c r="B468" t="s">
        <v>10</v>
      </c>
      <c r="C468" t="s">
        <v>437</v>
      </c>
      <c r="D468">
        <v>1487</v>
      </c>
      <c r="E468" t="s">
        <v>188</v>
      </c>
      <c r="F468" t="s">
        <v>189</v>
      </c>
      <c r="G468" t="s">
        <v>190</v>
      </c>
    </row>
    <row r="469" spans="1:11" x14ac:dyDescent="0.25">
      <c r="A469" s="1">
        <v>467</v>
      </c>
      <c r="B469" t="s">
        <v>10</v>
      </c>
      <c r="C469" t="s">
        <v>437</v>
      </c>
      <c r="D469">
        <v>1488</v>
      </c>
      <c r="E469" t="s">
        <v>36</v>
      </c>
      <c r="F469" t="s">
        <v>37</v>
      </c>
      <c r="G469" t="s">
        <v>468</v>
      </c>
      <c r="H469" t="s">
        <v>469</v>
      </c>
    </row>
    <row r="470" spans="1:11" x14ac:dyDescent="0.25">
      <c r="A470" s="1">
        <v>468</v>
      </c>
      <c r="B470" t="s">
        <v>10</v>
      </c>
      <c r="C470" t="s">
        <v>437</v>
      </c>
      <c r="D470">
        <v>1489</v>
      </c>
      <c r="E470" t="s">
        <v>95</v>
      </c>
      <c r="F470" t="s">
        <v>96</v>
      </c>
      <c r="G470" t="s">
        <v>214</v>
      </c>
      <c r="H470" t="s">
        <v>470</v>
      </c>
    </row>
    <row r="471" spans="1:11" x14ac:dyDescent="0.25">
      <c r="A471" s="1">
        <v>469</v>
      </c>
      <c r="B471" t="s">
        <v>10</v>
      </c>
      <c r="C471" t="s">
        <v>437</v>
      </c>
      <c r="D471">
        <v>1490</v>
      </c>
      <c r="E471" t="s">
        <v>67</v>
      </c>
      <c r="F471" t="s">
        <v>68</v>
      </c>
      <c r="G471" t="s">
        <v>471</v>
      </c>
      <c r="H471">
        <f>3602</f>
        <v>3602</v>
      </c>
    </row>
    <row r="472" spans="1:11" x14ac:dyDescent="0.25">
      <c r="A472" s="1">
        <v>470</v>
      </c>
      <c r="B472" t="s">
        <v>10</v>
      </c>
      <c r="C472" t="s">
        <v>437</v>
      </c>
      <c r="D472">
        <v>1491</v>
      </c>
      <c r="E472" t="s">
        <v>188</v>
      </c>
      <c r="F472" t="s">
        <v>193</v>
      </c>
      <c r="G472" t="s">
        <v>194</v>
      </c>
    </row>
    <row r="473" spans="1:11" x14ac:dyDescent="0.25">
      <c r="A473" s="1">
        <v>471</v>
      </c>
      <c r="B473" t="s">
        <v>10</v>
      </c>
      <c r="C473" t="s">
        <v>437</v>
      </c>
      <c r="D473">
        <v>1492</v>
      </c>
      <c r="E473" t="s">
        <v>36</v>
      </c>
      <c r="F473" t="s">
        <v>260</v>
      </c>
      <c r="G473" t="s">
        <v>261</v>
      </c>
    </row>
    <row r="474" spans="1:11" x14ac:dyDescent="0.25">
      <c r="A474" s="1">
        <v>472</v>
      </c>
      <c r="B474" t="s">
        <v>10</v>
      </c>
      <c r="C474" t="s">
        <v>437</v>
      </c>
      <c r="D474">
        <v>1493</v>
      </c>
      <c r="E474" t="s">
        <v>207</v>
      </c>
      <c r="F474" t="s">
        <v>237</v>
      </c>
      <c r="G474" t="s">
        <v>450</v>
      </c>
      <c r="H474">
        <f>3627</f>
        <v>3627</v>
      </c>
    </row>
    <row r="475" spans="1:11" x14ac:dyDescent="0.25">
      <c r="A475" s="1">
        <v>473</v>
      </c>
      <c r="B475" t="s">
        <v>10</v>
      </c>
      <c r="C475" t="s">
        <v>437</v>
      </c>
      <c r="D475">
        <v>1494</v>
      </c>
      <c r="E475" t="s">
        <v>250</v>
      </c>
      <c r="F475" t="s">
        <v>251</v>
      </c>
      <c r="G475" t="s">
        <v>252</v>
      </c>
    </row>
    <row r="476" spans="1:11" x14ac:dyDescent="0.25">
      <c r="A476" s="1">
        <v>474</v>
      </c>
      <c r="B476" t="s">
        <v>10</v>
      </c>
      <c r="C476" t="s">
        <v>437</v>
      </c>
      <c r="D476">
        <v>1495</v>
      </c>
      <c r="E476" t="s">
        <v>92</v>
      </c>
      <c r="F476" t="s">
        <v>217</v>
      </c>
      <c r="G476" t="s">
        <v>218</v>
      </c>
      <c r="H476" t="s">
        <v>472</v>
      </c>
      <c r="K476" t="s">
        <v>87</v>
      </c>
    </row>
    <row r="477" spans="1:11" x14ac:dyDescent="0.25">
      <c r="A477" s="1">
        <v>475</v>
      </c>
      <c r="B477" t="s">
        <v>10</v>
      </c>
      <c r="C477" t="s">
        <v>437</v>
      </c>
      <c r="D477">
        <v>1496</v>
      </c>
      <c r="E477" t="s">
        <v>198</v>
      </c>
      <c r="F477" t="s">
        <v>199</v>
      </c>
      <c r="G477" t="s">
        <v>200</v>
      </c>
    </row>
    <row r="478" spans="1:11" x14ac:dyDescent="0.25">
      <c r="A478" s="1">
        <v>476</v>
      </c>
      <c r="B478" t="s">
        <v>10</v>
      </c>
      <c r="C478" t="s">
        <v>437</v>
      </c>
      <c r="D478">
        <v>1497</v>
      </c>
      <c r="E478" t="s">
        <v>24</v>
      </c>
      <c r="F478" t="s">
        <v>30</v>
      </c>
      <c r="G478" t="s">
        <v>226</v>
      </c>
    </row>
    <row r="479" spans="1:11" x14ac:dyDescent="0.25">
      <c r="A479" s="1">
        <v>477</v>
      </c>
      <c r="B479" t="s">
        <v>10</v>
      </c>
      <c r="C479" t="s">
        <v>437</v>
      </c>
      <c r="D479">
        <v>1498</v>
      </c>
      <c r="E479" t="s">
        <v>95</v>
      </c>
      <c r="F479" t="s">
        <v>248</v>
      </c>
      <c r="H479">
        <f>3600</f>
        <v>3600</v>
      </c>
    </row>
    <row r="480" spans="1:11" x14ac:dyDescent="0.25">
      <c r="A480" s="1">
        <v>478</v>
      </c>
      <c r="B480" t="s">
        <v>10</v>
      </c>
      <c r="C480" t="s">
        <v>437</v>
      </c>
      <c r="D480">
        <v>1499</v>
      </c>
      <c r="E480" t="s">
        <v>12</v>
      </c>
    </row>
    <row r="481" spans="1:11" x14ac:dyDescent="0.25">
      <c r="A481" s="1">
        <v>479</v>
      </c>
      <c r="B481" t="s">
        <v>10</v>
      </c>
      <c r="C481" t="s">
        <v>437</v>
      </c>
      <c r="D481">
        <v>2589</v>
      </c>
      <c r="E481" t="s">
        <v>250</v>
      </c>
      <c r="F481" t="s">
        <v>251</v>
      </c>
      <c r="G481" t="s">
        <v>252</v>
      </c>
      <c r="H481">
        <f>3587</f>
        <v>3587</v>
      </c>
    </row>
    <row r="482" spans="1:11" x14ac:dyDescent="0.25">
      <c r="A482" s="1">
        <v>480</v>
      </c>
      <c r="B482" t="s">
        <v>10</v>
      </c>
      <c r="C482" t="s">
        <v>437</v>
      </c>
      <c r="E482" t="s">
        <v>250</v>
      </c>
      <c r="F482" t="s">
        <v>251</v>
      </c>
      <c r="G482" t="s">
        <v>252</v>
      </c>
    </row>
    <row r="483" spans="1:11" x14ac:dyDescent="0.25">
      <c r="A483" s="1">
        <v>481</v>
      </c>
      <c r="B483" t="s">
        <v>10</v>
      </c>
      <c r="C483" t="s">
        <v>437</v>
      </c>
      <c r="D483">
        <v>2590</v>
      </c>
      <c r="E483" t="s">
        <v>250</v>
      </c>
      <c r="F483" t="s">
        <v>251</v>
      </c>
      <c r="G483" t="s">
        <v>252</v>
      </c>
      <c r="H483">
        <f>3587</f>
        <v>3587</v>
      </c>
    </row>
    <row r="484" spans="1:11" x14ac:dyDescent="0.25">
      <c r="A484" s="1">
        <v>482</v>
      </c>
      <c r="B484" t="s">
        <v>10</v>
      </c>
      <c r="C484" t="s">
        <v>437</v>
      </c>
      <c r="E484" t="s">
        <v>122</v>
      </c>
    </row>
    <row r="485" spans="1:11" x14ac:dyDescent="0.25">
      <c r="A485" s="1">
        <v>483</v>
      </c>
      <c r="B485" t="s">
        <v>10</v>
      </c>
      <c r="C485" t="s">
        <v>437</v>
      </c>
      <c r="E485" t="s">
        <v>17</v>
      </c>
      <c r="F485" t="s">
        <v>32</v>
      </c>
    </row>
    <row r="486" spans="1:11" x14ac:dyDescent="0.25">
      <c r="A486" s="1">
        <v>484</v>
      </c>
      <c r="B486" t="s">
        <v>10</v>
      </c>
      <c r="C486" t="s">
        <v>437</v>
      </c>
      <c r="E486" t="s">
        <v>443</v>
      </c>
      <c r="F486" t="s">
        <v>444</v>
      </c>
      <c r="G486" t="s">
        <v>445</v>
      </c>
    </row>
    <row r="487" spans="1:11" x14ac:dyDescent="0.25">
      <c r="A487" s="1">
        <v>485</v>
      </c>
      <c r="B487" t="s">
        <v>10</v>
      </c>
      <c r="C487" t="s">
        <v>437</v>
      </c>
      <c r="E487" t="s">
        <v>178</v>
      </c>
      <c r="F487" t="s">
        <v>179</v>
      </c>
    </row>
    <row r="488" spans="1:11" x14ac:dyDescent="0.25">
      <c r="A488" s="1">
        <v>486</v>
      </c>
      <c r="B488" t="s">
        <v>10</v>
      </c>
      <c r="C488" t="s">
        <v>437</v>
      </c>
      <c r="E488" t="s">
        <v>443</v>
      </c>
      <c r="F488" t="s">
        <v>444</v>
      </c>
    </row>
    <row r="489" spans="1:11" x14ac:dyDescent="0.25">
      <c r="A489" s="1">
        <v>487</v>
      </c>
      <c r="B489" t="s">
        <v>10</v>
      </c>
      <c r="C489" t="s">
        <v>437</v>
      </c>
      <c r="E489" t="s">
        <v>36</v>
      </c>
      <c r="F489" t="s">
        <v>37</v>
      </c>
      <c r="K489" t="s">
        <v>87</v>
      </c>
    </row>
    <row r="490" spans="1:11" x14ac:dyDescent="0.25">
      <c r="A490" s="1">
        <v>488</v>
      </c>
      <c r="B490" t="s">
        <v>10</v>
      </c>
      <c r="C490" t="s">
        <v>437</v>
      </c>
      <c r="E490" t="s">
        <v>20</v>
      </c>
      <c r="F490" t="s">
        <v>42</v>
      </c>
      <c r="G490" t="s">
        <v>473</v>
      </c>
    </row>
    <row r="491" spans="1:11" x14ac:dyDescent="0.25">
      <c r="A491" s="1">
        <v>489</v>
      </c>
      <c r="B491" t="s">
        <v>10</v>
      </c>
      <c r="C491" t="s">
        <v>437</v>
      </c>
      <c r="E491" t="s">
        <v>122</v>
      </c>
    </row>
    <row r="492" spans="1:11" x14ac:dyDescent="0.25">
      <c r="A492" s="1">
        <v>490</v>
      </c>
      <c r="B492" t="s">
        <v>10</v>
      </c>
      <c r="C492" t="s">
        <v>437</v>
      </c>
      <c r="E492" t="s">
        <v>95</v>
      </c>
      <c r="F492" t="s">
        <v>248</v>
      </c>
    </row>
    <row r="493" spans="1:11" x14ac:dyDescent="0.25">
      <c r="A493" s="1">
        <v>491</v>
      </c>
      <c r="B493" t="s">
        <v>10</v>
      </c>
      <c r="C493" t="s">
        <v>437</v>
      </c>
      <c r="E493" t="s">
        <v>20</v>
      </c>
      <c r="F493" t="s">
        <v>42</v>
      </c>
      <c r="G493" t="s">
        <v>474</v>
      </c>
    </row>
    <row r="494" spans="1:11" x14ac:dyDescent="0.25">
      <c r="A494" s="1">
        <v>492</v>
      </c>
      <c r="B494" t="s">
        <v>10</v>
      </c>
      <c r="C494" t="s">
        <v>437</v>
      </c>
      <c r="E494" t="s">
        <v>304</v>
      </c>
      <c r="F494" t="s">
        <v>305</v>
      </c>
    </row>
    <row r="495" spans="1:11" x14ac:dyDescent="0.25">
      <c r="A495" s="1">
        <v>493</v>
      </c>
      <c r="B495" t="s">
        <v>10</v>
      </c>
      <c r="C495" t="s">
        <v>437</v>
      </c>
      <c r="E495" t="s">
        <v>107</v>
      </c>
      <c r="F495" t="s">
        <v>108</v>
      </c>
      <c r="G495" t="s">
        <v>105</v>
      </c>
    </row>
    <row r="496" spans="1:11" x14ac:dyDescent="0.25">
      <c r="A496" s="1">
        <v>494</v>
      </c>
      <c r="B496" t="s">
        <v>10</v>
      </c>
      <c r="C496" t="s">
        <v>475</v>
      </c>
      <c r="D496">
        <v>1829</v>
      </c>
      <c r="E496" t="s">
        <v>12</v>
      </c>
      <c r="F496" t="s">
        <v>257</v>
      </c>
    </row>
    <row r="497" spans="1:11" x14ac:dyDescent="0.25">
      <c r="A497" s="1">
        <v>495</v>
      </c>
      <c r="B497" t="s">
        <v>10</v>
      </c>
      <c r="C497" t="s">
        <v>475</v>
      </c>
      <c r="D497">
        <v>1800</v>
      </c>
      <c r="E497" t="s">
        <v>36</v>
      </c>
      <c r="F497" t="s">
        <v>124</v>
      </c>
    </row>
    <row r="498" spans="1:11" x14ac:dyDescent="0.25">
      <c r="A498" s="1">
        <v>496</v>
      </c>
      <c r="B498" t="s">
        <v>10</v>
      </c>
      <c r="C498" t="s">
        <v>475</v>
      </c>
      <c r="D498">
        <v>1801</v>
      </c>
      <c r="E498" t="s">
        <v>207</v>
      </c>
      <c r="F498" t="s">
        <v>237</v>
      </c>
      <c r="G498" t="s">
        <v>450</v>
      </c>
    </row>
    <row r="499" spans="1:11" x14ac:dyDescent="0.25">
      <c r="A499" s="1">
        <v>497</v>
      </c>
      <c r="B499" t="s">
        <v>10</v>
      </c>
      <c r="C499" t="s">
        <v>475</v>
      </c>
      <c r="D499">
        <v>1802</v>
      </c>
      <c r="E499" t="s">
        <v>84</v>
      </c>
      <c r="F499" t="s">
        <v>280</v>
      </c>
      <c r="G499" t="s">
        <v>281</v>
      </c>
      <c r="H499">
        <v>2523</v>
      </c>
    </row>
    <row r="500" spans="1:11" x14ac:dyDescent="0.25">
      <c r="A500" s="1">
        <v>498</v>
      </c>
      <c r="B500" t="s">
        <v>10</v>
      </c>
      <c r="C500" t="s">
        <v>475</v>
      </c>
      <c r="D500">
        <v>1803</v>
      </c>
      <c r="E500" t="s">
        <v>12</v>
      </c>
      <c r="F500" t="s">
        <v>257</v>
      </c>
      <c r="G500" t="s">
        <v>476</v>
      </c>
      <c r="H500">
        <v>3611</v>
      </c>
      <c r="K500" t="s">
        <v>87</v>
      </c>
    </row>
    <row r="501" spans="1:11" x14ac:dyDescent="0.25">
      <c r="A501" s="1">
        <v>499</v>
      </c>
      <c r="B501" t="s">
        <v>10</v>
      </c>
      <c r="C501" t="s">
        <v>475</v>
      </c>
      <c r="D501">
        <v>1804</v>
      </c>
      <c r="E501" t="s">
        <v>20</v>
      </c>
      <c r="F501" t="s">
        <v>42</v>
      </c>
      <c r="H501" t="s">
        <v>477</v>
      </c>
      <c r="K501" t="s">
        <v>87</v>
      </c>
    </row>
    <row r="502" spans="1:11" x14ac:dyDescent="0.25">
      <c r="A502" s="1">
        <v>500</v>
      </c>
      <c r="B502" t="s">
        <v>10</v>
      </c>
      <c r="C502" t="s">
        <v>475</v>
      </c>
      <c r="D502">
        <v>1805</v>
      </c>
      <c r="E502" t="s">
        <v>188</v>
      </c>
      <c r="F502" t="s">
        <v>189</v>
      </c>
      <c r="G502" t="s">
        <v>190</v>
      </c>
      <c r="H502">
        <v>3565</v>
      </c>
    </row>
    <row r="503" spans="1:11" x14ac:dyDescent="0.25">
      <c r="A503" s="1">
        <v>501</v>
      </c>
      <c r="B503" t="s">
        <v>10</v>
      </c>
      <c r="C503" t="s">
        <v>475</v>
      </c>
      <c r="D503">
        <v>1806</v>
      </c>
      <c r="E503" t="s">
        <v>400</v>
      </c>
      <c r="F503" t="s">
        <v>401</v>
      </c>
      <c r="H503" t="s">
        <v>478</v>
      </c>
      <c r="K503" t="s">
        <v>87</v>
      </c>
    </row>
    <row r="504" spans="1:11" x14ac:dyDescent="0.25">
      <c r="A504" s="1">
        <v>502</v>
      </c>
      <c r="B504" t="s">
        <v>10</v>
      </c>
      <c r="C504" t="s">
        <v>475</v>
      </c>
      <c r="D504">
        <v>1807</v>
      </c>
      <c r="E504" t="s">
        <v>298</v>
      </c>
      <c r="F504" t="s">
        <v>299</v>
      </c>
      <c r="H504">
        <v>2525</v>
      </c>
      <c r="I504">
        <v>1</v>
      </c>
      <c r="K504" t="s">
        <v>87</v>
      </c>
    </row>
    <row r="505" spans="1:11" x14ac:dyDescent="0.25">
      <c r="A505" s="1">
        <v>503</v>
      </c>
      <c r="B505" t="s">
        <v>10</v>
      </c>
      <c r="C505" t="s">
        <v>475</v>
      </c>
      <c r="D505">
        <v>1808</v>
      </c>
      <c r="E505" t="s">
        <v>67</v>
      </c>
      <c r="F505" t="s">
        <v>68</v>
      </c>
      <c r="G505" t="s">
        <v>471</v>
      </c>
    </row>
    <row r="506" spans="1:11" x14ac:dyDescent="0.25">
      <c r="A506" s="1">
        <v>504</v>
      </c>
      <c r="B506" t="s">
        <v>10</v>
      </c>
      <c r="C506" t="s">
        <v>475</v>
      </c>
      <c r="D506">
        <v>1809</v>
      </c>
      <c r="E506" t="s">
        <v>443</v>
      </c>
      <c r="F506" t="s">
        <v>444</v>
      </c>
      <c r="H506">
        <v>3656</v>
      </c>
      <c r="I506">
        <v>1</v>
      </c>
    </row>
    <row r="507" spans="1:11" x14ac:dyDescent="0.25">
      <c r="A507" s="1">
        <v>505</v>
      </c>
      <c r="B507" t="s">
        <v>10</v>
      </c>
      <c r="C507" t="s">
        <v>475</v>
      </c>
      <c r="D507">
        <v>1810</v>
      </c>
      <c r="E507" t="s">
        <v>20</v>
      </c>
      <c r="F507" t="s">
        <v>42</v>
      </c>
      <c r="K507" t="s">
        <v>87</v>
      </c>
    </row>
    <row r="508" spans="1:11" x14ac:dyDescent="0.25">
      <c r="A508" s="1">
        <v>506</v>
      </c>
      <c r="B508" t="s">
        <v>10</v>
      </c>
      <c r="C508" t="s">
        <v>475</v>
      </c>
      <c r="D508">
        <v>1811</v>
      </c>
      <c r="E508" t="s">
        <v>250</v>
      </c>
      <c r="F508" t="s">
        <v>251</v>
      </c>
      <c r="G508" t="s">
        <v>252</v>
      </c>
      <c r="H508">
        <v>3629</v>
      </c>
    </row>
    <row r="509" spans="1:11" x14ac:dyDescent="0.25">
      <c r="A509" s="1">
        <v>507</v>
      </c>
      <c r="B509" t="s">
        <v>10</v>
      </c>
      <c r="C509" t="s">
        <v>475</v>
      </c>
      <c r="D509">
        <v>1812</v>
      </c>
      <c r="E509" t="s">
        <v>240</v>
      </c>
      <c r="I509">
        <v>1</v>
      </c>
      <c r="K509" t="s">
        <v>87</v>
      </c>
    </row>
    <row r="510" spans="1:11" x14ac:dyDescent="0.25">
      <c r="A510" s="1">
        <v>508</v>
      </c>
      <c r="B510" t="s">
        <v>10</v>
      </c>
      <c r="C510" t="s">
        <v>475</v>
      </c>
      <c r="D510">
        <v>1813</v>
      </c>
      <c r="E510" t="s">
        <v>20</v>
      </c>
      <c r="F510" t="s">
        <v>42</v>
      </c>
      <c r="H510">
        <v>3657</v>
      </c>
      <c r="K510" t="s">
        <v>87</v>
      </c>
    </row>
    <row r="511" spans="1:11" x14ac:dyDescent="0.25">
      <c r="A511" s="1">
        <v>509</v>
      </c>
      <c r="B511" t="s">
        <v>10</v>
      </c>
      <c r="C511" t="s">
        <v>475</v>
      </c>
      <c r="D511">
        <v>1814</v>
      </c>
      <c r="E511" t="s">
        <v>250</v>
      </c>
      <c r="F511" t="s">
        <v>251</v>
      </c>
      <c r="G511" t="s">
        <v>252</v>
      </c>
      <c r="H511">
        <v>3629</v>
      </c>
    </row>
    <row r="512" spans="1:11" x14ac:dyDescent="0.25">
      <c r="A512" s="1">
        <v>510</v>
      </c>
      <c r="B512" t="s">
        <v>10</v>
      </c>
      <c r="C512" t="s">
        <v>475</v>
      </c>
      <c r="E512" t="s">
        <v>250</v>
      </c>
      <c r="F512" t="s">
        <v>251</v>
      </c>
      <c r="G512" t="s">
        <v>252</v>
      </c>
    </row>
    <row r="513" spans="1:11" x14ac:dyDescent="0.25">
      <c r="A513" s="1">
        <v>511</v>
      </c>
      <c r="B513" t="s">
        <v>10</v>
      </c>
      <c r="C513" t="s">
        <v>475</v>
      </c>
      <c r="D513">
        <v>1815</v>
      </c>
      <c r="E513" t="s">
        <v>240</v>
      </c>
      <c r="K513" t="s">
        <v>87</v>
      </c>
    </row>
    <row r="514" spans="1:11" x14ac:dyDescent="0.25">
      <c r="A514" s="1">
        <v>512</v>
      </c>
      <c r="B514" t="s">
        <v>10</v>
      </c>
      <c r="C514" t="s">
        <v>475</v>
      </c>
      <c r="D514">
        <v>1816</v>
      </c>
      <c r="E514" t="s">
        <v>107</v>
      </c>
      <c r="F514" t="s">
        <v>108</v>
      </c>
      <c r="G514" t="s">
        <v>105</v>
      </c>
      <c r="I514">
        <v>1</v>
      </c>
    </row>
    <row r="515" spans="1:11" x14ac:dyDescent="0.25">
      <c r="A515" s="1">
        <v>513</v>
      </c>
      <c r="B515" t="s">
        <v>10</v>
      </c>
      <c r="C515" t="s">
        <v>475</v>
      </c>
      <c r="D515">
        <v>1817</v>
      </c>
      <c r="E515" t="s">
        <v>240</v>
      </c>
      <c r="F515" t="s">
        <v>439</v>
      </c>
      <c r="G515" t="s">
        <v>440</v>
      </c>
      <c r="H515">
        <v>3641</v>
      </c>
    </row>
    <row r="516" spans="1:11" x14ac:dyDescent="0.25">
      <c r="A516" s="1">
        <v>514</v>
      </c>
      <c r="B516" t="s">
        <v>10</v>
      </c>
      <c r="C516" t="s">
        <v>475</v>
      </c>
      <c r="D516">
        <v>1818</v>
      </c>
      <c r="E516" t="s">
        <v>36</v>
      </c>
      <c r="F516" t="s">
        <v>260</v>
      </c>
      <c r="G516" t="s">
        <v>261</v>
      </c>
    </row>
    <row r="517" spans="1:11" x14ac:dyDescent="0.25">
      <c r="A517" s="1">
        <v>515</v>
      </c>
      <c r="B517" t="s">
        <v>10</v>
      </c>
      <c r="C517" t="s">
        <v>475</v>
      </c>
      <c r="D517">
        <v>1819</v>
      </c>
      <c r="E517" t="s">
        <v>55</v>
      </c>
      <c r="F517" t="s">
        <v>272</v>
      </c>
    </row>
    <row r="518" spans="1:11" x14ac:dyDescent="0.25">
      <c r="A518" s="1">
        <v>516</v>
      </c>
      <c r="B518" t="s">
        <v>10</v>
      </c>
      <c r="C518" t="s">
        <v>475</v>
      </c>
      <c r="D518">
        <v>1820</v>
      </c>
      <c r="E518" t="s">
        <v>188</v>
      </c>
      <c r="F518" t="s">
        <v>193</v>
      </c>
      <c r="G518" t="s">
        <v>194</v>
      </c>
    </row>
    <row r="519" spans="1:11" x14ac:dyDescent="0.25">
      <c r="A519" s="1">
        <v>517</v>
      </c>
      <c r="B519" t="s">
        <v>10</v>
      </c>
      <c r="C519" t="s">
        <v>475</v>
      </c>
      <c r="D519">
        <v>1821</v>
      </c>
      <c r="E519" t="s">
        <v>188</v>
      </c>
      <c r="F519" t="s">
        <v>189</v>
      </c>
      <c r="G519" t="s">
        <v>190</v>
      </c>
      <c r="H519">
        <v>3565</v>
      </c>
    </row>
    <row r="520" spans="1:11" x14ac:dyDescent="0.25">
      <c r="A520" s="1">
        <v>518</v>
      </c>
      <c r="B520" t="s">
        <v>10</v>
      </c>
      <c r="C520" t="s">
        <v>475</v>
      </c>
      <c r="D520">
        <v>1822</v>
      </c>
      <c r="E520" t="s">
        <v>39</v>
      </c>
      <c r="F520" t="s">
        <v>88</v>
      </c>
      <c r="G520" t="s">
        <v>270</v>
      </c>
      <c r="H520">
        <v>3578</v>
      </c>
    </row>
    <row r="521" spans="1:11" x14ac:dyDescent="0.25">
      <c r="A521" s="1">
        <v>519</v>
      </c>
      <c r="B521" t="s">
        <v>10</v>
      </c>
      <c r="C521" t="s">
        <v>475</v>
      </c>
      <c r="D521">
        <v>1823</v>
      </c>
      <c r="E521" t="s">
        <v>27</v>
      </c>
      <c r="F521" t="s">
        <v>28</v>
      </c>
      <c r="H521" t="s">
        <v>479</v>
      </c>
      <c r="K521" t="s">
        <v>87</v>
      </c>
    </row>
    <row r="522" spans="1:11" x14ac:dyDescent="0.25">
      <c r="A522" s="1">
        <v>520</v>
      </c>
      <c r="B522" t="s">
        <v>10</v>
      </c>
      <c r="C522" t="s">
        <v>475</v>
      </c>
      <c r="D522">
        <v>1824</v>
      </c>
      <c r="E522" t="s">
        <v>39</v>
      </c>
      <c r="F522" t="s">
        <v>88</v>
      </c>
      <c r="G522" t="s">
        <v>270</v>
      </c>
      <c r="H522">
        <v>3578</v>
      </c>
    </row>
    <row r="523" spans="1:11" x14ac:dyDescent="0.25">
      <c r="A523" s="1">
        <v>521</v>
      </c>
      <c r="B523" t="s">
        <v>10</v>
      </c>
      <c r="C523" t="s">
        <v>475</v>
      </c>
      <c r="D523">
        <v>1825</v>
      </c>
      <c r="E523" t="s">
        <v>122</v>
      </c>
    </row>
    <row r="524" spans="1:11" x14ac:dyDescent="0.25">
      <c r="A524" s="1">
        <v>522</v>
      </c>
      <c r="B524" t="s">
        <v>10</v>
      </c>
      <c r="C524" t="s">
        <v>475</v>
      </c>
      <c r="D524">
        <v>1826</v>
      </c>
      <c r="E524" t="s">
        <v>298</v>
      </c>
      <c r="F524" t="s">
        <v>299</v>
      </c>
    </row>
    <row r="525" spans="1:11" x14ac:dyDescent="0.25">
      <c r="A525" s="1">
        <v>523</v>
      </c>
      <c r="B525" t="s">
        <v>10</v>
      </c>
      <c r="C525" t="s">
        <v>475</v>
      </c>
      <c r="D525">
        <v>1827</v>
      </c>
      <c r="E525" t="s">
        <v>36</v>
      </c>
      <c r="F525" t="s">
        <v>230</v>
      </c>
      <c r="G525" t="s">
        <v>19</v>
      </c>
    </row>
    <row r="526" spans="1:11" x14ac:dyDescent="0.25">
      <c r="A526" s="1">
        <v>524</v>
      </c>
      <c r="B526" t="s">
        <v>10</v>
      </c>
      <c r="C526" t="s">
        <v>475</v>
      </c>
      <c r="D526">
        <v>1828</v>
      </c>
      <c r="E526" t="s">
        <v>107</v>
      </c>
      <c r="F526" t="s">
        <v>108</v>
      </c>
      <c r="G526" t="s">
        <v>105</v>
      </c>
    </row>
    <row r="527" spans="1:11" x14ac:dyDescent="0.25">
      <c r="A527" s="1">
        <v>525</v>
      </c>
      <c r="B527" t="s">
        <v>10</v>
      </c>
      <c r="C527" t="s">
        <v>475</v>
      </c>
      <c r="D527">
        <v>1830</v>
      </c>
      <c r="E527" t="s">
        <v>20</v>
      </c>
      <c r="F527" t="s">
        <v>42</v>
      </c>
      <c r="G527" t="s">
        <v>296</v>
      </c>
      <c r="H527">
        <v>3660</v>
      </c>
      <c r="K527" t="s">
        <v>87</v>
      </c>
    </row>
    <row r="528" spans="1:11" x14ac:dyDescent="0.25">
      <c r="A528" s="1">
        <v>526</v>
      </c>
      <c r="B528" t="s">
        <v>10</v>
      </c>
      <c r="C528" t="s">
        <v>475</v>
      </c>
      <c r="D528">
        <v>1831</v>
      </c>
      <c r="E528" t="s">
        <v>27</v>
      </c>
      <c r="F528" t="s">
        <v>28</v>
      </c>
      <c r="H528">
        <v>3670</v>
      </c>
      <c r="I528">
        <v>1</v>
      </c>
    </row>
    <row r="529" spans="1:11" x14ac:dyDescent="0.25">
      <c r="A529" s="1">
        <v>527</v>
      </c>
      <c r="B529" t="s">
        <v>10</v>
      </c>
      <c r="C529" t="s">
        <v>475</v>
      </c>
      <c r="D529">
        <v>1832</v>
      </c>
      <c r="E529" t="s">
        <v>55</v>
      </c>
      <c r="F529" t="s">
        <v>272</v>
      </c>
      <c r="H529" t="s">
        <v>480</v>
      </c>
    </row>
    <row r="530" spans="1:11" x14ac:dyDescent="0.25">
      <c r="A530" s="1">
        <v>528</v>
      </c>
      <c r="B530" t="s">
        <v>10</v>
      </c>
      <c r="C530" t="s">
        <v>475</v>
      </c>
      <c r="D530">
        <v>1833</v>
      </c>
      <c r="H530">
        <v>3658</v>
      </c>
      <c r="K530" t="s">
        <v>87</v>
      </c>
    </row>
    <row r="531" spans="1:11" x14ac:dyDescent="0.25">
      <c r="A531" s="1">
        <v>529</v>
      </c>
      <c r="B531" t="s">
        <v>10</v>
      </c>
      <c r="C531" t="s">
        <v>475</v>
      </c>
      <c r="D531">
        <v>1834</v>
      </c>
      <c r="E531" t="s">
        <v>95</v>
      </c>
      <c r="H531" t="s">
        <v>481</v>
      </c>
    </row>
    <row r="532" spans="1:11" x14ac:dyDescent="0.25">
      <c r="A532" s="1">
        <v>530</v>
      </c>
      <c r="B532" t="s">
        <v>10</v>
      </c>
      <c r="C532" t="s">
        <v>475</v>
      </c>
      <c r="D532">
        <v>1835</v>
      </c>
      <c r="E532" t="s">
        <v>240</v>
      </c>
      <c r="F532" t="s">
        <v>439</v>
      </c>
      <c r="G532" t="s">
        <v>440</v>
      </c>
      <c r="H532" t="s">
        <v>482</v>
      </c>
    </row>
    <row r="533" spans="1:11" x14ac:dyDescent="0.25">
      <c r="A533" s="1">
        <v>531</v>
      </c>
      <c r="B533" t="s">
        <v>10</v>
      </c>
      <c r="C533" t="s">
        <v>475</v>
      </c>
      <c r="D533">
        <v>1836</v>
      </c>
      <c r="E533" t="s">
        <v>36</v>
      </c>
      <c r="F533" t="s">
        <v>37</v>
      </c>
      <c r="G533" t="s">
        <v>483</v>
      </c>
      <c r="H533" t="s">
        <v>484</v>
      </c>
    </row>
    <row r="534" spans="1:11" x14ac:dyDescent="0.25">
      <c r="A534" s="1">
        <v>532</v>
      </c>
      <c r="B534" t="s">
        <v>10</v>
      </c>
      <c r="C534" t="s">
        <v>475</v>
      </c>
      <c r="D534">
        <v>1837</v>
      </c>
      <c r="E534" t="s">
        <v>107</v>
      </c>
      <c r="F534" t="s">
        <v>108</v>
      </c>
      <c r="G534" t="s">
        <v>105</v>
      </c>
    </row>
    <row r="535" spans="1:11" x14ac:dyDescent="0.25">
      <c r="A535" s="1">
        <v>533</v>
      </c>
      <c r="B535" t="s">
        <v>10</v>
      </c>
      <c r="C535" t="s">
        <v>475</v>
      </c>
      <c r="E535" t="s">
        <v>55</v>
      </c>
      <c r="F535" t="s">
        <v>272</v>
      </c>
    </row>
    <row r="536" spans="1:11" x14ac:dyDescent="0.25">
      <c r="A536" s="1">
        <v>534</v>
      </c>
      <c r="B536" t="s">
        <v>10</v>
      </c>
      <c r="C536" t="s">
        <v>475</v>
      </c>
      <c r="E536" t="s">
        <v>198</v>
      </c>
      <c r="F536" t="s">
        <v>485</v>
      </c>
    </row>
    <row r="537" spans="1:11" x14ac:dyDescent="0.25">
      <c r="A537" s="1">
        <v>535</v>
      </c>
      <c r="B537" t="s">
        <v>10</v>
      </c>
      <c r="C537" t="s">
        <v>475</v>
      </c>
      <c r="E537" t="s">
        <v>486</v>
      </c>
    </row>
    <row r="538" spans="1:11" x14ac:dyDescent="0.25">
      <c r="A538" s="1">
        <v>536</v>
      </c>
      <c r="B538" t="s">
        <v>10</v>
      </c>
      <c r="C538" t="s">
        <v>487</v>
      </c>
      <c r="D538">
        <v>1838</v>
      </c>
      <c r="E538" t="s">
        <v>36</v>
      </c>
      <c r="F538" t="s">
        <v>260</v>
      </c>
      <c r="G538" t="s">
        <v>261</v>
      </c>
      <c r="H538">
        <f>3642</f>
        <v>3642</v>
      </c>
    </row>
    <row r="539" spans="1:11" x14ac:dyDescent="0.25">
      <c r="A539" s="1">
        <v>537</v>
      </c>
      <c r="B539" t="s">
        <v>10</v>
      </c>
      <c r="C539" t="s">
        <v>487</v>
      </c>
      <c r="D539">
        <v>1839</v>
      </c>
      <c r="E539" t="s">
        <v>188</v>
      </c>
      <c r="F539" t="s">
        <v>193</v>
      </c>
      <c r="G539" t="s">
        <v>194</v>
      </c>
    </row>
    <row r="540" spans="1:11" x14ac:dyDescent="0.25">
      <c r="A540" s="1">
        <v>538</v>
      </c>
      <c r="B540" t="s">
        <v>10</v>
      </c>
      <c r="C540" t="s">
        <v>487</v>
      </c>
      <c r="D540">
        <v>1840</v>
      </c>
      <c r="E540" t="s">
        <v>36</v>
      </c>
      <c r="F540" t="s">
        <v>37</v>
      </c>
      <c r="G540" t="s">
        <v>468</v>
      </c>
      <c r="H540">
        <f>3619</f>
        <v>3619</v>
      </c>
    </row>
    <row r="541" spans="1:11" x14ac:dyDescent="0.25">
      <c r="A541" s="1">
        <v>539</v>
      </c>
      <c r="B541" t="s">
        <v>10</v>
      </c>
      <c r="C541" t="s">
        <v>487</v>
      </c>
      <c r="D541">
        <v>1841</v>
      </c>
      <c r="E541" t="s">
        <v>95</v>
      </c>
      <c r="F541" t="s">
        <v>204</v>
      </c>
      <c r="G541" t="s">
        <v>229</v>
      </c>
      <c r="H541">
        <f>3568</f>
        <v>3568</v>
      </c>
    </row>
    <row r="542" spans="1:11" x14ac:dyDescent="0.25">
      <c r="A542" s="1">
        <v>540</v>
      </c>
      <c r="B542" t="s">
        <v>10</v>
      </c>
      <c r="C542" t="s">
        <v>487</v>
      </c>
      <c r="D542">
        <v>1842</v>
      </c>
      <c r="E542" t="s">
        <v>107</v>
      </c>
      <c r="F542" t="s">
        <v>108</v>
      </c>
      <c r="G542" t="s">
        <v>105</v>
      </c>
    </row>
    <row r="543" spans="1:11" x14ac:dyDescent="0.25">
      <c r="A543" s="1">
        <v>541</v>
      </c>
      <c r="B543" t="s">
        <v>10</v>
      </c>
      <c r="C543" t="s">
        <v>487</v>
      </c>
      <c r="D543">
        <v>1843</v>
      </c>
      <c r="E543" t="s">
        <v>188</v>
      </c>
      <c r="F543" t="s">
        <v>193</v>
      </c>
      <c r="G543" t="s">
        <v>194</v>
      </c>
    </row>
    <row r="544" spans="1:11" x14ac:dyDescent="0.25">
      <c r="A544" s="1">
        <v>542</v>
      </c>
      <c r="B544" t="s">
        <v>10</v>
      </c>
      <c r="C544" t="s">
        <v>487</v>
      </c>
      <c r="D544">
        <v>1844</v>
      </c>
      <c r="E544" t="s">
        <v>20</v>
      </c>
      <c r="H544">
        <f>3631</f>
        <v>3631</v>
      </c>
    </row>
    <row r="545" spans="1:8" x14ac:dyDescent="0.25">
      <c r="A545" s="1">
        <v>543</v>
      </c>
      <c r="B545" t="s">
        <v>10</v>
      </c>
      <c r="C545" t="s">
        <v>487</v>
      </c>
      <c r="D545">
        <v>1845</v>
      </c>
    </row>
    <row r="546" spans="1:8" x14ac:dyDescent="0.25">
      <c r="A546" s="1">
        <v>544</v>
      </c>
      <c r="B546" t="s">
        <v>10</v>
      </c>
      <c r="C546" t="s">
        <v>487</v>
      </c>
      <c r="D546">
        <v>1846</v>
      </c>
      <c r="H546" t="s">
        <v>488</v>
      </c>
    </row>
    <row r="547" spans="1:8" x14ac:dyDescent="0.25">
      <c r="A547" s="1">
        <v>545</v>
      </c>
      <c r="B547" t="s">
        <v>10</v>
      </c>
      <c r="C547" t="s">
        <v>487</v>
      </c>
      <c r="D547">
        <v>1847</v>
      </c>
      <c r="E547" t="s">
        <v>20</v>
      </c>
      <c r="F547" t="s">
        <v>455</v>
      </c>
      <c r="G547" t="s">
        <v>456</v>
      </c>
      <c r="H547" t="s">
        <v>489</v>
      </c>
    </row>
    <row r="548" spans="1:8" x14ac:dyDescent="0.25">
      <c r="A548" s="1">
        <v>546</v>
      </c>
      <c r="B548" t="s">
        <v>10</v>
      </c>
      <c r="C548" t="s">
        <v>487</v>
      </c>
      <c r="D548">
        <v>1848</v>
      </c>
      <c r="E548" t="s">
        <v>55</v>
      </c>
      <c r="F548" t="s">
        <v>272</v>
      </c>
    </row>
    <row r="549" spans="1:8" x14ac:dyDescent="0.25">
      <c r="A549" s="1">
        <v>547</v>
      </c>
      <c r="B549" t="s">
        <v>10</v>
      </c>
      <c r="C549" t="s">
        <v>487</v>
      </c>
      <c r="D549">
        <v>1849</v>
      </c>
      <c r="E549" t="s">
        <v>95</v>
      </c>
      <c r="F549" t="s">
        <v>96</v>
      </c>
      <c r="G549" t="s">
        <v>490</v>
      </c>
      <c r="H549">
        <f>3636</f>
        <v>3636</v>
      </c>
    </row>
    <row r="550" spans="1:8" x14ac:dyDescent="0.25">
      <c r="A550" s="1">
        <v>548</v>
      </c>
      <c r="B550" t="s">
        <v>10</v>
      </c>
      <c r="C550" t="s">
        <v>487</v>
      </c>
      <c r="D550">
        <v>1850</v>
      </c>
      <c r="E550" t="s">
        <v>36</v>
      </c>
      <c r="F550" t="s">
        <v>124</v>
      </c>
      <c r="H550" t="s">
        <v>491</v>
      </c>
    </row>
    <row r="551" spans="1:8" x14ac:dyDescent="0.25">
      <c r="A551" s="1">
        <v>549</v>
      </c>
      <c r="B551" t="s">
        <v>10</v>
      </c>
      <c r="C551" t="s">
        <v>487</v>
      </c>
      <c r="D551">
        <v>1851</v>
      </c>
      <c r="E551" t="s">
        <v>24</v>
      </c>
      <c r="F551" t="s">
        <v>212</v>
      </c>
      <c r="G551" t="s">
        <v>213</v>
      </c>
    </row>
    <row r="552" spans="1:8" x14ac:dyDescent="0.25">
      <c r="A552" s="1">
        <v>550</v>
      </c>
      <c r="B552" t="s">
        <v>10</v>
      </c>
      <c r="C552" t="s">
        <v>487</v>
      </c>
      <c r="D552">
        <v>1852</v>
      </c>
      <c r="E552" t="s">
        <v>492</v>
      </c>
      <c r="F552" t="s">
        <v>96</v>
      </c>
      <c r="H552" t="s">
        <v>493</v>
      </c>
    </row>
    <row r="553" spans="1:8" x14ac:dyDescent="0.25">
      <c r="A553" s="1">
        <v>551</v>
      </c>
      <c r="B553" t="s">
        <v>10</v>
      </c>
      <c r="C553" t="s">
        <v>487</v>
      </c>
      <c r="D553">
        <v>1853</v>
      </c>
      <c r="E553" t="s">
        <v>24</v>
      </c>
      <c r="F553" t="s">
        <v>212</v>
      </c>
      <c r="G553" t="s">
        <v>213</v>
      </c>
    </row>
    <row r="554" spans="1:8" x14ac:dyDescent="0.25">
      <c r="A554" s="1">
        <v>552</v>
      </c>
      <c r="B554" t="s">
        <v>10</v>
      </c>
      <c r="C554" t="s">
        <v>487</v>
      </c>
      <c r="D554">
        <v>1854</v>
      </c>
      <c r="E554" t="s">
        <v>95</v>
      </c>
      <c r="F554" t="s">
        <v>119</v>
      </c>
      <c r="G554" t="s">
        <v>494</v>
      </c>
      <c r="H554" t="s">
        <v>495</v>
      </c>
    </row>
    <row r="555" spans="1:8" x14ac:dyDescent="0.25">
      <c r="A555" s="1">
        <v>553</v>
      </c>
      <c r="B555" t="s">
        <v>10</v>
      </c>
      <c r="C555" t="s">
        <v>487</v>
      </c>
      <c r="D555">
        <v>1855</v>
      </c>
      <c r="E555" t="s">
        <v>240</v>
      </c>
      <c r="F555" t="s">
        <v>439</v>
      </c>
      <c r="G555" t="s">
        <v>440</v>
      </c>
      <c r="H555" t="s">
        <v>496</v>
      </c>
    </row>
    <row r="556" spans="1:8" x14ac:dyDescent="0.25">
      <c r="A556" s="1">
        <v>554</v>
      </c>
      <c r="B556" t="s">
        <v>10</v>
      </c>
      <c r="C556" t="s">
        <v>487</v>
      </c>
      <c r="D556">
        <v>1856</v>
      </c>
      <c r="E556" t="s">
        <v>20</v>
      </c>
      <c r="F556" t="s">
        <v>42</v>
      </c>
      <c r="G556" t="s">
        <v>497</v>
      </c>
      <c r="H556" t="s">
        <v>498</v>
      </c>
    </row>
    <row r="557" spans="1:8" x14ac:dyDescent="0.25">
      <c r="A557" s="1">
        <v>555</v>
      </c>
      <c r="B557" t="s">
        <v>10</v>
      </c>
      <c r="C557" t="s">
        <v>487</v>
      </c>
      <c r="D557">
        <v>1857</v>
      </c>
      <c r="E557" t="s">
        <v>55</v>
      </c>
      <c r="F557" t="s">
        <v>272</v>
      </c>
    </row>
    <row r="558" spans="1:8" x14ac:dyDescent="0.25">
      <c r="A558" s="1">
        <v>556</v>
      </c>
      <c r="B558" t="s">
        <v>10</v>
      </c>
      <c r="C558" t="s">
        <v>487</v>
      </c>
      <c r="D558">
        <v>1858</v>
      </c>
      <c r="E558" t="s">
        <v>20</v>
      </c>
      <c r="F558" t="s">
        <v>499</v>
      </c>
      <c r="G558" t="s">
        <v>500</v>
      </c>
      <c r="H558" t="s">
        <v>501</v>
      </c>
    </row>
    <row r="559" spans="1:8" x14ac:dyDescent="0.25">
      <c r="A559" s="1">
        <v>557</v>
      </c>
      <c r="B559" t="s">
        <v>10</v>
      </c>
      <c r="C559" t="s">
        <v>487</v>
      </c>
      <c r="D559">
        <v>1859</v>
      </c>
    </row>
    <row r="560" spans="1:8" x14ac:dyDescent="0.25">
      <c r="A560" s="1">
        <v>558</v>
      </c>
      <c r="B560" t="s">
        <v>10</v>
      </c>
      <c r="C560" t="s">
        <v>487</v>
      </c>
      <c r="D560">
        <v>1860</v>
      </c>
    </row>
    <row r="561" spans="1:11" x14ac:dyDescent="0.25">
      <c r="A561" s="1">
        <v>559</v>
      </c>
      <c r="B561" t="s">
        <v>10</v>
      </c>
      <c r="C561" t="s">
        <v>487</v>
      </c>
      <c r="D561">
        <v>1861</v>
      </c>
      <c r="E561" t="s">
        <v>107</v>
      </c>
      <c r="F561" t="s">
        <v>108</v>
      </c>
      <c r="G561" t="s">
        <v>105</v>
      </c>
    </row>
    <row r="562" spans="1:11" x14ac:dyDescent="0.25">
      <c r="A562" s="1">
        <v>560</v>
      </c>
      <c r="B562" t="s">
        <v>10</v>
      </c>
      <c r="C562" t="s">
        <v>487</v>
      </c>
      <c r="D562">
        <v>1862</v>
      </c>
      <c r="E562" t="s">
        <v>267</v>
      </c>
      <c r="F562" t="s">
        <v>199</v>
      </c>
      <c r="G562" t="s">
        <v>200</v>
      </c>
    </row>
    <row r="563" spans="1:11" x14ac:dyDescent="0.25">
      <c r="A563" s="1">
        <v>561</v>
      </c>
      <c r="B563" t="s">
        <v>10</v>
      </c>
      <c r="C563" t="s">
        <v>487</v>
      </c>
      <c r="D563">
        <v>1863</v>
      </c>
      <c r="E563" t="s">
        <v>12</v>
      </c>
      <c r="H563">
        <f>2505</f>
        <v>2505</v>
      </c>
    </row>
    <row r="564" spans="1:11" x14ac:dyDescent="0.25">
      <c r="A564" s="1">
        <v>562</v>
      </c>
      <c r="B564" t="s">
        <v>10</v>
      </c>
      <c r="C564" t="s">
        <v>487</v>
      </c>
      <c r="D564">
        <v>1864</v>
      </c>
      <c r="E564" t="s">
        <v>36</v>
      </c>
      <c r="F564" t="s">
        <v>260</v>
      </c>
      <c r="G564" t="s">
        <v>261</v>
      </c>
      <c r="H564" t="s">
        <v>502</v>
      </c>
    </row>
    <row r="565" spans="1:11" x14ac:dyDescent="0.25">
      <c r="A565" s="1">
        <v>563</v>
      </c>
      <c r="B565" t="s">
        <v>10</v>
      </c>
      <c r="C565" t="s">
        <v>487</v>
      </c>
      <c r="D565">
        <v>1865</v>
      </c>
      <c r="E565" t="s">
        <v>250</v>
      </c>
      <c r="F565" t="s">
        <v>251</v>
      </c>
      <c r="G565" t="s">
        <v>252</v>
      </c>
      <c r="H565">
        <f>3629</f>
        <v>3629</v>
      </c>
    </row>
    <row r="566" spans="1:11" x14ac:dyDescent="0.25">
      <c r="A566" s="1">
        <v>564</v>
      </c>
      <c r="B566" t="s">
        <v>10</v>
      </c>
      <c r="C566" t="s">
        <v>487</v>
      </c>
      <c r="D566">
        <v>1866</v>
      </c>
      <c r="E566" t="s">
        <v>95</v>
      </c>
      <c r="F566" t="s">
        <v>204</v>
      </c>
      <c r="G566" t="s">
        <v>229</v>
      </c>
      <c r="H566">
        <f>3568</f>
        <v>3568</v>
      </c>
    </row>
    <row r="567" spans="1:11" x14ac:dyDescent="0.25">
      <c r="A567" s="1">
        <v>565</v>
      </c>
      <c r="B567" t="s">
        <v>10</v>
      </c>
      <c r="C567" t="s">
        <v>487</v>
      </c>
      <c r="D567">
        <v>1867</v>
      </c>
      <c r="E567" t="s">
        <v>95</v>
      </c>
      <c r="F567" t="s">
        <v>96</v>
      </c>
      <c r="G567" t="s">
        <v>214</v>
      </c>
    </row>
    <row r="568" spans="1:11" x14ac:dyDescent="0.25">
      <c r="A568" s="1">
        <v>566</v>
      </c>
      <c r="B568" t="s">
        <v>10</v>
      </c>
      <c r="C568" t="s">
        <v>487</v>
      </c>
      <c r="D568">
        <v>1868</v>
      </c>
      <c r="E568" t="s">
        <v>36</v>
      </c>
      <c r="F568" t="s">
        <v>37</v>
      </c>
      <c r="G568" t="s">
        <v>468</v>
      </c>
      <c r="H568">
        <f>3619</f>
        <v>3619</v>
      </c>
    </row>
    <row r="569" spans="1:11" x14ac:dyDescent="0.25">
      <c r="A569" s="1">
        <v>567</v>
      </c>
      <c r="B569" t="s">
        <v>10</v>
      </c>
      <c r="C569" t="s">
        <v>487</v>
      </c>
      <c r="D569">
        <v>1869</v>
      </c>
      <c r="E569" t="s">
        <v>265</v>
      </c>
      <c r="H569">
        <f>3600</f>
        <v>3600</v>
      </c>
    </row>
    <row r="570" spans="1:11" x14ac:dyDescent="0.25">
      <c r="A570" s="1">
        <v>568</v>
      </c>
      <c r="B570" t="s">
        <v>10</v>
      </c>
      <c r="C570" t="s">
        <v>487</v>
      </c>
      <c r="D570">
        <v>1870</v>
      </c>
      <c r="E570" t="s">
        <v>95</v>
      </c>
      <c r="F570" t="s">
        <v>96</v>
      </c>
      <c r="G570" t="s">
        <v>490</v>
      </c>
      <c r="H570" t="s">
        <v>503</v>
      </c>
    </row>
    <row r="571" spans="1:11" x14ac:dyDescent="0.25">
      <c r="A571" s="1">
        <v>569</v>
      </c>
      <c r="B571" t="s">
        <v>10</v>
      </c>
      <c r="C571" t="s">
        <v>504</v>
      </c>
      <c r="D571">
        <v>1872</v>
      </c>
      <c r="H571" t="s">
        <v>505</v>
      </c>
      <c r="K571" t="s">
        <v>87</v>
      </c>
    </row>
    <row r="572" spans="1:11" x14ac:dyDescent="0.25">
      <c r="A572" s="1">
        <v>570</v>
      </c>
      <c r="B572" t="s">
        <v>10</v>
      </c>
      <c r="C572" t="s">
        <v>504</v>
      </c>
      <c r="D572">
        <v>1874</v>
      </c>
      <c r="E572" t="s">
        <v>304</v>
      </c>
      <c r="F572" t="s">
        <v>305</v>
      </c>
      <c r="H572">
        <f>3568</f>
        <v>3568</v>
      </c>
    </row>
    <row r="573" spans="1:11" x14ac:dyDescent="0.25">
      <c r="A573" s="1">
        <v>571</v>
      </c>
      <c r="B573" t="s">
        <v>10</v>
      </c>
      <c r="C573" t="s">
        <v>504</v>
      </c>
      <c r="D573">
        <v>1875</v>
      </c>
      <c r="E573" t="s">
        <v>198</v>
      </c>
      <c r="F573" t="s">
        <v>506</v>
      </c>
    </row>
    <row r="574" spans="1:11" x14ac:dyDescent="0.25">
      <c r="A574" s="1">
        <v>572</v>
      </c>
      <c r="B574" t="s">
        <v>10</v>
      </c>
      <c r="C574" t="s">
        <v>504</v>
      </c>
      <c r="D574">
        <v>1879</v>
      </c>
      <c r="E574" t="s">
        <v>198</v>
      </c>
      <c r="F574" t="s">
        <v>506</v>
      </c>
    </row>
    <row r="575" spans="1:11" x14ac:dyDescent="0.25">
      <c r="A575" s="1">
        <v>573</v>
      </c>
      <c r="B575" t="s">
        <v>10</v>
      </c>
      <c r="C575" t="s">
        <v>504</v>
      </c>
      <c r="D575">
        <v>1890</v>
      </c>
      <c r="E575" t="s">
        <v>12</v>
      </c>
      <c r="F575" t="s">
        <v>283</v>
      </c>
    </row>
    <row r="576" spans="1:11" x14ac:dyDescent="0.25">
      <c r="A576" s="1">
        <v>574</v>
      </c>
      <c r="B576" t="s">
        <v>10</v>
      </c>
      <c r="C576" t="s">
        <v>504</v>
      </c>
      <c r="D576">
        <v>1905</v>
      </c>
      <c r="E576" t="s">
        <v>36</v>
      </c>
      <c r="F576" t="s">
        <v>37</v>
      </c>
      <c r="H576">
        <f>3609</f>
        <v>3609</v>
      </c>
      <c r="K576" t="s">
        <v>87</v>
      </c>
    </row>
    <row r="577" spans="1:11" x14ac:dyDescent="0.25">
      <c r="A577" s="1">
        <v>575</v>
      </c>
      <c r="B577" t="s">
        <v>10</v>
      </c>
      <c r="C577" t="s">
        <v>504</v>
      </c>
      <c r="D577">
        <v>1910</v>
      </c>
      <c r="E577" t="s">
        <v>198</v>
      </c>
      <c r="F577" t="s">
        <v>506</v>
      </c>
    </row>
    <row r="578" spans="1:11" x14ac:dyDescent="0.25">
      <c r="A578" s="1">
        <v>576</v>
      </c>
      <c r="B578" t="s">
        <v>10</v>
      </c>
      <c r="C578" t="s">
        <v>504</v>
      </c>
      <c r="D578">
        <v>1911</v>
      </c>
      <c r="E578" t="s">
        <v>198</v>
      </c>
      <c r="F578" t="s">
        <v>506</v>
      </c>
    </row>
    <row r="579" spans="1:11" x14ac:dyDescent="0.25">
      <c r="A579" s="1">
        <v>577</v>
      </c>
      <c r="B579" t="s">
        <v>10</v>
      </c>
      <c r="C579" t="s">
        <v>504</v>
      </c>
      <c r="D579">
        <v>1912</v>
      </c>
      <c r="E579" t="s">
        <v>198</v>
      </c>
      <c r="F579" t="s">
        <v>506</v>
      </c>
    </row>
    <row r="580" spans="1:11" x14ac:dyDescent="0.25">
      <c r="A580" s="1">
        <v>578</v>
      </c>
      <c r="B580" t="s">
        <v>10</v>
      </c>
      <c r="C580" t="s">
        <v>504</v>
      </c>
      <c r="D580">
        <v>1871</v>
      </c>
      <c r="E580" t="s">
        <v>188</v>
      </c>
    </row>
    <row r="581" spans="1:11" x14ac:dyDescent="0.25">
      <c r="A581" s="1">
        <v>579</v>
      </c>
      <c r="B581" t="s">
        <v>10</v>
      </c>
      <c r="C581" t="s">
        <v>504</v>
      </c>
      <c r="D581">
        <v>1873</v>
      </c>
      <c r="E581" t="s">
        <v>36</v>
      </c>
      <c r="F581" t="s">
        <v>37</v>
      </c>
      <c r="G581" t="s">
        <v>507</v>
      </c>
      <c r="H581" t="s">
        <v>508</v>
      </c>
    </row>
    <row r="582" spans="1:11" x14ac:dyDescent="0.25">
      <c r="A582" s="1">
        <v>580</v>
      </c>
      <c r="B582" t="s">
        <v>10</v>
      </c>
      <c r="C582" t="s">
        <v>504</v>
      </c>
      <c r="D582">
        <v>1876</v>
      </c>
      <c r="E582" t="s">
        <v>240</v>
      </c>
      <c r="F582" t="s">
        <v>439</v>
      </c>
      <c r="G582" t="s">
        <v>440</v>
      </c>
    </row>
    <row r="583" spans="1:11" x14ac:dyDescent="0.25">
      <c r="A583" s="1">
        <v>581</v>
      </c>
      <c r="B583" t="s">
        <v>10</v>
      </c>
      <c r="C583" t="s">
        <v>504</v>
      </c>
      <c r="D583">
        <v>1877</v>
      </c>
      <c r="E583" t="s">
        <v>20</v>
      </c>
      <c r="F583" t="s">
        <v>42</v>
      </c>
      <c r="G583" t="s">
        <v>296</v>
      </c>
      <c r="H583">
        <f>3615</f>
        <v>3615</v>
      </c>
    </row>
    <row r="584" spans="1:11" x14ac:dyDescent="0.25">
      <c r="A584" s="1">
        <v>582</v>
      </c>
      <c r="B584" t="s">
        <v>10</v>
      </c>
      <c r="C584" t="s">
        <v>504</v>
      </c>
      <c r="D584">
        <v>1878</v>
      </c>
      <c r="E584" t="s">
        <v>67</v>
      </c>
      <c r="F584" t="s">
        <v>68</v>
      </c>
      <c r="G584" t="s">
        <v>471</v>
      </c>
      <c r="H584" t="s">
        <v>509</v>
      </c>
    </row>
    <row r="585" spans="1:11" x14ac:dyDescent="0.25">
      <c r="A585" s="1">
        <v>583</v>
      </c>
      <c r="B585" t="s">
        <v>10</v>
      </c>
      <c r="C585" t="s">
        <v>504</v>
      </c>
      <c r="D585">
        <v>1880</v>
      </c>
      <c r="E585" t="s">
        <v>20</v>
      </c>
      <c r="F585" t="s">
        <v>42</v>
      </c>
      <c r="G585" t="s">
        <v>296</v>
      </c>
      <c r="H585" t="s">
        <v>510</v>
      </c>
    </row>
    <row r="586" spans="1:11" x14ac:dyDescent="0.25">
      <c r="A586" s="1">
        <v>584</v>
      </c>
      <c r="B586" t="s">
        <v>10</v>
      </c>
      <c r="C586" t="s">
        <v>504</v>
      </c>
      <c r="D586">
        <v>1881</v>
      </c>
      <c r="E586" t="s">
        <v>274</v>
      </c>
      <c r="F586" t="s">
        <v>275</v>
      </c>
      <c r="G586" t="s">
        <v>276</v>
      </c>
    </row>
    <row r="587" spans="1:11" x14ac:dyDescent="0.25">
      <c r="A587" s="1">
        <v>585</v>
      </c>
      <c r="B587" t="s">
        <v>10</v>
      </c>
      <c r="C587" t="s">
        <v>504</v>
      </c>
      <c r="D587">
        <v>1882</v>
      </c>
      <c r="E587" t="s">
        <v>443</v>
      </c>
      <c r="F587" t="s">
        <v>444</v>
      </c>
      <c r="G587" t="s">
        <v>511</v>
      </c>
      <c r="H587" t="s">
        <v>512</v>
      </c>
      <c r="K587" t="s">
        <v>87</v>
      </c>
    </row>
    <row r="588" spans="1:11" x14ac:dyDescent="0.25">
      <c r="A588" s="1">
        <v>586</v>
      </c>
      <c r="B588" t="s">
        <v>10</v>
      </c>
      <c r="C588" t="s">
        <v>504</v>
      </c>
      <c r="D588">
        <v>1883</v>
      </c>
      <c r="E588" t="s">
        <v>12</v>
      </c>
      <c r="F588" t="s">
        <v>257</v>
      </c>
      <c r="G588" t="s">
        <v>294</v>
      </c>
      <c r="H588">
        <f>3611</f>
        <v>3611</v>
      </c>
    </row>
    <row r="589" spans="1:11" x14ac:dyDescent="0.25">
      <c r="A589" s="1">
        <v>587</v>
      </c>
      <c r="B589" t="s">
        <v>10</v>
      </c>
      <c r="C589" t="s">
        <v>504</v>
      </c>
      <c r="D589">
        <v>1884</v>
      </c>
      <c r="E589" t="s">
        <v>17</v>
      </c>
      <c r="F589" t="s">
        <v>299</v>
      </c>
    </row>
    <row r="590" spans="1:11" x14ac:dyDescent="0.25">
      <c r="A590" s="1">
        <v>588</v>
      </c>
      <c r="B590" t="s">
        <v>10</v>
      </c>
      <c r="C590" t="s">
        <v>504</v>
      </c>
      <c r="D590">
        <v>1885</v>
      </c>
      <c r="E590" t="s">
        <v>12</v>
      </c>
      <c r="F590" t="s">
        <v>257</v>
      </c>
      <c r="G590" t="s">
        <v>294</v>
      </c>
      <c r="H590">
        <f>3611</f>
        <v>3611</v>
      </c>
    </row>
    <row r="591" spans="1:11" x14ac:dyDescent="0.25">
      <c r="A591" s="1">
        <v>589</v>
      </c>
      <c r="B591" t="s">
        <v>10</v>
      </c>
      <c r="C591" t="s">
        <v>504</v>
      </c>
      <c r="D591">
        <v>1886</v>
      </c>
      <c r="E591" t="s">
        <v>36</v>
      </c>
      <c r="F591" t="s">
        <v>260</v>
      </c>
      <c r="G591" t="s">
        <v>261</v>
      </c>
      <c r="H591">
        <f>3614</f>
        <v>3614</v>
      </c>
    </row>
    <row r="592" spans="1:11" x14ac:dyDescent="0.25">
      <c r="A592" s="1">
        <v>590</v>
      </c>
      <c r="B592" t="s">
        <v>10</v>
      </c>
      <c r="C592" t="s">
        <v>504</v>
      </c>
      <c r="D592">
        <v>1887</v>
      </c>
      <c r="E592" t="s">
        <v>20</v>
      </c>
      <c r="F592" t="s">
        <v>42</v>
      </c>
      <c r="G592" t="s">
        <v>513</v>
      </c>
      <c r="H592">
        <f>3608</f>
        <v>3608</v>
      </c>
    </row>
    <row r="593" spans="1:11" x14ac:dyDescent="0.25">
      <c r="A593" s="1">
        <v>591</v>
      </c>
      <c r="B593" t="s">
        <v>10</v>
      </c>
      <c r="C593" t="s">
        <v>504</v>
      </c>
      <c r="D593">
        <v>1888</v>
      </c>
      <c r="E593" t="s">
        <v>20</v>
      </c>
      <c r="F593" t="s">
        <v>42</v>
      </c>
      <c r="G593" t="s">
        <v>513</v>
      </c>
      <c r="H593">
        <f>3608</f>
        <v>3608</v>
      </c>
    </row>
    <row r="594" spans="1:11" x14ac:dyDescent="0.25">
      <c r="A594" s="1">
        <v>592</v>
      </c>
      <c r="B594" t="s">
        <v>10</v>
      </c>
      <c r="C594" t="s">
        <v>504</v>
      </c>
      <c r="E594" t="s">
        <v>20</v>
      </c>
      <c r="F594" t="s">
        <v>42</v>
      </c>
      <c r="G594" t="s">
        <v>513</v>
      </c>
    </row>
    <row r="595" spans="1:11" x14ac:dyDescent="0.25">
      <c r="A595" s="1">
        <v>593</v>
      </c>
      <c r="B595" t="s">
        <v>10</v>
      </c>
      <c r="C595" t="s">
        <v>504</v>
      </c>
      <c r="D595">
        <v>1889</v>
      </c>
      <c r="E595" t="s">
        <v>298</v>
      </c>
      <c r="F595" t="s">
        <v>299</v>
      </c>
    </row>
    <row r="596" spans="1:11" x14ac:dyDescent="0.25">
      <c r="A596" s="1">
        <v>594</v>
      </c>
      <c r="B596" t="s">
        <v>10</v>
      </c>
      <c r="C596" t="s">
        <v>504</v>
      </c>
      <c r="D596">
        <v>1891</v>
      </c>
      <c r="E596" t="s">
        <v>24</v>
      </c>
      <c r="F596" t="s">
        <v>212</v>
      </c>
      <c r="G596" t="s">
        <v>213</v>
      </c>
    </row>
    <row r="597" spans="1:11" x14ac:dyDescent="0.25">
      <c r="A597" s="1">
        <v>595</v>
      </c>
      <c r="B597" t="s">
        <v>10</v>
      </c>
      <c r="C597" t="s">
        <v>504</v>
      </c>
      <c r="D597">
        <v>1892</v>
      </c>
      <c r="E597" t="s">
        <v>198</v>
      </c>
      <c r="F597" t="s">
        <v>506</v>
      </c>
      <c r="H597" t="s">
        <v>514</v>
      </c>
    </row>
    <row r="598" spans="1:11" x14ac:dyDescent="0.25">
      <c r="A598" s="1">
        <v>596</v>
      </c>
      <c r="B598" t="s">
        <v>10</v>
      </c>
      <c r="C598" t="s">
        <v>504</v>
      </c>
      <c r="D598">
        <v>1893</v>
      </c>
      <c r="E598" t="s">
        <v>12</v>
      </c>
      <c r="F598" t="s">
        <v>257</v>
      </c>
      <c r="G598" t="s">
        <v>294</v>
      </c>
      <c r="H598">
        <f>3611</f>
        <v>3611</v>
      </c>
    </row>
    <row r="599" spans="1:11" x14ac:dyDescent="0.25">
      <c r="A599" s="1">
        <v>597</v>
      </c>
      <c r="B599" t="s">
        <v>10</v>
      </c>
      <c r="C599" t="s">
        <v>504</v>
      </c>
      <c r="D599">
        <v>1894</v>
      </c>
      <c r="E599" t="s">
        <v>20</v>
      </c>
      <c r="F599" t="s">
        <v>42</v>
      </c>
      <c r="G599" t="s">
        <v>513</v>
      </c>
      <c r="H599" t="s">
        <v>515</v>
      </c>
    </row>
    <row r="600" spans="1:11" x14ac:dyDescent="0.25">
      <c r="A600" s="1">
        <v>598</v>
      </c>
      <c r="B600" t="s">
        <v>10</v>
      </c>
      <c r="C600" t="s">
        <v>504</v>
      </c>
      <c r="D600">
        <v>1895</v>
      </c>
      <c r="E600" t="s">
        <v>298</v>
      </c>
      <c r="F600" t="s">
        <v>299</v>
      </c>
      <c r="H600" t="s">
        <v>516</v>
      </c>
    </row>
    <row r="601" spans="1:11" x14ac:dyDescent="0.25">
      <c r="A601" s="1">
        <v>599</v>
      </c>
      <c r="B601" t="s">
        <v>10</v>
      </c>
      <c r="C601" t="s">
        <v>504</v>
      </c>
      <c r="D601">
        <v>1896</v>
      </c>
      <c r="E601" t="s">
        <v>107</v>
      </c>
      <c r="F601" t="s">
        <v>108</v>
      </c>
      <c r="G601" t="s">
        <v>105</v>
      </c>
      <c r="H601" t="s">
        <v>517</v>
      </c>
      <c r="K601" t="s">
        <v>87</v>
      </c>
    </row>
    <row r="602" spans="1:11" x14ac:dyDescent="0.25">
      <c r="A602" s="1">
        <v>600</v>
      </c>
      <c r="B602" t="s">
        <v>10</v>
      </c>
      <c r="C602" t="s">
        <v>504</v>
      </c>
      <c r="D602">
        <v>1897</v>
      </c>
    </row>
    <row r="603" spans="1:11" x14ac:dyDescent="0.25">
      <c r="A603" s="1">
        <v>601</v>
      </c>
      <c r="B603" t="s">
        <v>10</v>
      </c>
      <c r="C603" t="s">
        <v>504</v>
      </c>
      <c r="D603">
        <v>1898</v>
      </c>
      <c r="E603" t="s">
        <v>267</v>
      </c>
      <c r="F603" t="s">
        <v>199</v>
      </c>
      <c r="G603" t="s">
        <v>200</v>
      </c>
    </row>
    <row r="604" spans="1:11" x14ac:dyDescent="0.25">
      <c r="A604" s="1">
        <v>602</v>
      </c>
      <c r="B604" t="s">
        <v>10</v>
      </c>
      <c r="C604" t="s">
        <v>504</v>
      </c>
      <c r="D604">
        <v>1899</v>
      </c>
      <c r="E604" t="s">
        <v>12</v>
      </c>
      <c r="F604" t="s">
        <v>257</v>
      </c>
      <c r="G604" t="s">
        <v>476</v>
      </c>
      <c r="H604">
        <f>3611</f>
        <v>3611</v>
      </c>
    </row>
    <row r="605" spans="1:11" x14ac:dyDescent="0.25">
      <c r="A605" s="1">
        <v>603</v>
      </c>
      <c r="B605" t="s">
        <v>10</v>
      </c>
      <c r="C605" t="s">
        <v>504</v>
      </c>
      <c r="D605">
        <v>1900</v>
      </c>
      <c r="E605" t="s">
        <v>274</v>
      </c>
      <c r="F605" t="s">
        <v>275</v>
      </c>
      <c r="G605" t="s">
        <v>276</v>
      </c>
    </row>
    <row r="606" spans="1:11" x14ac:dyDescent="0.25">
      <c r="A606" s="1">
        <v>604</v>
      </c>
      <c r="B606" t="s">
        <v>10</v>
      </c>
      <c r="C606" t="s">
        <v>504</v>
      </c>
      <c r="D606">
        <v>1901</v>
      </c>
      <c r="E606" t="s">
        <v>12</v>
      </c>
      <c r="F606" t="s">
        <v>283</v>
      </c>
      <c r="H606" t="s">
        <v>518</v>
      </c>
    </row>
    <row r="607" spans="1:11" x14ac:dyDescent="0.25">
      <c r="A607" s="1">
        <v>605</v>
      </c>
      <c r="B607" t="s">
        <v>10</v>
      </c>
      <c r="C607" t="s">
        <v>504</v>
      </c>
      <c r="D607">
        <v>1902</v>
      </c>
      <c r="E607" t="s">
        <v>24</v>
      </c>
      <c r="F607" t="s">
        <v>212</v>
      </c>
      <c r="G607" t="s">
        <v>213</v>
      </c>
    </row>
    <row r="608" spans="1:11" x14ac:dyDescent="0.25">
      <c r="A608" s="1">
        <v>606</v>
      </c>
      <c r="B608" t="s">
        <v>10</v>
      </c>
      <c r="C608" t="s">
        <v>504</v>
      </c>
      <c r="D608">
        <v>1903</v>
      </c>
      <c r="E608" t="s">
        <v>288</v>
      </c>
      <c r="F608" t="s">
        <v>289</v>
      </c>
      <c r="G608" t="s">
        <v>290</v>
      </c>
    </row>
    <row r="609" spans="1:11" x14ac:dyDescent="0.25">
      <c r="A609" s="1">
        <v>607</v>
      </c>
      <c r="B609" t="s">
        <v>10</v>
      </c>
      <c r="C609" t="s">
        <v>504</v>
      </c>
      <c r="D609">
        <v>1904</v>
      </c>
      <c r="E609" t="s">
        <v>267</v>
      </c>
      <c r="F609" t="s">
        <v>199</v>
      </c>
      <c r="G609" t="s">
        <v>200</v>
      </c>
    </row>
    <row r="610" spans="1:11" x14ac:dyDescent="0.25">
      <c r="A610" s="1">
        <v>608</v>
      </c>
      <c r="B610" t="s">
        <v>10</v>
      </c>
      <c r="C610" t="s">
        <v>504</v>
      </c>
      <c r="D610">
        <v>1906</v>
      </c>
      <c r="E610" t="s">
        <v>301</v>
      </c>
      <c r="F610" t="s">
        <v>302</v>
      </c>
      <c r="G610" t="s">
        <v>519</v>
      </c>
      <c r="H610" t="s">
        <v>520</v>
      </c>
      <c r="K610" t="s">
        <v>87</v>
      </c>
    </row>
    <row r="611" spans="1:11" x14ac:dyDescent="0.25">
      <c r="A611" s="1">
        <v>609</v>
      </c>
      <c r="B611" t="s">
        <v>10</v>
      </c>
      <c r="C611" t="s">
        <v>504</v>
      </c>
      <c r="D611">
        <v>1907</v>
      </c>
      <c r="E611" t="s">
        <v>20</v>
      </c>
      <c r="F611" t="s">
        <v>21</v>
      </c>
      <c r="H611" t="s">
        <v>521</v>
      </c>
    </row>
    <row r="612" spans="1:11" x14ac:dyDescent="0.25">
      <c r="A612" s="1">
        <v>610</v>
      </c>
      <c r="B612" t="s">
        <v>10</v>
      </c>
      <c r="C612" t="s">
        <v>504</v>
      </c>
      <c r="D612">
        <v>1908</v>
      </c>
      <c r="E612" t="s">
        <v>12</v>
      </c>
      <c r="F612" t="s">
        <v>285</v>
      </c>
      <c r="G612" t="s">
        <v>286</v>
      </c>
      <c r="H612" t="s">
        <v>522</v>
      </c>
    </row>
    <row r="613" spans="1:11" x14ac:dyDescent="0.25">
      <c r="A613" s="1">
        <v>611</v>
      </c>
      <c r="B613" t="s">
        <v>10</v>
      </c>
      <c r="C613" t="s">
        <v>504</v>
      </c>
      <c r="D613">
        <v>1909</v>
      </c>
      <c r="E613" t="s">
        <v>288</v>
      </c>
      <c r="F613" t="s">
        <v>289</v>
      </c>
      <c r="G613" t="s">
        <v>290</v>
      </c>
    </row>
    <row r="614" spans="1:11" x14ac:dyDescent="0.25">
      <c r="A614" s="1">
        <v>612</v>
      </c>
      <c r="B614" t="s">
        <v>10</v>
      </c>
      <c r="C614" t="s">
        <v>504</v>
      </c>
      <c r="E614" t="s">
        <v>198</v>
      </c>
      <c r="F614" t="s">
        <v>506</v>
      </c>
    </row>
    <row r="615" spans="1:11" x14ac:dyDescent="0.25">
      <c r="A615" s="1">
        <v>613</v>
      </c>
      <c r="B615" t="s">
        <v>10</v>
      </c>
      <c r="C615" t="s">
        <v>504</v>
      </c>
      <c r="D615">
        <v>1913</v>
      </c>
      <c r="E615" t="s">
        <v>27</v>
      </c>
      <c r="F615" t="s">
        <v>28</v>
      </c>
      <c r="H615">
        <f>2532</f>
        <v>2532</v>
      </c>
    </row>
    <row r="616" spans="1:11" x14ac:dyDescent="0.25">
      <c r="A616" s="1">
        <v>614</v>
      </c>
      <c r="B616" t="s">
        <v>10</v>
      </c>
      <c r="C616" t="s">
        <v>504</v>
      </c>
      <c r="D616">
        <v>1914</v>
      </c>
      <c r="E616" t="s">
        <v>24</v>
      </c>
      <c r="F616" t="s">
        <v>30</v>
      </c>
      <c r="G616" t="s">
        <v>226</v>
      </c>
    </row>
    <row r="617" spans="1:11" x14ac:dyDescent="0.25">
      <c r="A617" s="1">
        <v>615</v>
      </c>
      <c r="B617" t="s">
        <v>10</v>
      </c>
      <c r="C617" t="s">
        <v>504</v>
      </c>
      <c r="D617">
        <v>1915</v>
      </c>
      <c r="E617" t="s">
        <v>63</v>
      </c>
      <c r="F617" t="s">
        <v>397</v>
      </c>
      <c r="G617" t="s">
        <v>202</v>
      </c>
      <c r="H617">
        <f>3604</f>
        <v>3604</v>
      </c>
    </row>
    <row r="618" spans="1:11" x14ac:dyDescent="0.25">
      <c r="A618" s="1">
        <v>616</v>
      </c>
      <c r="B618" t="s">
        <v>10</v>
      </c>
      <c r="C618" t="s">
        <v>504</v>
      </c>
      <c r="D618">
        <v>1916</v>
      </c>
      <c r="E618" t="s">
        <v>14</v>
      </c>
      <c r="F618" t="s">
        <v>277</v>
      </c>
      <c r="G618" t="s">
        <v>278</v>
      </c>
    </row>
    <row r="619" spans="1:11" x14ac:dyDescent="0.25">
      <c r="A619" s="1">
        <v>617</v>
      </c>
      <c r="B619" t="s">
        <v>10</v>
      </c>
      <c r="C619" t="s">
        <v>504</v>
      </c>
      <c r="D619">
        <v>1917</v>
      </c>
      <c r="E619" t="s">
        <v>12</v>
      </c>
      <c r="F619" t="s">
        <v>285</v>
      </c>
      <c r="G619" t="s">
        <v>286</v>
      </c>
    </row>
    <row r="620" spans="1:11" x14ac:dyDescent="0.25">
      <c r="A620" s="1">
        <v>618</v>
      </c>
      <c r="B620" t="s">
        <v>10</v>
      </c>
      <c r="C620" t="s">
        <v>504</v>
      </c>
      <c r="D620">
        <v>1918</v>
      </c>
      <c r="E620" t="s">
        <v>36</v>
      </c>
      <c r="F620" t="s">
        <v>260</v>
      </c>
      <c r="G620" t="s">
        <v>261</v>
      </c>
      <c r="H620" t="s">
        <v>523</v>
      </c>
      <c r="K620" t="s">
        <v>87</v>
      </c>
    </row>
    <row r="621" spans="1:11" x14ac:dyDescent="0.25">
      <c r="A621" s="1">
        <v>619</v>
      </c>
      <c r="B621" t="s">
        <v>10</v>
      </c>
      <c r="C621" t="s">
        <v>504</v>
      </c>
      <c r="E621" t="s">
        <v>250</v>
      </c>
      <c r="F621" t="s">
        <v>251</v>
      </c>
    </row>
    <row r="622" spans="1:11" x14ac:dyDescent="0.25">
      <c r="A622" s="1">
        <v>620</v>
      </c>
      <c r="B622" t="s">
        <v>10</v>
      </c>
      <c r="C622" t="s">
        <v>504</v>
      </c>
      <c r="E622" t="s">
        <v>24</v>
      </c>
      <c r="F622" t="s">
        <v>212</v>
      </c>
      <c r="G622" t="s">
        <v>213</v>
      </c>
    </row>
    <row r="623" spans="1:11" x14ac:dyDescent="0.25">
      <c r="A623" s="1">
        <v>621</v>
      </c>
      <c r="B623" t="s">
        <v>10</v>
      </c>
      <c r="C623" t="s">
        <v>504</v>
      </c>
      <c r="E623" t="s">
        <v>20</v>
      </c>
      <c r="F623" t="s">
        <v>42</v>
      </c>
    </row>
    <row r="624" spans="1:11" x14ac:dyDescent="0.25">
      <c r="A624" s="1">
        <v>622</v>
      </c>
      <c r="B624" t="s">
        <v>10</v>
      </c>
      <c r="C624" t="s">
        <v>504</v>
      </c>
      <c r="E624" t="s">
        <v>12</v>
      </c>
      <c r="F624" t="s">
        <v>283</v>
      </c>
    </row>
    <row r="625" spans="1:10" x14ac:dyDescent="0.25">
      <c r="A625" s="1">
        <v>623</v>
      </c>
      <c r="B625" t="s">
        <v>10</v>
      </c>
      <c r="C625" t="s">
        <v>504</v>
      </c>
      <c r="E625" t="s">
        <v>24</v>
      </c>
      <c r="F625" t="s">
        <v>212</v>
      </c>
      <c r="G625" t="s">
        <v>213</v>
      </c>
    </row>
    <row r="626" spans="1:10" x14ac:dyDescent="0.25">
      <c r="A626" s="1">
        <v>624</v>
      </c>
      <c r="B626" t="s">
        <v>10</v>
      </c>
      <c r="C626" t="s">
        <v>504</v>
      </c>
      <c r="E626" t="s">
        <v>84</v>
      </c>
      <c r="F626" t="s">
        <v>280</v>
      </c>
      <c r="G626" t="s">
        <v>281</v>
      </c>
    </row>
    <row r="627" spans="1:10" x14ac:dyDescent="0.25">
      <c r="A627" s="1">
        <v>625</v>
      </c>
      <c r="B627" t="s">
        <v>10</v>
      </c>
      <c r="C627" t="s">
        <v>504</v>
      </c>
      <c r="E627" t="s">
        <v>240</v>
      </c>
    </row>
    <row r="628" spans="1:10" x14ac:dyDescent="0.25">
      <c r="A628" s="1">
        <v>626</v>
      </c>
      <c r="B628" t="s">
        <v>10</v>
      </c>
      <c r="C628" t="s">
        <v>504</v>
      </c>
      <c r="E628" t="s">
        <v>12</v>
      </c>
      <c r="F628" t="s">
        <v>283</v>
      </c>
    </row>
    <row r="629" spans="1:10" x14ac:dyDescent="0.25">
      <c r="A629" s="1">
        <v>627</v>
      </c>
      <c r="B629" t="s">
        <v>10</v>
      </c>
      <c r="C629" t="s">
        <v>504</v>
      </c>
      <c r="E629" t="s">
        <v>188</v>
      </c>
      <c r="F629" t="s">
        <v>193</v>
      </c>
    </row>
    <row r="630" spans="1:10" x14ac:dyDescent="0.25">
      <c r="A630" s="1">
        <v>628</v>
      </c>
      <c r="B630" t="s">
        <v>10</v>
      </c>
      <c r="C630" t="s">
        <v>504</v>
      </c>
      <c r="E630" t="s">
        <v>24</v>
      </c>
      <c r="F630" t="s">
        <v>212</v>
      </c>
      <c r="G630" t="s">
        <v>213</v>
      </c>
    </row>
    <row r="631" spans="1:10" x14ac:dyDescent="0.25">
      <c r="A631" s="1">
        <v>629</v>
      </c>
      <c r="B631" t="s">
        <v>10</v>
      </c>
      <c r="C631" t="s">
        <v>504</v>
      </c>
      <c r="E631" t="s">
        <v>198</v>
      </c>
      <c r="F631" t="s">
        <v>199</v>
      </c>
      <c r="G631" t="s">
        <v>200</v>
      </c>
    </row>
    <row r="632" spans="1:10" x14ac:dyDescent="0.25">
      <c r="A632" s="1">
        <v>630</v>
      </c>
      <c r="B632" t="s">
        <v>10</v>
      </c>
      <c r="C632" t="s">
        <v>504</v>
      </c>
      <c r="E632" t="s">
        <v>188</v>
      </c>
      <c r="F632" t="s">
        <v>193</v>
      </c>
    </row>
    <row r="633" spans="1:10" x14ac:dyDescent="0.25">
      <c r="A633" s="1">
        <v>631</v>
      </c>
      <c r="B633" t="s">
        <v>10</v>
      </c>
      <c r="C633" t="s">
        <v>504</v>
      </c>
      <c r="E633" t="s">
        <v>20</v>
      </c>
    </row>
    <row r="634" spans="1:10" x14ac:dyDescent="0.25">
      <c r="A634" s="1">
        <v>632</v>
      </c>
      <c r="B634" t="s">
        <v>10</v>
      </c>
      <c r="C634" t="s">
        <v>504</v>
      </c>
      <c r="E634" t="s">
        <v>274</v>
      </c>
      <c r="F634" t="s">
        <v>275</v>
      </c>
    </row>
    <row r="635" spans="1:10" x14ac:dyDescent="0.25">
      <c r="A635" s="1">
        <v>633</v>
      </c>
      <c r="B635" t="s">
        <v>10</v>
      </c>
      <c r="C635" t="s">
        <v>504</v>
      </c>
      <c r="F635" t="s">
        <v>524</v>
      </c>
    </row>
    <row r="636" spans="1:10" x14ac:dyDescent="0.25">
      <c r="A636" s="1">
        <v>634</v>
      </c>
      <c r="B636" t="s">
        <v>10</v>
      </c>
      <c r="C636" t="s">
        <v>504</v>
      </c>
      <c r="E636" t="s">
        <v>12</v>
      </c>
      <c r="F636" t="s">
        <v>283</v>
      </c>
    </row>
    <row r="637" spans="1:10" x14ac:dyDescent="0.25">
      <c r="A637" s="1">
        <v>635</v>
      </c>
      <c r="B637" t="s">
        <v>10</v>
      </c>
      <c r="C637" t="s">
        <v>504</v>
      </c>
      <c r="E637" t="s">
        <v>122</v>
      </c>
    </row>
    <row r="638" spans="1:10" x14ac:dyDescent="0.25">
      <c r="A638" s="1">
        <v>636</v>
      </c>
      <c r="B638" t="s">
        <v>525</v>
      </c>
      <c r="C638" t="s">
        <v>526</v>
      </c>
      <c r="D638">
        <v>2146</v>
      </c>
      <c r="E638" t="s">
        <v>115</v>
      </c>
      <c r="F638" t="s">
        <v>314</v>
      </c>
      <c r="G638" t="s">
        <v>187</v>
      </c>
      <c r="H638" t="s">
        <v>527</v>
      </c>
      <c r="J638">
        <v>1</v>
      </c>
    </row>
    <row r="639" spans="1:10" x14ac:dyDescent="0.25">
      <c r="A639" s="1">
        <v>637</v>
      </c>
      <c r="B639" t="s">
        <v>525</v>
      </c>
      <c r="C639" t="s">
        <v>526</v>
      </c>
      <c r="D639">
        <v>2144</v>
      </c>
      <c r="E639" t="s">
        <v>95</v>
      </c>
      <c r="F639" t="s">
        <v>119</v>
      </c>
      <c r="G639" t="s">
        <v>528</v>
      </c>
      <c r="H639" t="s">
        <v>529</v>
      </c>
    </row>
    <row r="640" spans="1:10" x14ac:dyDescent="0.25">
      <c r="A640" s="1">
        <v>638</v>
      </c>
      <c r="B640" t="s">
        <v>525</v>
      </c>
      <c r="C640" t="s">
        <v>526</v>
      </c>
      <c r="D640">
        <v>2142</v>
      </c>
      <c r="E640" t="s">
        <v>530</v>
      </c>
      <c r="F640" t="s">
        <v>531</v>
      </c>
      <c r="G640" t="s">
        <v>180</v>
      </c>
      <c r="H640" t="s">
        <v>532</v>
      </c>
      <c r="J640">
        <v>1</v>
      </c>
    </row>
    <row r="641" spans="1:10" x14ac:dyDescent="0.25">
      <c r="A641" s="1">
        <v>639</v>
      </c>
      <c r="B641" t="s">
        <v>525</v>
      </c>
      <c r="C641" t="s">
        <v>526</v>
      </c>
      <c r="D641">
        <v>2143</v>
      </c>
      <c r="E641" t="s">
        <v>39</v>
      </c>
      <c r="F641" t="s">
        <v>186</v>
      </c>
      <c r="G641" t="s">
        <v>431</v>
      </c>
    </row>
    <row r="642" spans="1:10" x14ac:dyDescent="0.25">
      <c r="A642" s="1">
        <v>640</v>
      </c>
      <c r="B642" t="s">
        <v>525</v>
      </c>
      <c r="C642" t="s">
        <v>526</v>
      </c>
      <c r="D642">
        <v>2141</v>
      </c>
      <c r="E642" t="s">
        <v>95</v>
      </c>
      <c r="F642" t="s">
        <v>533</v>
      </c>
      <c r="G642" t="s">
        <v>534</v>
      </c>
      <c r="H642" t="s">
        <v>535</v>
      </c>
      <c r="J642">
        <v>1</v>
      </c>
    </row>
    <row r="643" spans="1:10" x14ac:dyDescent="0.25">
      <c r="A643" s="1">
        <v>641</v>
      </c>
      <c r="B643" t="s">
        <v>525</v>
      </c>
      <c r="C643" t="s">
        <v>526</v>
      </c>
      <c r="D643">
        <v>2139</v>
      </c>
      <c r="E643" t="s">
        <v>20</v>
      </c>
      <c r="F643" t="s">
        <v>42</v>
      </c>
      <c r="H643" t="s">
        <v>536</v>
      </c>
      <c r="J643">
        <v>1</v>
      </c>
    </row>
    <row r="644" spans="1:10" x14ac:dyDescent="0.25">
      <c r="A644" s="1">
        <v>642</v>
      </c>
      <c r="B644" t="s">
        <v>525</v>
      </c>
      <c r="C644" t="s">
        <v>526</v>
      </c>
      <c r="D644">
        <v>2140</v>
      </c>
      <c r="E644" t="s">
        <v>39</v>
      </c>
      <c r="F644" t="s">
        <v>186</v>
      </c>
      <c r="G644" t="s">
        <v>431</v>
      </c>
    </row>
    <row r="645" spans="1:10" x14ac:dyDescent="0.25">
      <c r="A645" s="1">
        <v>643</v>
      </c>
      <c r="B645" t="s">
        <v>525</v>
      </c>
      <c r="C645" t="s">
        <v>526</v>
      </c>
      <c r="E645" t="s">
        <v>36</v>
      </c>
      <c r="F645" t="s">
        <v>537</v>
      </c>
      <c r="G645" t="s">
        <v>538</v>
      </c>
    </row>
    <row r="646" spans="1:10" x14ac:dyDescent="0.25">
      <c r="A646" s="1">
        <v>644</v>
      </c>
      <c r="B646" t="s">
        <v>525</v>
      </c>
      <c r="C646" t="s">
        <v>526</v>
      </c>
      <c r="D646">
        <v>2134</v>
      </c>
      <c r="E646" t="s">
        <v>17</v>
      </c>
      <c r="F646" t="s">
        <v>539</v>
      </c>
      <c r="G646" t="s">
        <v>540</v>
      </c>
    </row>
    <row r="647" spans="1:10" x14ac:dyDescent="0.25">
      <c r="A647" s="1">
        <v>645</v>
      </c>
      <c r="B647" t="s">
        <v>525</v>
      </c>
      <c r="C647" t="s">
        <v>526</v>
      </c>
      <c r="E647" t="s">
        <v>17</v>
      </c>
      <c r="F647" t="s">
        <v>539</v>
      </c>
      <c r="G647" t="s">
        <v>540</v>
      </c>
    </row>
    <row r="648" spans="1:10" x14ac:dyDescent="0.25">
      <c r="A648" s="1">
        <v>646</v>
      </c>
      <c r="B648" t="s">
        <v>525</v>
      </c>
      <c r="C648" t="s">
        <v>526</v>
      </c>
      <c r="D648">
        <v>2137</v>
      </c>
      <c r="E648" t="s">
        <v>39</v>
      </c>
      <c r="F648" t="s">
        <v>88</v>
      </c>
      <c r="G648" t="s">
        <v>89</v>
      </c>
    </row>
    <row r="649" spans="1:10" x14ac:dyDescent="0.25">
      <c r="A649" s="1">
        <v>647</v>
      </c>
      <c r="B649" t="s">
        <v>525</v>
      </c>
      <c r="C649" t="s">
        <v>526</v>
      </c>
      <c r="D649">
        <v>2133</v>
      </c>
      <c r="E649" t="s">
        <v>95</v>
      </c>
      <c r="F649" t="s">
        <v>96</v>
      </c>
      <c r="G649" t="s">
        <v>541</v>
      </c>
      <c r="H649" t="s">
        <v>542</v>
      </c>
      <c r="J649">
        <v>1</v>
      </c>
    </row>
    <row r="650" spans="1:10" x14ac:dyDescent="0.25">
      <c r="A650" s="1">
        <v>648</v>
      </c>
      <c r="B650" t="s">
        <v>525</v>
      </c>
      <c r="C650" t="s">
        <v>526</v>
      </c>
      <c r="D650">
        <v>2135</v>
      </c>
      <c r="E650" t="s">
        <v>223</v>
      </c>
      <c r="F650" t="s">
        <v>543</v>
      </c>
      <c r="G650" t="s">
        <v>544</v>
      </c>
    </row>
    <row r="651" spans="1:10" x14ac:dyDescent="0.25">
      <c r="A651" s="1">
        <v>649</v>
      </c>
      <c r="B651" t="s">
        <v>525</v>
      </c>
      <c r="C651" t="s">
        <v>526</v>
      </c>
      <c r="D651">
        <v>2136</v>
      </c>
      <c r="E651" t="s">
        <v>12</v>
      </c>
      <c r="F651" t="s">
        <v>545</v>
      </c>
      <c r="G651" t="s">
        <v>546</v>
      </c>
      <c r="H651" t="s">
        <v>547</v>
      </c>
      <c r="J651">
        <v>1</v>
      </c>
    </row>
    <row r="652" spans="1:10" x14ac:dyDescent="0.25">
      <c r="A652" s="1">
        <v>650</v>
      </c>
      <c r="B652" t="s">
        <v>525</v>
      </c>
      <c r="C652" t="s">
        <v>526</v>
      </c>
      <c r="D652">
        <v>2160</v>
      </c>
      <c r="E652" t="s">
        <v>14</v>
      </c>
      <c r="F652" t="s">
        <v>277</v>
      </c>
      <c r="G652" t="s">
        <v>548</v>
      </c>
    </row>
    <row r="653" spans="1:10" x14ac:dyDescent="0.25">
      <c r="A653" s="1">
        <v>651</v>
      </c>
      <c r="B653" t="s">
        <v>525</v>
      </c>
      <c r="C653" t="s">
        <v>526</v>
      </c>
      <c r="E653" t="s">
        <v>12</v>
      </c>
    </row>
    <row r="654" spans="1:10" x14ac:dyDescent="0.25">
      <c r="A654" s="1">
        <v>652</v>
      </c>
      <c r="B654" t="s">
        <v>525</v>
      </c>
      <c r="C654" t="s">
        <v>526</v>
      </c>
      <c r="D654">
        <v>2159</v>
      </c>
      <c r="E654" t="s">
        <v>14</v>
      </c>
      <c r="F654" t="s">
        <v>277</v>
      </c>
      <c r="G654" t="s">
        <v>549</v>
      </c>
    </row>
    <row r="655" spans="1:10" x14ac:dyDescent="0.25">
      <c r="A655" s="1">
        <v>653</v>
      </c>
      <c r="B655" t="s">
        <v>525</v>
      </c>
      <c r="C655" t="s">
        <v>526</v>
      </c>
      <c r="D655">
        <v>2157</v>
      </c>
      <c r="E655" t="s">
        <v>20</v>
      </c>
      <c r="F655" t="s">
        <v>42</v>
      </c>
    </row>
    <row r="656" spans="1:10" x14ac:dyDescent="0.25">
      <c r="A656" s="1">
        <v>654</v>
      </c>
      <c r="B656" t="s">
        <v>525</v>
      </c>
      <c r="C656" t="s">
        <v>526</v>
      </c>
      <c r="D656">
        <v>2158</v>
      </c>
      <c r="E656" t="s">
        <v>223</v>
      </c>
      <c r="F656" t="s">
        <v>543</v>
      </c>
      <c r="G656" t="s">
        <v>544</v>
      </c>
    </row>
    <row r="657" spans="1:10" x14ac:dyDescent="0.25">
      <c r="A657" s="1">
        <v>655</v>
      </c>
      <c r="B657" t="s">
        <v>525</v>
      </c>
      <c r="C657" t="s">
        <v>526</v>
      </c>
      <c r="D657">
        <v>2155</v>
      </c>
      <c r="E657" t="s">
        <v>63</v>
      </c>
      <c r="F657" t="s">
        <v>397</v>
      </c>
      <c r="G657" t="s">
        <v>177</v>
      </c>
      <c r="H657">
        <f>3899</f>
        <v>3899</v>
      </c>
      <c r="J657">
        <v>1</v>
      </c>
    </row>
    <row r="658" spans="1:10" x14ac:dyDescent="0.25">
      <c r="A658" s="1">
        <v>656</v>
      </c>
      <c r="B658" t="s">
        <v>525</v>
      </c>
      <c r="C658" t="s">
        <v>526</v>
      </c>
      <c r="E658" t="s">
        <v>36</v>
      </c>
      <c r="F658" t="s">
        <v>537</v>
      </c>
      <c r="G658" t="s">
        <v>538</v>
      </c>
    </row>
    <row r="659" spans="1:10" x14ac:dyDescent="0.25">
      <c r="A659" s="1">
        <v>657</v>
      </c>
      <c r="B659" t="s">
        <v>525</v>
      </c>
      <c r="C659" t="s">
        <v>526</v>
      </c>
      <c r="D659">
        <v>2154</v>
      </c>
      <c r="E659" t="s">
        <v>304</v>
      </c>
      <c r="F659" t="s">
        <v>550</v>
      </c>
      <c r="G659" t="s">
        <v>551</v>
      </c>
      <c r="H659" t="s">
        <v>552</v>
      </c>
      <c r="J659">
        <v>1</v>
      </c>
    </row>
    <row r="660" spans="1:10" x14ac:dyDescent="0.25">
      <c r="A660" s="1">
        <v>658</v>
      </c>
      <c r="B660" t="s">
        <v>525</v>
      </c>
      <c r="C660" t="s">
        <v>526</v>
      </c>
      <c r="E660" t="s">
        <v>553</v>
      </c>
    </row>
    <row r="661" spans="1:10" x14ac:dyDescent="0.25">
      <c r="A661" s="1">
        <v>659</v>
      </c>
      <c r="B661" t="s">
        <v>525</v>
      </c>
      <c r="C661" t="s">
        <v>526</v>
      </c>
      <c r="D661">
        <v>2149</v>
      </c>
      <c r="E661" t="s">
        <v>181</v>
      </c>
      <c r="F661" t="s">
        <v>201</v>
      </c>
      <c r="G661" t="s">
        <v>202</v>
      </c>
      <c r="H661">
        <f>3868</f>
        <v>3868</v>
      </c>
    </row>
    <row r="662" spans="1:10" x14ac:dyDescent="0.25">
      <c r="A662" s="1">
        <v>660</v>
      </c>
      <c r="B662" t="s">
        <v>525</v>
      </c>
      <c r="C662" t="s">
        <v>526</v>
      </c>
      <c r="D662">
        <v>2148</v>
      </c>
      <c r="E662" t="s">
        <v>92</v>
      </c>
      <c r="F662" t="s">
        <v>419</v>
      </c>
      <c r="G662" t="s">
        <v>554</v>
      </c>
      <c r="H662" t="s">
        <v>555</v>
      </c>
      <c r="J662">
        <v>1</v>
      </c>
    </row>
    <row r="663" spans="1:10" x14ac:dyDescent="0.25">
      <c r="A663" s="1">
        <v>661</v>
      </c>
      <c r="B663" t="s">
        <v>525</v>
      </c>
      <c r="C663" t="s">
        <v>526</v>
      </c>
      <c r="D663">
        <v>2147</v>
      </c>
      <c r="E663" t="s">
        <v>17</v>
      </c>
      <c r="F663" t="s">
        <v>539</v>
      </c>
      <c r="G663" t="s">
        <v>540</v>
      </c>
      <c r="J663">
        <v>1</v>
      </c>
    </row>
    <row r="664" spans="1:10" x14ac:dyDescent="0.25">
      <c r="A664" s="1">
        <v>662</v>
      </c>
      <c r="B664" t="s">
        <v>525</v>
      </c>
      <c r="C664" t="s">
        <v>526</v>
      </c>
      <c r="D664">
        <v>2132</v>
      </c>
      <c r="E664" t="s">
        <v>39</v>
      </c>
      <c r="F664" t="s">
        <v>88</v>
      </c>
      <c r="G664" t="s">
        <v>556</v>
      </c>
    </row>
    <row r="665" spans="1:10" x14ac:dyDescent="0.25">
      <c r="A665" s="1">
        <v>663</v>
      </c>
      <c r="B665" t="s">
        <v>525</v>
      </c>
      <c r="C665" t="s">
        <v>526</v>
      </c>
      <c r="D665">
        <v>2138</v>
      </c>
      <c r="E665" t="s">
        <v>36</v>
      </c>
      <c r="F665" t="s">
        <v>141</v>
      </c>
      <c r="G665" t="s">
        <v>557</v>
      </c>
      <c r="H665" t="s">
        <v>558</v>
      </c>
    </row>
    <row r="666" spans="1:10" x14ac:dyDescent="0.25">
      <c r="A666" s="1">
        <v>664</v>
      </c>
      <c r="B666" t="s">
        <v>525</v>
      </c>
      <c r="C666" t="s">
        <v>526</v>
      </c>
      <c r="D666">
        <v>2145</v>
      </c>
      <c r="E666" t="s">
        <v>188</v>
      </c>
      <c r="F666" t="s">
        <v>189</v>
      </c>
      <c r="G666" t="s">
        <v>190</v>
      </c>
      <c r="H666" t="s">
        <v>559</v>
      </c>
    </row>
    <row r="667" spans="1:10" x14ac:dyDescent="0.25">
      <c r="A667" s="1">
        <v>665</v>
      </c>
      <c r="B667" t="s">
        <v>525</v>
      </c>
      <c r="C667" t="s">
        <v>526</v>
      </c>
      <c r="D667">
        <v>2150</v>
      </c>
      <c r="E667" t="s">
        <v>560</v>
      </c>
      <c r="F667" t="s">
        <v>561</v>
      </c>
      <c r="G667" t="s">
        <v>144</v>
      </c>
      <c r="H667" t="s">
        <v>562</v>
      </c>
    </row>
    <row r="668" spans="1:10" x14ac:dyDescent="0.25">
      <c r="A668" s="1">
        <v>666</v>
      </c>
      <c r="B668" t="s">
        <v>525</v>
      </c>
      <c r="C668" t="s">
        <v>526</v>
      </c>
      <c r="D668">
        <v>2151</v>
      </c>
      <c r="E668" t="s">
        <v>17</v>
      </c>
      <c r="F668" t="s">
        <v>539</v>
      </c>
      <c r="G668" t="s">
        <v>540</v>
      </c>
    </row>
    <row r="669" spans="1:10" x14ac:dyDescent="0.25">
      <c r="A669" s="1">
        <v>667</v>
      </c>
      <c r="B669" t="s">
        <v>525</v>
      </c>
      <c r="C669" t="s">
        <v>526</v>
      </c>
      <c r="D669">
        <v>2152</v>
      </c>
      <c r="E669" t="s">
        <v>318</v>
      </c>
      <c r="F669" t="s">
        <v>319</v>
      </c>
      <c r="G669" t="s">
        <v>320</v>
      </c>
    </row>
    <row r="670" spans="1:10" x14ac:dyDescent="0.25">
      <c r="A670" s="1">
        <v>668</v>
      </c>
      <c r="B670" t="s">
        <v>525</v>
      </c>
      <c r="C670" t="s">
        <v>526</v>
      </c>
      <c r="D670">
        <v>2153</v>
      </c>
      <c r="E670" t="s">
        <v>12</v>
      </c>
      <c r="F670" t="s">
        <v>149</v>
      </c>
      <c r="G670" t="s">
        <v>563</v>
      </c>
    </row>
    <row r="671" spans="1:10" x14ac:dyDescent="0.25">
      <c r="A671" s="1">
        <v>669</v>
      </c>
      <c r="B671" t="s">
        <v>525</v>
      </c>
      <c r="C671" t="s">
        <v>526</v>
      </c>
      <c r="D671">
        <v>2156</v>
      </c>
    </row>
    <row r="672" spans="1:10" x14ac:dyDescent="0.25">
      <c r="A672" s="1">
        <v>670</v>
      </c>
      <c r="B672" t="s">
        <v>525</v>
      </c>
      <c r="C672" t="s">
        <v>526</v>
      </c>
      <c r="D672">
        <v>2161</v>
      </c>
      <c r="E672" t="s">
        <v>24</v>
      </c>
      <c r="F672" t="s">
        <v>93</v>
      </c>
      <c r="G672" t="s">
        <v>94</v>
      </c>
    </row>
    <row r="673" spans="1:10" x14ac:dyDescent="0.25">
      <c r="A673" s="1">
        <v>671</v>
      </c>
      <c r="B673" t="s">
        <v>525</v>
      </c>
      <c r="C673" t="s">
        <v>564</v>
      </c>
      <c r="D673">
        <v>2164</v>
      </c>
      <c r="E673" t="s">
        <v>17</v>
      </c>
      <c r="F673" t="s">
        <v>539</v>
      </c>
      <c r="G673" t="s">
        <v>540</v>
      </c>
    </row>
    <row r="674" spans="1:10" x14ac:dyDescent="0.25">
      <c r="A674" s="1">
        <v>672</v>
      </c>
      <c r="B674" t="s">
        <v>525</v>
      </c>
      <c r="C674" t="s">
        <v>564</v>
      </c>
      <c r="D674">
        <v>2166</v>
      </c>
      <c r="E674" t="s">
        <v>17</v>
      </c>
      <c r="F674" t="s">
        <v>565</v>
      </c>
      <c r="G674" t="s">
        <v>566</v>
      </c>
    </row>
    <row r="675" spans="1:10" x14ac:dyDescent="0.25">
      <c r="A675" s="1">
        <v>673</v>
      </c>
      <c r="B675" t="s">
        <v>525</v>
      </c>
      <c r="C675" t="s">
        <v>564</v>
      </c>
      <c r="D675">
        <v>2168</v>
      </c>
      <c r="E675" t="s">
        <v>39</v>
      </c>
      <c r="F675" t="s">
        <v>88</v>
      </c>
      <c r="G675" t="s">
        <v>89</v>
      </c>
    </row>
    <row r="676" spans="1:10" x14ac:dyDescent="0.25">
      <c r="A676" s="1">
        <v>674</v>
      </c>
      <c r="B676" t="s">
        <v>525</v>
      </c>
      <c r="C676" t="s">
        <v>564</v>
      </c>
      <c r="E676" t="s">
        <v>71</v>
      </c>
      <c r="F676" t="s">
        <v>72</v>
      </c>
    </row>
    <row r="677" spans="1:10" x14ac:dyDescent="0.25">
      <c r="A677" s="1">
        <v>675</v>
      </c>
      <c r="B677" t="s">
        <v>525</v>
      </c>
      <c r="C677" t="s">
        <v>564</v>
      </c>
      <c r="D677">
        <v>2171</v>
      </c>
      <c r="E677" t="s">
        <v>84</v>
      </c>
      <c r="F677" t="s">
        <v>174</v>
      </c>
      <c r="G677" t="s">
        <v>567</v>
      </c>
      <c r="H677" t="s">
        <v>568</v>
      </c>
      <c r="J677">
        <v>1</v>
      </c>
    </row>
    <row r="678" spans="1:10" x14ac:dyDescent="0.25">
      <c r="A678" s="1">
        <v>676</v>
      </c>
      <c r="B678" t="s">
        <v>525</v>
      </c>
      <c r="C678" t="s">
        <v>564</v>
      </c>
      <c r="D678">
        <v>2172</v>
      </c>
      <c r="E678" t="s">
        <v>84</v>
      </c>
      <c r="F678" t="s">
        <v>569</v>
      </c>
      <c r="G678" t="s">
        <v>570</v>
      </c>
      <c r="H678" t="s">
        <v>571</v>
      </c>
      <c r="J678">
        <v>1</v>
      </c>
    </row>
    <row r="679" spans="1:10" x14ac:dyDescent="0.25">
      <c r="A679" s="1">
        <v>677</v>
      </c>
      <c r="B679" t="s">
        <v>525</v>
      </c>
      <c r="C679" t="s">
        <v>564</v>
      </c>
      <c r="E679" t="s">
        <v>553</v>
      </c>
    </row>
    <row r="680" spans="1:10" x14ac:dyDescent="0.25">
      <c r="A680" s="1">
        <v>678</v>
      </c>
      <c r="B680" t="s">
        <v>525</v>
      </c>
      <c r="C680" t="s">
        <v>564</v>
      </c>
      <c r="D680">
        <v>2170</v>
      </c>
      <c r="E680" t="s">
        <v>71</v>
      </c>
      <c r="F680" t="s">
        <v>72</v>
      </c>
      <c r="G680" t="s">
        <v>315</v>
      </c>
      <c r="H680" t="s">
        <v>572</v>
      </c>
    </row>
    <row r="681" spans="1:10" x14ac:dyDescent="0.25">
      <c r="A681" s="1">
        <v>679</v>
      </c>
      <c r="B681" t="s">
        <v>525</v>
      </c>
      <c r="C681" t="s">
        <v>564</v>
      </c>
      <c r="D681">
        <v>2167</v>
      </c>
      <c r="E681" t="s">
        <v>17</v>
      </c>
      <c r="F681" t="s">
        <v>539</v>
      </c>
      <c r="G681" t="s">
        <v>540</v>
      </c>
    </row>
    <row r="682" spans="1:10" x14ac:dyDescent="0.25">
      <c r="A682" s="1">
        <v>680</v>
      </c>
      <c r="B682" t="s">
        <v>525</v>
      </c>
      <c r="C682" t="s">
        <v>564</v>
      </c>
      <c r="D682">
        <v>2163</v>
      </c>
      <c r="E682" t="s">
        <v>553</v>
      </c>
      <c r="H682" t="s">
        <v>573</v>
      </c>
    </row>
    <row r="683" spans="1:10" x14ac:dyDescent="0.25">
      <c r="A683" s="1">
        <v>681</v>
      </c>
      <c r="B683" t="s">
        <v>525</v>
      </c>
      <c r="C683" t="s">
        <v>564</v>
      </c>
      <c r="D683">
        <v>2180</v>
      </c>
      <c r="E683" t="s">
        <v>39</v>
      </c>
      <c r="F683" t="s">
        <v>186</v>
      </c>
      <c r="G683" t="s">
        <v>431</v>
      </c>
      <c r="J683">
        <v>1</v>
      </c>
    </row>
    <row r="684" spans="1:10" x14ac:dyDescent="0.25">
      <c r="A684" s="1">
        <v>682</v>
      </c>
      <c r="B684" t="s">
        <v>525</v>
      </c>
      <c r="C684" t="s">
        <v>564</v>
      </c>
      <c r="E684" t="s">
        <v>17</v>
      </c>
      <c r="F684" t="s">
        <v>539</v>
      </c>
      <c r="G684" t="s">
        <v>540</v>
      </c>
    </row>
    <row r="685" spans="1:10" x14ac:dyDescent="0.25">
      <c r="A685" s="1">
        <v>683</v>
      </c>
      <c r="B685" t="s">
        <v>525</v>
      </c>
      <c r="C685" t="s">
        <v>564</v>
      </c>
      <c r="D685">
        <v>2175</v>
      </c>
      <c r="E685" t="s">
        <v>39</v>
      </c>
      <c r="F685" t="s">
        <v>88</v>
      </c>
      <c r="G685" t="s">
        <v>556</v>
      </c>
    </row>
    <row r="686" spans="1:10" x14ac:dyDescent="0.25">
      <c r="A686" s="1">
        <v>684</v>
      </c>
      <c r="B686" t="s">
        <v>525</v>
      </c>
      <c r="C686" t="s">
        <v>564</v>
      </c>
      <c r="D686">
        <v>2176</v>
      </c>
      <c r="E686" t="s">
        <v>39</v>
      </c>
      <c r="F686" t="s">
        <v>186</v>
      </c>
      <c r="G686" t="s">
        <v>431</v>
      </c>
    </row>
    <row r="687" spans="1:10" x14ac:dyDescent="0.25">
      <c r="A687" s="1">
        <v>685</v>
      </c>
      <c r="B687" t="s">
        <v>525</v>
      </c>
      <c r="C687" t="s">
        <v>564</v>
      </c>
      <c r="D687">
        <v>2182</v>
      </c>
      <c r="E687" t="s">
        <v>36</v>
      </c>
      <c r="F687" t="s">
        <v>37</v>
      </c>
      <c r="G687" t="s">
        <v>114</v>
      </c>
      <c r="H687" t="s">
        <v>574</v>
      </c>
    </row>
    <row r="688" spans="1:10" x14ac:dyDescent="0.25">
      <c r="A688" s="1">
        <v>686</v>
      </c>
      <c r="B688" t="s">
        <v>525</v>
      </c>
      <c r="C688" t="s">
        <v>564</v>
      </c>
      <c r="D688">
        <v>2177</v>
      </c>
      <c r="E688" t="s">
        <v>36</v>
      </c>
      <c r="F688" t="s">
        <v>575</v>
      </c>
      <c r="G688" t="s">
        <v>576</v>
      </c>
      <c r="H688" t="s">
        <v>577</v>
      </c>
      <c r="J688">
        <v>1</v>
      </c>
    </row>
    <row r="689" spans="1:10" x14ac:dyDescent="0.25">
      <c r="A689" s="1">
        <v>687</v>
      </c>
      <c r="B689" t="s">
        <v>525</v>
      </c>
      <c r="C689" t="s">
        <v>564</v>
      </c>
      <c r="D689">
        <v>2178</v>
      </c>
      <c r="E689" t="s">
        <v>17</v>
      </c>
      <c r="F689" t="s">
        <v>539</v>
      </c>
      <c r="G689" t="s">
        <v>540</v>
      </c>
    </row>
    <row r="690" spans="1:10" x14ac:dyDescent="0.25">
      <c r="A690" s="1">
        <v>688</v>
      </c>
      <c r="B690" t="s">
        <v>525</v>
      </c>
      <c r="C690" t="s">
        <v>564</v>
      </c>
      <c r="D690">
        <v>2179</v>
      </c>
      <c r="E690" t="s">
        <v>44</v>
      </c>
      <c r="F690" t="s">
        <v>578</v>
      </c>
      <c r="G690" t="s">
        <v>579</v>
      </c>
      <c r="J690">
        <v>1</v>
      </c>
    </row>
    <row r="691" spans="1:10" x14ac:dyDescent="0.25">
      <c r="A691" s="1">
        <v>689</v>
      </c>
      <c r="B691" t="s">
        <v>525</v>
      </c>
      <c r="C691" t="s">
        <v>564</v>
      </c>
      <c r="D691">
        <v>2189</v>
      </c>
      <c r="E691" t="s">
        <v>39</v>
      </c>
      <c r="F691" t="s">
        <v>88</v>
      </c>
      <c r="G691" t="s">
        <v>556</v>
      </c>
    </row>
    <row r="692" spans="1:10" x14ac:dyDescent="0.25">
      <c r="A692" s="1">
        <v>690</v>
      </c>
      <c r="B692" t="s">
        <v>525</v>
      </c>
      <c r="C692" t="s">
        <v>564</v>
      </c>
      <c r="D692">
        <v>2183</v>
      </c>
      <c r="E692" t="s">
        <v>24</v>
      </c>
      <c r="F692" t="s">
        <v>93</v>
      </c>
      <c r="G692" t="s">
        <v>94</v>
      </c>
    </row>
    <row r="693" spans="1:10" x14ac:dyDescent="0.25">
      <c r="A693" s="1">
        <v>691</v>
      </c>
      <c r="B693" t="s">
        <v>525</v>
      </c>
      <c r="C693" t="s">
        <v>564</v>
      </c>
      <c r="D693">
        <v>2186</v>
      </c>
      <c r="E693" t="s">
        <v>48</v>
      </c>
      <c r="F693" t="s">
        <v>90</v>
      </c>
      <c r="G693" t="s">
        <v>91</v>
      </c>
    </row>
    <row r="694" spans="1:10" x14ac:dyDescent="0.25">
      <c r="A694" s="1">
        <v>692</v>
      </c>
      <c r="B694" t="s">
        <v>525</v>
      </c>
      <c r="C694" t="s">
        <v>564</v>
      </c>
      <c r="D694">
        <v>2185</v>
      </c>
      <c r="E694" t="s">
        <v>55</v>
      </c>
      <c r="F694" t="s">
        <v>56</v>
      </c>
      <c r="G694" t="s">
        <v>580</v>
      </c>
      <c r="H694" t="s">
        <v>581</v>
      </c>
      <c r="J694">
        <v>1</v>
      </c>
    </row>
    <row r="695" spans="1:10" x14ac:dyDescent="0.25">
      <c r="A695" s="1">
        <v>693</v>
      </c>
      <c r="B695" t="s">
        <v>525</v>
      </c>
      <c r="C695" t="s">
        <v>564</v>
      </c>
      <c r="D695">
        <v>2184</v>
      </c>
      <c r="E695" t="s">
        <v>12</v>
      </c>
      <c r="F695" t="s">
        <v>582</v>
      </c>
      <c r="G695" t="s">
        <v>425</v>
      </c>
      <c r="H695" t="s">
        <v>583</v>
      </c>
      <c r="J695">
        <v>1</v>
      </c>
    </row>
    <row r="696" spans="1:10" x14ac:dyDescent="0.25">
      <c r="A696" s="1">
        <v>694</v>
      </c>
      <c r="B696" t="s">
        <v>525</v>
      </c>
      <c r="C696" t="s">
        <v>564</v>
      </c>
      <c r="D696">
        <v>2199</v>
      </c>
      <c r="E696" t="s">
        <v>84</v>
      </c>
      <c r="F696" t="s">
        <v>389</v>
      </c>
      <c r="G696" t="s">
        <v>584</v>
      </c>
      <c r="H696" t="s">
        <v>585</v>
      </c>
      <c r="J696">
        <v>1</v>
      </c>
    </row>
    <row r="697" spans="1:10" x14ac:dyDescent="0.25">
      <c r="A697" s="1">
        <v>695</v>
      </c>
      <c r="B697" t="s">
        <v>525</v>
      </c>
      <c r="C697" t="s">
        <v>564</v>
      </c>
      <c r="D697">
        <v>2195</v>
      </c>
      <c r="E697" t="s">
        <v>127</v>
      </c>
      <c r="F697" t="s">
        <v>586</v>
      </c>
      <c r="G697" t="s">
        <v>587</v>
      </c>
      <c r="H697" t="s">
        <v>588</v>
      </c>
      <c r="J697">
        <v>1</v>
      </c>
    </row>
    <row r="698" spans="1:10" x14ac:dyDescent="0.25">
      <c r="A698" s="1">
        <v>696</v>
      </c>
      <c r="B698" t="s">
        <v>525</v>
      </c>
      <c r="C698" t="s">
        <v>564</v>
      </c>
      <c r="D698">
        <v>2194</v>
      </c>
      <c r="E698" t="s">
        <v>17</v>
      </c>
      <c r="F698" t="s">
        <v>565</v>
      </c>
      <c r="G698" t="s">
        <v>566</v>
      </c>
    </row>
    <row r="699" spans="1:10" x14ac:dyDescent="0.25">
      <c r="A699" s="1">
        <v>697</v>
      </c>
      <c r="B699" t="s">
        <v>525</v>
      </c>
      <c r="C699" t="s">
        <v>564</v>
      </c>
      <c r="D699">
        <v>2193</v>
      </c>
      <c r="E699" t="s">
        <v>44</v>
      </c>
      <c r="F699" t="s">
        <v>578</v>
      </c>
      <c r="G699" t="s">
        <v>579</v>
      </c>
    </row>
    <row r="700" spans="1:10" x14ac:dyDescent="0.25">
      <c r="A700" s="1">
        <v>698</v>
      </c>
      <c r="B700" t="s">
        <v>525</v>
      </c>
      <c r="C700" t="s">
        <v>564</v>
      </c>
      <c r="D700">
        <v>2191</v>
      </c>
      <c r="E700" t="s">
        <v>17</v>
      </c>
      <c r="F700" t="s">
        <v>539</v>
      </c>
      <c r="G700" t="s">
        <v>540</v>
      </c>
      <c r="J700">
        <v>1</v>
      </c>
    </row>
    <row r="701" spans="1:10" x14ac:dyDescent="0.25">
      <c r="A701" s="1">
        <v>699</v>
      </c>
      <c r="B701" t="s">
        <v>525</v>
      </c>
      <c r="C701" t="s">
        <v>564</v>
      </c>
      <c r="D701">
        <v>2188</v>
      </c>
      <c r="E701" t="s">
        <v>589</v>
      </c>
      <c r="F701" t="s">
        <v>590</v>
      </c>
      <c r="G701" t="s">
        <v>591</v>
      </c>
    </row>
    <row r="702" spans="1:10" x14ac:dyDescent="0.25">
      <c r="A702" s="1">
        <v>700</v>
      </c>
      <c r="B702" t="s">
        <v>525</v>
      </c>
      <c r="C702" t="s">
        <v>564</v>
      </c>
      <c r="D702">
        <v>2187</v>
      </c>
      <c r="E702" t="s">
        <v>240</v>
      </c>
      <c r="F702" t="s">
        <v>592</v>
      </c>
      <c r="G702" t="s">
        <v>593</v>
      </c>
      <c r="H702" t="s">
        <v>594</v>
      </c>
    </row>
    <row r="703" spans="1:10" x14ac:dyDescent="0.25">
      <c r="A703" s="1">
        <v>701</v>
      </c>
      <c r="B703" t="s">
        <v>525</v>
      </c>
      <c r="C703" t="s">
        <v>564</v>
      </c>
      <c r="D703">
        <v>2162</v>
      </c>
      <c r="E703" t="s">
        <v>17</v>
      </c>
      <c r="F703" t="s">
        <v>539</v>
      </c>
      <c r="G703" t="s">
        <v>540</v>
      </c>
    </row>
    <row r="704" spans="1:10" x14ac:dyDescent="0.25">
      <c r="A704" s="1">
        <v>702</v>
      </c>
      <c r="B704" t="s">
        <v>525</v>
      </c>
      <c r="C704" t="s">
        <v>564</v>
      </c>
      <c r="D704">
        <v>2165</v>
      </c>
      <c r="E704" t="s">
        <v>71</v>
      </c>
      <c r="F704" t="s">
        <v>72</v>
      </c>
      <c r="G704" t="s">
        <v>315</v>
      </c>
    </row>
    <row r="705" spans="1:10" x14ac:dyDescent="0.25">
      <c r="A705" s="1">
        <v>703</v>
      </c>
      <c r="B705" t="s">
        <v>525</v>
      </c>
      <c r="C705" t="s">
        <v>564</v>
      </c>
      <c r="D705">
        <v>2169</v>
      </c>
      <c r="E705" t="s">
        <v>17</v>
      </c>
      <c r="F705" t="s">
        <v>539</v>
      </c>
      <c r="G705" t="s">
        <v>540</v>
      </c>
      <c r="H705" t="s">
        <v>595</v>
      </c>
    </row>
    <row r="706" spans="1:10" x14ac:dyDescent="0.25">
      <c r="A706" s="1">
        <v>704</v>
      </c>
      <c r="B706" t="s">
        <v>525</v>
      </c>
      <c r="C706" t="s">
        <v>564</v>
      </c>
      <c r="D706">
        <v>2173</v>
      </c>
      <c r="E706" t="s">
        <v>304</v>
      </c>
      <c r="H706" t="s">
        <v>596</v>
      </c>
    </row>
    <row r="707" spans="1:10" x14ac:dyDescent="0.25">
      <c r="A707" s="1">
        <v>705</v>
      </c>
      <c r="B707" t="s">
        <v>525</v>
      </c>
      <c r="C707" t="s">
        <v>564</v>
      </c>
      <c r="D707">
        <v>2174</v>
      </c>
      <c r="E707" t="s">
        <v>39</v>
      </c>
      <c r="F707" t="s">
        <v>186</v>
      </c>
      <c r="G707" t="s">
        <v>431</v>
      </c>
    </row>
    <row r="708" spans="1:10" x14ac:dyDescent="0.25">
      <c r="A708" s="1">
        <v>706</v>
      </c>
      <c r="B708" t="s">
        <v>525</v>
      </c>
      <c r="C708" t="s">
        <v>564</v>
      </c>
      <c r="D708">
        <v>2181</v>
      </c>
      <c r="E708" t="s">
        <v>20</v>
      </c>
      <c r="F708" t="s">
        <v>597</v>
      </c>
      <c r="G708" t="s">
        <v>598</v>
      </c>
      <c r="H708" t="s">
        <v>599</v>
      </c>
    </row>
    <row r="709" spans="1:10" x14ac:dyDescent="0.25">
      <c r="A709" s="1">
        <v>707</v>
      </c>
      <c r="B709" t="s">
        <v>525</v>
      </c>
      <c r="C709" t="s">
        <v>564</v>
      </c>
      <c r="D709">
        <v>2190</v>
      </c>
      <c r="E709" t="s">
        <v>182</v>
      </c>
      <c r="F709" t="s">
        <v>183</v>
      </c>
      <c r="G709" t="s">
        <v>184</v>
      </c>
      <c r="H709" t="s">
        <v>600</v>
      </c>
      <c r="J709">
        <v>1</v>
      </c>
    </row>
    <row r="710" spans="1:10" x14ac:dyDescent="0.25">
      <c r="A710" s="1">
        <v>708</v>
      </c>
      <c r="B710" t="s">
        <v>525</v>
      </c>
      <c r="C710" t="s">
        <v>564</v>
      </c>
      <c r="D710">
        <v>2192</v>
      </c>
      <c r="E710" t="s">
        <v>36</v>
      </c>
      <c r="F710" t="s">
        <v>37</v>
      </c>
      <c r="G710" t="s">
        <v>601</v>
      </c>
    </row>
    <row r="711" spans="1:10" x14ac:dyDescent="0.25">
      <c r="A711" s="1">
        <v>709</v>
      </c>
      <c r="B711" t="s">
        <v>525</v>
      </c>
      <c r="C711" t="s">
        <v>564</v>
      </c>
      <c r="D711">
        <v>2196</v>
      </c>
      <c r="E711" t="s">
        <v>330</v>
      </c>
      <c r="F711" t="s">
        <v>90</v>
      </c>
      <c r="G711" t="s">
        <v>91</v>
      </c>
    </row>
    <row r="712" spans="1:10" x14ac:dyDescent="0.25">
      <c r="A712" s="1">
        <v>710</v>
      </c>
      <c r="B712" t="s">
        <v>525</v>
      </c>
      <c r="C712" t="s">
        <v>564</v>
      </c>
      <c r="D712">
        <v>2197</v>
      </c>
      <c r="E712" t="s">
        <v>84</v>
      </c>
      <c r="F712" t="s">
        <v>385</v>
      </c>
      <c r="G712" t="s">
        <v>429</v>
      </c>
      <c r="H712" t="s">
        <v>602</v>
      </c>
      <c r="J712">
        <v>1</v>
      </c>
    </row>
    <row r="713" spans="1:10" x14ac:dyDescent="0.25">
      <c r="A713" s="1">
        <v>711</v>
      </c>
      <c r="B713" t="s">
        <v>525</v>
      </c>
      <c r="C713" t="s">
        <v>564</v>
      </c>
      <c r="D713">
        <v>2198</v>
      </c>
      <c r="E713" t="s">
        <v>20</v>
      </c>
      <c r="F713" t="s">
        <v>42</v>
      </c>
      <c r="G713" t="s">
        <v>603</v>
      </c>
      <c r="H713" t="s">
        <v>604</v>
      </c>
    </row>
    <row r="714" spans="1:10" x14ac:dyDescent="0.25">
      <c r="A714" s="1">
        <v>712</v>
      </c>
      <c r="B714" t="s">
        <v>525</v>
      </c>
      <c r="C714" t="s">
        <v>605</v>
      </c>
      <c r="D714">
        <v>2220</v>
      </c>
      <c r="E714" t="s">
        <v>188</v>
      </c>
      <c r="F714" t="s">
        <v>210</v>
      </c>
      <c r="G714" t="s">
        <v>54</v>
      </c>
      <c r="H714">
        <v>3892</v>
      </c>
      <c r="J714">
        <v>1</v>
      </c>
    </row>
    <row r="715" spans="1:10" x14ac:dyDescent="0.25">
      <c r="A715" s="1">
        <v>713</v>
      </c>
      <c r="B715" t="s">
        <v>525</v>
      </c>
      <c r="C715" t="s">
        <v>605</v>
      </c>
      <c r="D715">
        <v>2218</v>
      </c>
      <c r="E715" t="s">
        <v>63</v>
      </c>
      <c r="F715" t="s">
        <v>397</v>
      </c>
      <c r="G715" t="s">
        <v>606</v>
      </c>
      <c r="H715">
        <v>3882</v>
      </c>
      <c r="J715">
        <v>1</v>
      </c>
    </row>
    <row r="716" spans="1:10" x14ac:dyDescent="0.25">
      <c r="A716" s="1">
        <v>714</v>
      </c>
      <c r="B716" t="s">
        <v>525</v>
      </c>
      <c r="C716" t="s">
        <v>605</v>
      </c>
      <c r="D716">
        <v>2217</v>
      </c>
      <c r="E716" t="s">
        <v>39</v>
      </c>
      <c r="F716" t="s">
        <v>88</v>
      </c>
      <c r="G716" t="s">
        <v>607</v>
      </c>
      <c r="H716">
        <v>3881</v>
      </c>
      <c r="J716">
        <v>1</v>
      </c>
    </row>
    <row r="717" spans="1:10" x14ac:dyDescent="0.25">
      <c r="A717" s="1">
        <v>715</v>
      </c>
      <c r="B717" t="s">
        <v>525</v>
      </c>
      <c r="C717" t="s">
        <v>605</v>
      </c>
      <c r="E717" t="s">
        <v>122</v>
      </c>
    </row>
    <row r="718" spans="1:10" x14ac:dyDescent="0.25">
      <c r="A718" s="1">
        <v>716</v>
      </c>
      <c r="B718" t="s">
        <v>525</v>
      </c>
      <c r="C718" t="s">
        <v>605</v>
      </c>
      <c r="E718" t="s">
        <v>20</v>
      </c>
    </row>
    <row r="719" spans="1:10" x14ac:dyDescent="0.25">
      <c r="A719" s="1">
        <v>717</v>
      </c>
      <c r="B719" t="s">
        <v>525</v>
      </c>
      <c r="C719" t="s">
        <v>605</v>
      </c>
      <c r="E719" t="s">
        <v>71</v>
      </c>
      <c r="F719" t="s">
        <v>72</v>
      </c>
      <c r="J719">
        <v>1</v>
      </c>
    </row>
    <row r="720" spans="1:10" x14ac:dyDescent="0.25">
      <c r="A720" s="1">
        <v>718</v>
      </c>
      <c r="B720" t="s">
        <v>525</v>
      </c>
      <c r="C720" t="s">
        <v>605</v>
      </c>
      <c r="D720">
        <v>2216</v>
      </c>
      <c r="E720" t="s">
        <v>39</v>
      </c>
      <c r="F720" t="s">
        <v>186</v>
      </c>
      <c r="G720" t="s">
        <v>431</v>
      </c>
    </row>
    <row r="721" spans="1:10" x14ac:dyDescent="0.25">
      <c r="A721" s="1">
        <v>719</v>
      </c>
      <c r="B721" t="s">
        <v>525</v>
      </c>
      <c r="C721" t="s">
        <v>605</v>
      </c>
      <c r="D721">
        <v>2224</v>
      </c>
      <c r="E721" t="s">
        <v>71</v>
      </c>
      <c r="F721" t="s">
        <v>99</v>
      </c>
      <c r="G721" t="s">
        <v>608</v>
      </c>
      <c r="H721">
        <v>3885</v>
      </c>
      <c r="J721">
        <v>1</v>
      </c>
    </row>
    <row r="722" spans="1:10" x14ac:dyDescent="0.25">
      <c r="A722" s="1">
        <v>720</v>
      </c>
      <c r="B722" t="s">
        <v>525</v>
      </c>
      <c r="C722" t="s">
        <v>605</v>
      </c>
      <c r="D722">
        <v>2225</v>
      </c>
      <c r="E722" t="s">
        <v>223</v>
      </c>
      <c r="F722" t="s">
        <v>543</v>
      </c>
      <c r="G722" t="s">
        <v>544</v>
      </c>
    </row>
    <row r="723" spans="1:10" x14ac:dyDescent="0.25">
      <c r="A723" s="1">
        <v>721</v>
      </c>
      <c r="B723" t="s">
        <v>525</v>
      </c>
      <c r="C723" t="s">
        <v>605</v>
      </c>
      <c r="D723">
        <v>2246</v>
      </c>
      <c r="E723" t="s">
        <v>20</v>
      </c>
      <c r="F723" t="s">
        <v>609</v>
      </c>
      <c r="G723" t="s">
        <v>263</v>
      </c>
      <c r="H723">
        <v>3903</v>
      </c>
      <c r="J723">
        <v>1</v>
      </c>
    </row>
    <row r="724" spans="1:10" x14ac:dyDescent="0.25">
      <c r="A724" s="1">
        <v>722</v>
      </c>
      <c r="B724" t="s">
        <v>525</v>
      </c>
      <c r="C724" t="s">
        <v>605</v>
      </c>
      <c r="E724" t="s">
        <v>84</v>
      </c>
      <c r="F724" t="s">
        <v>389</v>
      </c>
      <c r="G724" t="s">
        <v>98</v>
      </c>
    </row>
    <row r="725" spans="1:10" x14ac:dyDescent="0.25">
      <c r="A725" s="1">
        <v>723</v>
      </c>
      <c r="B725" t="s">
        <v>525</v>
      </c>
      <c r="C725" t="s">
        <v>605</v>
      </c>
      <c r="D725">
        <v>2242</v>
      </c>
      <c r="E725" t="s">
        <v>12</v>
      </c>
      <c r="F725" t="s">
        <v>75</v>
      </c>
      <c r="G725" t="s">
        <v>610</v>
      </c>
    </row>
    <row r="726" spans="1:10" x14ac:dyDescent="0.25">
      <c r="A726" s="1">
        <v>724</v>
      </c>
      <c r="B726" t="s">
        <v>525</v>
      </c>
      <c r="C726" t="s">
        <v>605</v>
      </c>
      <c r="D726">
        <v>2245</v>
      </c>
      <c r="E726" t="s">
        <v>219</v>
      </c>
      <c r="F726" t="s">
        <v>220</v>
      </c>
      <c r="G726" t="s">
        <v>337</v>
      </c>
      <c r="H726">
        <v>3902</v>
      </c>
      <c r="J726">
        <v>1</v>
      </c>
    </row>
    <row r="727" spans="1:10" x14ac:dyDescent="0.25">
      <c r="A727" s="1">
        <v>725</v>
      </c>
      <c r="B727" t="s">
        <v>525</v>
      </c>
      <c r="C727" t="s">
        <v>605</v>
      </c>
      <c r="D727">
        <v>2238</v>
      </c>
      <c r="E727" t="s">
        <v>219</v>
      </c>
      <c r="F727" t="s">
        <v>409</v>
      </c>
      <c r="G727" t="s">
        <v>611</v>
      </c>
      <c r="H727">
        <v>3889</v>
      </c>
      <c r="J727">
        <v>1</v>
      </c>
    </row>
    <row r="728" spans="1:10" x14ac:dyDescent="0.25">
      <c r="A728" s="1">
        <v>726</v>
      </c>
      <c r="B728" t="s">
        <v>525</v>
      </c>
      <c r="C728" t="s">
        <v>605</v>
      </c>
      <c r="D728">
        <v>2234</v>
      </c>
      <c r="E728" t="s">
        <v>612</v>
      </c>
      <c r="F728" t="s">
        <v>613</v>
      </c>
      <c r="G728" t="s">
        <v>614</v>
      </c>
    </row>
    <row r="729" spans="1:10" x14ac:dyDescent="0.25">
      <c r="A729" s="1">
        <v>727</v>
      </c>
      <c r="B729" t="s">
        <v>525</v>
      </c>
      <c r="C729" t="s">
        <v>605</v>
      </c>
      <c r="D729">
        <v>2236</v>
      </c>
      <c r="E729" t="s">
        <v>95</v>
      </c>
      <c r="F729" t="s">
        <v>96</v>
      </c>
      <c r="G729" t="s">
        <v>541</v>
      </c>
      <c r="H729">
        <v>3888</v>
      </c>
      <c r="J729">
        <v>1</v>
      </c>
    </row>
    <row r="730" spans="1:10" x14ac:dyDescent="0.25">
      <c r="A730" s="1">
        <v>728</v>
      </c>
      <c r="B730" t="s">
        <v>525</v>
      </c>
      <c r="C730" t="s">
        <v>605</v>
      </c>
      <c r="D730">
        <v>2237</v>
      </c>
      <c r="E730" t="s">
        <v>95</v>
      </c>
      <c r="F730" t="s">
        <v>615</v>
      </c>
      <c r="G730" t="s">
        <v>180</v>
      </c>
    </row>
    <row r="731" spans="1:10" x14ac:dyDescent="0.25">
      <c r="A731" s="1">
        <v>729</v>
      </c>
      <c r="B731" t="s">
        <v>525</v>
      </c>
      <c r="C731" t="s">
        <v>605</v>
      </c>
      <c r="E731" t="s">
        <v>17</v>
      </c>
      <c r="F731" t="s">
        <v>616</v>
      </c>
    </row>
    <row r="732" spans="1:10" x14ac:dyDescent="0.25">
      <c r="A732" s="1">
        <v>730</v>
      </c>
      <c r="B732" t="s">
        <v>525</v>
      </c>
      <c r="C732" t="s">
        <v>605</v>
      </c>
      <c r="E732" t="s">
        <v>44</v>
      </c>
      <c r="F732" t="s">
        <v>617</v>
      </c>
      <c r="G732" t="s">
        <v>618</v>
      </c>
    </row>
    <row r="733" spans="1:10" x14ac:dyDescent="0.25">
      <c r="A733" s="1">
        <v>731</v>
      </c>
      <c r="B733" t="s">
        <v>525</v>
      </c>
      <c r="C733" t="s">
        <v>605</v>
      </c>
      <c r="E733" t="s">
        <v>122</v>
      </c>
    </row>
    <row r="734" spans="1:10" x14ac:dyDescent="0.25">
      <c r="A734" s="1">
        <v>732</v>
      </c>
      <c r="B734" t="s">
        <v>525</v>
      </c>
      <c r="C734" t="s">
        <v>605</v>
      </c>
      <c r="D734">
        <v>2233</v>
      </c>
      <c r="E734" t="s">
        <v>12</v>
      </c>
      <c r="F734" t="s">
        <v>75</v>
      </c>
      <c r="G734" t="s">
        <v>610</v>
      </c>
      <c r="H734">
        <v>3897</v>
      </c>
      <c r="J734">
        <v>1</v>
      </c>
    </row>
    <row r="735" spans="1:10" x14ac:dyDescent="0.25">
      <c r="A735" s="1">
        <v>733</v>
      </c>
      <c r="B735" t="s">
        <v>525</v>
      </c>
      <c r="C735" t="s">
        <v>605</v>
      </c>
      <c r="D735">
        <v>2239</v>
      </c>
      <c r="E735" t="s">
        <v>63</v>
      </c>
      <c r="F735" t="s">
        <v>397</v>
      </c>
      <c r="H735">
        <v>3899</v>
      </c>
      <c r="J735">
        <v>1</v>
      </c>
    </row>
    <row r="736" spans="1:10" x14ac:dyDescent="0.25">
      <c r="A736" s="1">
        <v>734</v>
      </c>
      <c r="B736" t="s">
        <v>525</v>
      </c>
      <c r="C736" t="s">
        <v>605</v>
      </c>
      <c r="E736" t="s">
        <v>619</v>
      </c>
      <c r="F736" t="s">
        <v>620</v>
      </c>
    </row>
    <row r="737" spans="1:10" x14ac:dyDescent="0.25">
      <c r="A737" s="1">
        <v>735</v>
      </c>
      <c r="B737" t="s">
        <v>525</v>
      </c>
      <c r="C737" t="s">
        <v>605</v>
      </c>
      <c r="E737" t="s">
        <v>619</v>
      </c>
      <c r="F737" t="s">
        <v>620</v>
      </c>
    </row>
    <row r="738" spans="1:10" x14ac:dyDescent="0.25">
      <c r="A738" s="1">
        <v>736</v>
      </c>
      <c r="B738" t="s">
        <v>525</v>
      </c>
      <c r="C738" t="s">
        <v>605</v>
      </c>
      <c r="D738">
        <v>2204</v>
      </c>
      <c r="E738" t="s">
        <v>67</v>
      </c>
      <c r="F738" t="s">
        <v>621</v>
      </c>
      <c r="G738" t="s">
        <v>622</v>
      </c>
      <c r="H738">
        <v>3886</v>
      </c>
    </row>
    <row r="739" spans="1:10" x14ac:dyDescent="0.25">
      <c r="A739" s="1">
        <v>737</v>
      </c>
      <c r="B739" t="s">
        <v>525</v>
      </c>
      <c r="C739" t="s">
        <v>605</v>
      </c>
      <c r="D739">
        <v>2206</v>
      </c>
      <c r="E739" t="s">
        <v>623</v>
      </c>
      <c r="F739" t="s">
        <v>624</v>
      </c>
      <c r="G739" t="s">
        <v>625</v>
      </c>
    </row>
    <row r="740" spans="1:10" x14ac:dyDescent="0.25">
      <c r="A740" s="1">
        <v>738</v>
      </c>
      <c r="B740" t="s">
        <v>525</v>
      </c>
      <c r="C740" t="s">
        <v>605</v>
      </c>
      <c r="D740">
        <v>2207</v>
      </c>
      <c r="E740" t="s">
        <v>84</v>
      </c>
      <c r="F740" t="s">
        <v>626</v>
      </c>
      <c r="G740" t="s">
        <v>627</v>
      </c>
      <c r="H740">
        <v>3877</v>
      </c>
      <c r="J740">
        <v>1</v>
      </c>
    </row>
    <row r="741" spans="1:10" x14ac:dyDescent="0.25">
      <c r="A741" s="1">
        <v>739</v>
      </c>
      <c r="B741" t="s">
        <v>525</v>
      </c>
      <c r="C741" t="s">
        <v>605</v>
      </c>
      <c r="D741">
        <v>2208</v>
      </c>
      <c r="E741" t="s">
        <v>14</v>
      </c>
      <c r="F741" t="s">
        <v>277</v>
      </c>
    </row>
    <row r="742" spans="1:10" x14ac:dyDescent="0.25">
      <c r="A742" s="1">
        <v>740</v>
      </c>
      <c r="B742" t="s">
        <v>525</v>
      </c>
      <c r="C742" t="s">
        <v>605</v>
      </c>
      <c r="D742">
        <v>2231</v>
      </c>
      <c r="E742" t="s">
        <v>44</v>
      </c>
      <c r="F742" t="s">
        <v>620</v>
      </c>
      <c r="G742" t="s">
        <v>628</v>
      </c>
      <c r="H742">
        <v>3895</v>
      </c>
    </row>
    <row r="743" spans="1:10" x14ac:dyDescent="0.25">
      <c r="A743" s="1">
        <v>741</v>
      </c>
      <c r="B743" t="s">
        <v>525</v>
      </c>
      <c r="C743" t="s">
        <v>605</v>
      </c>
      <c r="E743" t="s">
        <v>122</v>
      </c>
    </row>
    <row r="744" spans="1:10" x14ac:dyDescent="0.25">
      <c r="A744" s="1">
        <v>742</v>
      </c>
      <c r="B744" t="s">
        <v>525</v>
      </c>
      <c r="C744" t="s">
        <v>605</v>
      </c>
      <c r="E744" t="s">
        <v>71</v>
      </c>
      <c r="F744" t="s">
        <v>72</v>
      </c>
    </row>
    <row r="745" spans="1:10" x14ac:dyDescent="0.25">
      <c r="A745" s="1">
        <v>743</v>
      </c>
      <c r="B745" t="s">
        <v>525</v>
      </c>
      <c r="C745" t="s">
        <v>605</v>
      </c>
      <c r="D745">
        <v>2205</v>
      </c>
      <c r="E745" t="s">
        <v>12</v>
      </c>
      <c r="F745" t="s">
        <v>149</v>
      </c>
      <c r="G745" t="s">
        <v>629</v>
      </c>
      <c r="H745">
        <v>3876</v>
      </c>
      <c r="J745">
        <v>1</v>
      </c>
    </row>
    <row r="746" spans="1:10" x14ac:dyDescent="0.25">
      <c r="A746" s="1">
        <v>744</v>
      </c>
      <c r="B746" t="s">
        <v>525</v>
      </c>
      <c r="C746" t="s">
        <v>605</v>
      </c>
      <c r="D746">
        <v>2205</v>
      </c>
      <c r="E746" t="s">
        <v>12</v>
      </c>
      <c r="F746" t="s">
        <v>149</v>
      </c>
      <c r="G746" t="s">
        <v>629</v>
      </c>
      <c r="H746" t="s">
        <v>630</v>
      </c>
    </row>
    <row r="747" spans="1:10" x14ac:dyDescent="0.25">
      <c r="A747" s="1">
        <v>745</v>
      </c>
      <c r="B747" t="s">
        <v>525</v>
      </c>
      <c r="C747" t="s">
        <v>605</v>
      </c>
      <c r="D747">
        <v>2230</v>
      </c>
      <c r="E747" t="s">
        <v>623</v>
      </c>
      <c r="F747" t="s">
        <v>624</v>
      </c>
      <c r="G747" t="s">
        <v>625</v>
      </c>
      <c r="H747">
        <v>3887</v>
      </c>
    </row>
    <row r="748" spans="1:10" x14ac:dyDescent="0.25">
      <c r="A748" s="1">
        <v>746</v>
      </c>
      <c r="B748" t="s">
        <v>525</v>
      </c>
      <c r="C748" t="s">
        <v>605</v>
      </c>
      <c r="E748" t="s">
        <v>122</v>
      </c>
    </row>
    <row r="749" spans="1:10" x14ac:dyDescent="0.25">
      <c r="A749" s="1">
        <v>747</v>
      </c>
      <c r="B749" t="s">
        <v>525</v>
      </c>
      <c r="C749" t="s">
        <v>605</v>
      </c>
      <c r="D749">
        <v>2201</v>
      </c>
      <c r="E749" t="s">
        <v>223</v>
      </c>
      <c r="F749" t="s">
        <v>351</v>
      </c>
      <c r="G749" t="s">
        <v>631</v>
      </c>
      <c r="H749">
        <v>3872</v>
      </c>
    </row>
    <row r="750" spans="1:10" x14ac:dyDescent="0.25">
      <c r="A750" s="1">
        <v>748</v>
      </c>
      <c r="B750" t="s">
        <v>525</v>
      </c>
      <c r="C750" t="s">
        <v>605</v>
      </c>
      <c r="D750">
        <v>2202</v>
      </c>
      <c r="E750" t="s">
        <v>632</v>
      </c>
      <c r="F750" t="s">
        <v>633</v>
      </c>
      <c r="G750" t="s">
        <v>634</v>
      </c>
      <c r="H750">
        <v>3873</v>
      </c>
      <c r="J750">
        <v>1</v>
      </c>
    </row>
    <row r="751" spans="1:10" x14ac:dyDescent="0.25">
      <c r="A751" s="1">
        <v>749</v>
      </c>
      <c r="B751" t="s">
        <v>525</v>
      </c>
      <c r="C751" t="s">
        <v>605</v>
      </c>
      <c r="E751" t="s">
        <v>71</v>
      </c>
      <c r="F751" t="s">
        <v>72</v>
      </c>
      <c r="G751" t="s">
        <v>156</v>
      </c>
    </row>
    <row r="752" spans="1:10" x14ac:dyDescent="0.25">
      <c r="A752" s="1">
        <v>750</v>
      </c>
      <c r="B752" t="s">
        <v>525</v>
      </c>
      <c r="C752" t="s">
        <v>605</v>
      </c>
      <c r="D752">
        <v>2209</v>
      </c>
      <c r="E752" t="s">
        <v>44</v>
      </c>
      <c r="F752" t="s">
        <v>620</v>
      </c>
      <c r="G752" t="s">
        <v>628</v>
      </c>
      <c r="H752">
        <v>3875</v>
      </c>
    </row>
    <row r="753" spans="1:8" x14ac:dyDescent="0.25">
      <c r="A753" s="1">
        <v>751</v>
      </c>
      <c r="B753" t="s">
        <v>525</v>
      </c>
      <c r="C753" t="s">
        <v>605</v>
      </c>
      <c r="D753">
        <v>2200</v>
      </c>
      <c r="E753" t="s">
        <v>27</v>
      </c>
      <c r="F753" t="s">
        <v>635</v>
      </c>
      <c r="G753" t="s">
        <v>636</v>
      </c>
      <c r="H753">
        <v>3871</v>
      </c>
    </row>
    <row r="754" spans="1:8" x14ac:dyDescent="0.25">
      <c r="A754" s="1">
        <v>752</v>
      </c>
      <c r="B754" t="s">
        <v>525</v>
      </c>
      <c r="C754" t="s">
        <v>605</v>
      </c>
      <c r="D754">
        <v>2203</v>
      </c>
      <c r="E754" t="s">
        <v>36</v>
      </c>
      <c r="F754" t="s">
        <v>37</v>
      </c>
      <c r="G754" t="s">
        <v>215</v>
      </c>
      <c r="H754">
        <v>3874</v>
      </c>
    </row>
    <row r="755" spans="1:8" x14ac:dyDescent="0.25">
      <c r="A755" s="1">
        <v>753</v>
      </c>
      <c r="B755" t="s">
        <v>525</v>
      </c>
      <c r="C755" t="s">
        <v>605</v>
      </c>
      <c r="D755">
        <v>2210</v>
      </c>
      <c r="E755" t="s">
        <v>95</v>
      </c>
      <c r="F755" t="s">
        <v>204</v>
      </c>
      <c r="G755" t="s">
        <v>229</v>
      </c>
      <c r="H755">
        <v>3878</v>
      </c>
    </row>
    <row r="756" spans="1:8" x14ac:dyDescent="0.25">
      <c r="A756" s="1">
        <v>754</v>
      </c>
      <c r="B756" t="s">
        <v>525</v>
      </c>
      <c r="C756" t="s">
        <v>605</v>
      </c>
      <c r="D756">
        <v>2211</v>
      </c>
      <c r="E756" t="s">
        <v>39</v>
      </c>
      <c r="F756" t="s">
        <v>186</v>
      </c>
      <c r="G756" t="s">
        <v>431</v>
      </c>
    </row>
    <row r="757" spans="1:8" x14ac:dyDescent="0.25">
      <c r="A757" s="1">
        <v>755</v>
      </c>
      <c r="B757" t="s">
        <v>525</v>
      </c>
      <c r="C757" t="s">
        <v>605</v>
      </c>
      <c r="D757">
        <v>2212</v>
      </c>
      <c r="E757" t="s">
        <v>12</v>
      </c>
      <c r="F757" t="s">
        <v>637</v>
      </c>
      <c r="H757">
        <v>3879</v>
      </c>
    </row>
    <row r="758" spans="1:8" x14ac:dyDescent="0.25">
      <c r="A758" s="1">
        <v>756</v>
      </c>
      <c r="B758" t="s">
        <v>525</v>
      </c>
      <c r="C758" t="s">
        <v>605</v>
      </c>
      <c r="D758">
        <v>2213</v>
      </c>
      <c r="E758" t="s">
        <v>39</v>
      </c>
      <c r="F758" t="s">
        <v>638</v>
      </c>
      <c r="G758" t="s">
        <v>639</v>
      </c>
      <c r="H758">
        <v>3880</v>
      </c>
    </row>
    <row r="759" spans="1:8" x14ac:dyDescent="0.25">
      <c r="A759" s="1">
        <v>757</v>
      </c>
      <c r="B759" t="s">
        <v>525</v>
      </c>
      <c r="C759" t="s">
        <v>605</v>
      </c>
      <c r="D759">
        <v>2214</v>
      </c>
      <c r="E759" t="s">
        <v>71</v>
      </c>
      <c r="F759" t="s">
        <v>72</v>
      </c>
      <c r="G759" t="s">
        <v>156</v>
      </c>
      <c r="H759">
        <v>3890</v>
      </c>
    </row>
    <row r="760" spans="1:8" x14ac:dyDescent="0.25">
      <c r="A760" s="1">
        <v>758</v>
      </c>
      <c r="B760" t="s">
        <v>525</v>
      </c>
      <c r="C760" t="s">
        <v>605</v>
      </c>
      <c r="D760">
        <v>2215</v>
      </c>
      <c r="E760" t="s">
        <v>20</v>
      </c>
      <c r="F760" t="s">
        <v>53</v>
      </c>
      <c r="H760">
        <v>3891</v>
      </c>
    </row>
    <row r="761" spans="1:8" x14ac:dyDescent="0.25">
      <c r="A761" s="1">
        <v>759</v>
      </c>
      <c r="B761" t="s">
        <v>525</v>
      </c>
      <c r="C761" t="s">
        <v>605</v>
      </c>
      <c r="D761">
        <v>2219</v>
      </c>
      <c r="E761" t="s">
        <v>178</v>
      </c>
      <c r="F761" t="s">
        <v>179</v>
      </c>
      <c r="G761" t="s">
        <v>180</v>
      </c>
      <c r="H761">
        <v>3883</v>
      </c>
    </row>
    <row r="762" spans="1:8" x14ac:dyDescent="0.25">
      <c r="A762" s="1">
        <v>760</v>
      </c>
      <c r="B762" t="s">
        <v>525</v>
      </c>
      <c r="C762" t="s">
        <v>605</v>
      </c>
      <c r="D762">
        <v>2221</v>
      </c>
      <c r="E762" t="s">
        <v>39</v>
      </c>
      <c r="F762" t="s">
        <v>186</v>
      </c>
      <c r="G762" t="s">
        <v>431</v>
      </c>
    </row>
    <row r="763" spans="1:8" x14ac:dyDescent="0.25">
      <c r="A763" s="1">
        <v>761</v>
      </c>
      <c r="B763" t="s">
        <v>525</v>
      </c>
      <c r="C763" t="s">
        <v>605</v>
      </c>
      <c r="D763">
        <v>2222</v>
      </c>
      <c r="E763" t="s">
        <v>122</v>
      </c>
      <c r="H763">
        <v>3884</v>
      </c>
    </row>
    <row r="764" spans="1:8" x14ac:dyDescent="0.25">
      <c r="A764" s="1">
        <v>762</v>
      </c>
      <c r="B764" t="s">
        <v>525</v>
      </c>
      <c r="C764" t="s">
        <v>605</v>
      </c>
      <c r="D764">
        <v>2223</v>
      </c>
      <c r="E764" t="s">
        <v>39</v>
      </c>
      <c r="F764" t="s">
        <v>186</v>
      </c>
      <c r="G764" t="s">
        <v>431</v>
      </c>
      <c r="H764">
        <v>3893</v>
      </c>
    </row>
    <row r="765" spans="1:8" x14ac:dyDescent="0.25">
      <c r="A765" s="1">
        <v>763</v>
      </c>
      <c r="B765" t="s">
        <v>525</v>
      </c>
      <c r="C765" t="s">
        <v>605</v>
      </c>
      <c r="D765">
        <v>2226</v>
      </c>
      <c r="E765" t="s">
        <v>17</v>
      </c>
      <c r="F765" t="s">
        <v>539</v>
      </c>
      <c r="G765" t="s">
        <v>540</v>
      </c>
    </row>
    <row r="766" spans="1:8" x14ac:dyDescent="0.25">
      <c r="A766" s="1">
        <v>764</v>
      </c>
      <c r="B766" t="s">
        <v>525</v>
      </c>
      <c r="C766" t="s">
        <v>605</v>
      </c>
      <c r="D766">
        <v>2227</v>
      </c>
      <c r="E766" t="s">
        <v>39</v>
      </c>
      <c r="F766" t="s">
        <v>88</v>
      </c>
      <c r="G766" t="s">
        <v>640</v>
      </c>
      <c r="H766">
        <v>3894</v>
      </c>
    </row>
    <row r="767" spans="1:8" x14ac:dyDescent="0.25">
      <c r="A767" s="1">
        <v>765</v>
      </c>
      <c r="B767" t="s">
        <v>525</v>
      </c>
      <c r="C767" t="s">
        <v>605</v>
      </c>
      <c r="D767">
        <v>2228</v>
      </c>
      <c r="E767" t="s">
        <v>71</v>
      </c>
      <c r="F767" t="s">
        <v>72</v>
      </c>
      <c r="G767" t="s">
        <v>315</v>
      </c>
    </row>
    <row r="768" spans="1:8" x14ac:dyDescent="0.25">
      <c r="A768" s="1">
        <v>766</v>
      </c>
      <c r="B768" t="s">
        <v>525</v>
      </c>
      <c r="C768" t="s">
        <v>605</v>
      </c>
      <c r="D768">
        <v>2229</v>
      </c>
      <c r="E768" t="s">
        <v>178</v>
      </c>
      <c r="F768" t="s">
        <v>179</v>
      </c>
      <c r="G768" t="s">
        <v>180</v>
      </c>
    </row>
    <row r="769" spans="1:8" x14ac:dyDescent="0.25">
      <c r="A769" s="1">
        <v>767</v>
      </c>
      <c r="B769" t="s">
        <v>525</v>
      </c>
      <c r="C769" t="s">
        <v>605</v>
      </c>
      <c r="D769">
        <v>2232</v>
      </c>
      <c r="E769" t="s">
        <v>36</v>
      </c>
      <c r="F769" t="s">
        <v>37</v>
      </c>
      <c r="G769" t="s">
        <v>641</v>
      </c>
      <c r="H769">
        <v>3896</v>
      </c>
    </row>
    <row r="770" spans="1:8" x14ac:dyDescent="0.25">
      <c r="A770" s="1">
        <v>768</v>
      </c>
      <c r="B770" t="s">
        <v>525</v>
      </c>
      <c r="C770" t="s">
        <v>605</v>
      </c>
      <c r="D770">
        <v>2235</v>
      </c>
      <c r="E770" t="s">
        <v>17</v>
      </c>
      <c r="F770" t="s">
        <v>642</v>
      </c>
      <c r="G770" t="s">
        <v>579</v>
      </c>
      <c r="H770">
        <v>3898</v>
      </c>
    </row>
    <row r="771" spans="1:8" x14ac:dyDescent="0.25">
      <c r="A771" s="1">
        <v>769</v>
      </c>
      <c r="B771" t="s">
        <v>525</v>
      </c>
      <c r="C771" t="s">
        <v>605</v>
      </c>
      <c r="D771">
        <v>2240</v>
      </c>
      <c r="E771" t="s">
        <v>612</v>
      </c>
      <c r="F771" t="s">
        <v>613</v>
      </c>
      <c r="G771" t="s">
        <v>614</v>
      </c>
    </row>
    <row r="772" spans="1:8" x14ac:dyDescent="0.25">
      <c r="A772" s="1">
        <v>770</v>
      </c>
      <c r="B772" t="s">
        <v>525</v>
      </c>
      <c r="C772" t="s">
        <v>605</v>
      </c>
      <c r="D772">
        <v>2241</v>
      </c>
      <c r="E772" t="s">
        <v>48</v>
      </c>
      <c r="F772" t="s">
        <v>49</v>
      </c>
      <c r="G772" t="s">
        <v>643</v>
      </c>
    </row>
    <row r="773" spans="1:8" x14ac:dyDescent="0.25">
      <c r="A773" s="1">
        <v>771</v>
      </c>
      <c r="B773" t="s">
        <v>525</v>
      </c>
      <c r="C773" t="s">
        <v>605</v>
      </c>
      <c r="D773">
        <v>2243</v>
      </c>
      <c r="E773" t="s">
        <v>84</v>
      </c>
      <c r="H773">
        <v>3900</v>
      </c>
    </row>
    <row r="774" spans="1:8" x14ac:dyDescent="0.25">
      <c r="A774" s="1">
        <v>772</v>
      </c>
      <c r="B774" t="s">
        <v>525</v>
      </c>
      <c r="C774" t="s">
        <v>605</v>
      </c>
      <c r="D774">
        <v>2244</v>
      </c>
      <c r="E774" t="s">
        <v>115</v>
      </c>
      <c r="F774" t="s">
        <v>644</v>
      </c>
      <c r="G774" t="s">
        <v>645</v>
      </c>
      <c r="H774">
        <v>3901</v>
      </c>
    </row>
    <row r="775" spans="1:8" x14ac:dyDescent="0.25">
      <c r="A775" s="1">
        <v>773</v>
      </c>
      <c r="B775" t="s">
        <v>525</v>
      </c>
      <c r="C775" t="s">
        <v>605</v>
      </c>
      <c r="D775" t="s">
        <v>59</v>
      </c>
      <c r="E775" t="s">
        <v>63</v>
      </c>
    </row>
    <row r="776" spans="1:8" x14ac:dyDescent="0.25">
      <c r="A776" s="1">
        <v>774</v>
      </c>
      <c r="B776" t="s">
        <v>525</v>
      </c>
      <c r="C776" t="s">
        <v>605</v>
      </c>
      <c r="D776" t="s">
        <v>61</v>
      </c>
      <c r="E776" t="s">
        <v>122</v>
      </c>
    </row>
    <row r="777" spans="1:8" x14ac:dyDescent="0.25">
      <c r="A777" s="1">
        <v>775</v>
      </c>
      <c r="B777" t="s">
        <v>525</v>
      </c>
      <c r="C777" t="s">
        <v>646</v>
      </c>
      <c r="D777">
        <v>2247</v>
      </c>
      <c r="E777" t="s">
        <v>17</v>
      </c>
      <c r="F777" t="s">
        <v>539</v>
      </c>
      <c r="G777" t="s">
        <v>540</v>
      </c>
    </row>
    <row r="778" spans="1:8" x14ac:dyDescent="0.25">
      <c r="A778" s="1">
        <v>776</v>
      </c>
      <c r="B778" t="s">
        <v>525</v>
      </c>
      <c r="C778" t="s">
        <v>646</v>
      </c>
      <c r="D778">
        <v>2248</v>
      </c>
      <c r="E778" t="s">
        <v>84</v>
      </c>
      <c r="F778" t="s">
        <v>385</v>
      </c>
      <c r="H778" t="s">
        <v>647</v>
      </c>
    </row>
    <row r="779" spans="1:8" x14ac:dyDescent="0.25">
      <c r="A779" s="1">
        <v>777</v>
      </c>
      <c r="B779" t="s">
        <v>525</v>
      </c>
      <c r="C779" t="s">
        <v>646</v>
      </c>
      <c r="D779">
        <v>2249</v>
      </c>
      <c r="E779" t="s">
        <v>27</v>
      </c>
      <c r="F779" t="s">
        <v>28</v>
      </c>
      <c r="G779" t="s">
        <v>648</v>
      </c>
    </row>
    <row r="780" spans="1:8" x14ac:dyDescent="0.25">
      <c r="A780" s="1">
        <v>778</v>
      </c>
      <c r="B780" t="s">
        <v>525</v>
      </c>
      <c r="C780" t="s">
        <v>646</v>
      </c>
      <c r="D780">
        <v>2250</v>
      </c>
      <c r="E780" t="s">
        <v>17</v>
      </c>
      <c r="F780" t="s">
        <v>539</v>
      </c>
      <c r="G780" t="s">
        <v>540</v>
      </c>
    </row>
    <row r="781" spans="1:8" x14ac:dyDescent="0.25">
      <c r="A781" s="1">
        <v>779</v>
      </c>
      <c r="B781" t="s">
        <v>525</v>
      </c>
      <c r="C781" t="s">
        <v>646</v>
      </c>
      <c r="D781">
        <v>2251</v>
      </c>
      <c r="E781" t="s">
        <v>400</v>
      </c>
      <c r="F781" t="s">
        <v>401</v>
      </c>
      <c r="G781" t="s">
        <v>383</v>
      </c>
      <c r="H781" t="s">
        <v>649</v>
      </c>
    </row>
    <row r="782" spans="1:8" x14ac:dyDescent="0.25">
      <c r="A782" s="1">
        <v>780</v>
      </c>
      <c r="B782" t="s">
        <v>525</v>
      </c>
      <c r="C782" t="s">
        <v>646</v>
      </c>
      <c r="D782">
        <v>2252</v>
      </c>
      <c r="E782" t="s">
        <v>84</v>
      </c>
      <c r="H782" t="s">
        <v>650</v>
      </c>
    </row>
    <row r="783" spans="1:8" x14ac:dyDescent="0.25">
      <c r="A783" s="1">
        <v>781</v>
      </c>
      <c r="B783" t="s">
        <v>525</v>
      </c>
      <c r="C783" t="s">
        <v>646</v>
      </c>
      <c r="D783">
        <v>2253</v>
      </c>
      <c r="E783" t="s">
        <v>36</v>
      </c>
      <c r="F783" t="s">
        <v>37</v>
      </c>
      <c r="G783" t="s">
        <v>651</v>
      </c>
      <c r="H783" t="s">
        <v>652</v>
      </c>
    </row>
    <row r="784" spans="1:8" x14ac:dyDescent="0.25">
      <c r="A784" s="1">
        <v>782</v>
      </c>
      <c r="B784" t="s">
        <v>525</v>
      </c>
      <c r="C784" t="s">
        <v>646</v>
      </c>
      <c r="D784">
        <v>2254</v>
      </c>
      <c r="E784" t="s">
        <v>17</v>
      </c>
      <c r="F784" t="s">
        <v>565</v>
      </c>
      <c r="G784" t="s">
        <v>566</v>
      </c>
    </row>
    <row r="785" spans="1:8" x14ac:dyDescent="0.25">
      <c r="A785" s="1">
        <v>783</v>
      </c>
      <c r="B785" t="s">
        <v>525</v>
      </c>
      <c r="C785" t="s">
        <v>646</v>
      </c>
      <c r="D785">
        <v>2255</v>
      </c>
      <c r="E785" t="s">
        <v>17</v>
      </c>
      <c r="F785" t="s">
        <v>539</v>
      </c>
      <c r="G785" t="s">
        <v>540</v>
      </c>
      <c r="H785" t="s">
        <v>653</v>
      </c>
    </row>
    <row r="786" spans="1:8" x14ac:dyDescent="0.25">
      <c r="A786" s="1">
        <v>784</v>
      </c>
      <c r="B786" t="s">
        <v>525</v>
      </c>
      <c r="C786" t="s">
        <v>646</v>
      </c>
      <c r="D786">
        <v>2256</v>
      </c>
      <c r="E786" t="s">
        <v>71</v>
      </c>
      <c r="F786" t="s">
        <v>99</v>
      </c>
      <c r="G786" t="s">
        <v>450</v>
      </c>
      <c r="H786" t="s">
        <v>654</v>
      </c>
    </row>
    <row r="787" spans="1:8" x14ac:dyDescent="0.25">
      <c r="A787" s="1">
        <v>785</v>
      </c>
      <c r="B787" t="s">
        <v>525</v>
      </c>
      <c r="C787" t="s">
        <v>646</v>
      </c>
      <c r="D787">
        <v>2257</v>
      </c>
      <c r="E787" t="s">
        <v>84</v>
      </c>
      <c r="F787" t="s">
        <v>385</v>
      </c>
    </row>
    <row r="788" spans="1:8" x14ac:dyDescent="0.25">
      <c r="A788" s="1">
        <v>786</v>
      </c>
      <c r="B788" t="s">
        <v>525</v>
      </c>
      <c r="C788" t="s">
        <v>646</v>
      </c>
      <c r="D788">
        <v>2258</v>
      </c>
      <c r="E788" t="s">
        <v>400</v>
      </c>
      <c r="F788" t="s">
        <v>401</v>
      </c>
      <c r="G788" t="s">
        <v>383</v>
      </c>
    </row>
    <row r="789" spans="1:8" x14ac:dyDescent="0.25">
      <c r="A789" s="1">
        <v>787</v>
      </c>
      <c r="B789" t="s">
        <v>525</v>
      </c>
      <c r="C789" t="s">
        <v>646</v>
      </c>
      <c r="D789">
        <v>2259</v>
      </c>
      <c r="E789" t="s">
        <v>207</v>
      </c>
      <c r="F789" t="s">
        <v>237</v>
      </c>
      <c r="G789" t="s">
        <v>655</v>
      </c>
      <c r="H789" t="s">
        <v>656</v>
      </c>
    </row>
    <row r="790" spans="1:8" x14ac:dyDescent="0.25">
      <c r="A790" s="1">
        <v>788</v>
      </c>
      <c r="B790" t="s">
        <v>525</v>
      </c>
      <c r="C790" t="s">
        <v>646</v>
      </c>
      <c r="D790">
        <v>2260</v>
      </c>
      <c r="E790" t="s">
        <v>265</v>
      </c>
      <c r="F790" t="s">
        <v>657</v>
      </c>
      <c r="G790" t="s">
        <v>180</v>
      </c>
      <c r="H790" t="s">
        <v>658</v>
      </c>
    </row>
    <row r="791" spans="1:8" x14ac:dyDescent="0.25">
      <c r="A791" s="1">
        <v>789</v>
      </c>
      <c r="B791" t="s">
        <v>525</v>
      </c>
      <c r="C791" t="s">
        <v>646</v>
      </c>
      <c r="D791">
        <v>2261</v>
      </c>
      <c r="E791" t="s">
        <v>84</v>
      </c>
      <c r="F791" t="s">
        <v>174</v>
      </c>
      <c r="H791" t="s">
        <v>659</v>
      </c>
    </row>
    <row r="792" spans="1:8" x14ac:dyDescent="0.25">
      <c r="A792" s="1">
        <v>790</v>
      </c>
      <c r="B792" t="s">
        <v>525</v>
      </c>
      <c r="C792" t="s">
        <v>646</v>
      </c>
      <c r="D792">
        <v>2262</v>
      </c>
      <c r="E792" t="s">
        <v>115</v>
      </c>
      <c r="F792" t="s">
        <v>116</v>
      </c>
      <c r="G792" t="s">
        <v>660</v>
      </c>
      <c r="H792" t="s">
        <v>661</v>
      </c>
    </row>
    <row r="793" spans="1:8" x14ac:dyDescent="0.25">
      <c r="A793" s="1">
        <v>791</v>
      </c>
      <c r="B793" t="s">
        <v>525</v>
      </c>
      <c r="C793" t="s">
        <v>646</v>
      </c>
      <c r="D793">
        <v>2263</v>
      </c>
      <c r="E793" t="s">
        <v>400</v>
      </c>
      <c r="F793" t="s">
        <v>401</v>
      </c>
      <c r="G793" t="s">
        <v>383</v>
      </c>
    </row>
    <row r="794" spans="1:8" x14ac:dyDescent="0.25">
      <c r="A794" s="1">
        <v>792</v>
      </c>
      <c r="B794" t="s">
        <v>525</v>
      </c>
      <c r="C794" t="s">
        <v>646</v>
      </c>
      <c r="D794">
        <v>2264</v>
      </c>
      <c r="E794" t="s">
        <v>458</v>
      </c>
      <c r="F794" t="s">
        <v>459</v>
      </c>
      <c r="H794" t="s">
        <v>662</v>
      </c>
    </row>
    <row r="795" spans="1:8" x14ac:dyDescent="0.25">
      <c r="A795" s="1">
        <v>793</v>
      </c>
      <c r="B795" t="s">
        <v>525</v>
      </c>
      <c r="C795" t="s">
        <v>646</v>
      </c>
      <c r="D795">
        <v>2265</v>
      </c>
      <c r="E795" t="s">
        <v>84</v>
      </c>
      <c r="F795" t="s">
        <v>385</v>
      </c>
    </row>
    <row r="796" spans="1:8" x14ac:dyDescent="0.25">
      <c r="A796" s="1">
        <v>794</v>
      </c>
      <c r="B796" t="s">
        <v>525</v>
      </c>
      <c r="C796" t="s">
        <v>646</v>
      </c>
      <c r="D796">
        <v>2266</v>
      </c>
      <c r="E796" t="s">
        <v>17</v>
      </c>
      <c r="F796" t="s">
        <v>565</v>
      </c>
      <c r="G796" t="s">
        <v>566</v>
      </c>
      <c r="H796" t="s">
        <v>663</v>
      </c>
    </row>
    <row r="797" spans="1:8" x14ac:dyDescent="0.25">
      <c r="A797" s="1">
        <v>795</v>
      </c>
      <c r="B797" t="s">
        <v>525</v>
      </c>
      <c r="C797" t="s">
        <v>646</v>
      </c>
      <c r="D797">
        <v>2267</v>
      </c>
      <c r="E797" t="s">
        <v>84</v>
      </c>
      <c r="F797" t="s">
        <v>389</v>
      </c>
      <c r="G797" t="s">
        <v>584</v>
      </c>
      <c r="H797" t="s">
        <v>664</v>
      </c>
    </row>
    <row r="798" spans="1:8" x14ac:dyDescent="0.25">
      <c r="A798" s="1">
        <v>796</v>
      </c>
      <c r="B798" t="s">
        <v>525</v>
      </c>
      <c r="C798" t="s">
        <v>646</v>
      </c>
      <c r="D798">
        <v>2268</v>
      </c>
      <c r="E798" t="s">
        <v>17</v>
      </c>
      <c r="F798" t="s">
        <v>565</v>
      </c>
      <c r="G798" t="s">
        <v>566</v>
      </c>
    </row>
    <row r="799" spans="1:8" x14ac:dyDescent="0.25">
      <c r="A799" s="1">
        <v>797</v>
      </c>
      <c r="B799" t="s">
        <v>525</v>
      </c>
      <c r="C799" t="s">
        <v>646</v>
      </c>
      <c r="D799">
        <v>2269</v>
      </c>
      <c r="E799" t="s">
        <v>17</v>
      </c>
      <c r="F799" t="s">
        <v>539</v>
      </c>
      <c r="G799" t="s">
        <v>540</v>
      </c>
    </row>
    <row r="800" spans="1:8" x14ac:dyDescent="0.25">
      <c r="A800" s="1">
        <v>798</v>
      </c>
      <c r="B800" t="s">
        <v>525</v>
      </c>
      <c r="C800" t="s">
        <v>646</v>
      </c>
      <c r="D800">
        <v>2270</v>
      </c>
      <c r="E800" t="s">
        <v>95</v>
      </c>
      <c r="F800" t="s">
        <v>96</v>
      </c>
      <c r="G800" t="s">
        <v>665</v>
      </c>
      <c r="H800" t="s">
        <v>666</v>
      </c>
    </row>
    <row r="801" spans="1:10" x14ac:dyDescent="0.25">
      <c r="A801" s="1">
        <v>799</v>
      </c>
      <c r="B801" t="s">
        <v>525</v>
      </c>
      <c r="C801" t="s">
        <v>646</v>
      </c>
      <c r="D801">
        <v>2271</v>
      </c>
    </row>
    <row r="802" spans="1:10" x14ac:dyDescent="0.25">
      <c r="A802" s="1">
        <v>800</v>
      </c>
      <c r="B802" t="s">
        <v>525</v>
      </c>
      <c r="C802" t="s">
        <v>646</v>
      </c>
      <c r="D802">
        <v>2272</v>
      </c>
      <c r="E802" t="s">
        <v>39</v>
      </c>
      <c r="F802" t="s">
        <v>186</v>
      </c>
      <c r="G802" t="s">
        <v>431</v>
      </c>
    </row>
    <row r="803" spans="1:10" x14ac:dyDescent="0.25">
      <c r="A803" s="1">
        <v>801</v>
      </c>
      <c r="B803" t="s">
        <v>525</v>
      </c>
      <c r="C803" t="s">
        <v>646</v>
      </c>
      <c r="D803">
        <v>2273</v>
      </c>
      <c r="E803" t="s">
        <v>17</v>
      </c>
      <c r="F803" t="s">
        <v>539</v>
      </c>
      <c r="G803" t="s">
        <v>540</v>
      </c>
    </row>
    <row r="804" spans="1:10" x14ac:dyDescent="0.25">
      <c r="A804" s="1">
        <v>802</v>
      </c>
      <c r="B804" t="s">
        <v>525</v>
      </c>
      <c r="C804" t="s">
        <v>646</v>
      </c>
      <c r="D804">
        <v>2274</v>
      </c>
      <c r="E804" t="s">
        <v>14</v>
      </c>
      <c r="F804" t="s">
        <v>277</v>
      </c>
      <c r="G804" t="s">
        <v>667</v>
      </c>
      <c r="H804">
        <f>3010</f>
        <v>3010</v>
      </c>
    </row>
    <row r="805" spans="1:10" x14ac:dyDescent="0.25">
      <c r="A805" s="1">
        <v>803</v>
      </c>
      <c r="B805" t="s">
        <v>525</v>
      </c>
      <c r="C805" t="s">
        <v>646</v>
      </c>
      <c r="D805">
        <v>2275</v>
      </c>
      <c r="E805" t="s">
        <v>267</v>
      </c>
      <c r="F805" t="s">
        <v>485</v>
      </c>
      <c r="G805" t="s">
        <v>668</v>
      </c>
      <c r="H805" t="s">
        <v>669</v>
      </c>
    </row>
    <row r="806" spans="1:10" x14ac:dyDescent="0.25">
      <c r="A806" s="1">
        <v>804</v>
      </c>
      <c r="B806" t="s">
        <v>525</v>
      </c>
      <c r="C806" t="s">
        <v>646</v>
      </c>
      <c r="D806">
        <v>2276</v>
      </c>
      <c r="E806" t="s">
        <v>95</v>
      </c>
      <c r="F806" t="s">
        <v>204</v>
      </c>
      <c r="G806" t="s">
        <v>670</v>
      </c>
      <c r="H806" t="s">
        <v>671</v>
      </c>
    </row>
    <row r="807" spans="1:10" x14ac:dyDescent="0.25">
      <c r="A807" s="1">
        <v>805</v>
      </c>
      <c r="B807" t="s">
        <v>525</v>
      </c>
      <c r="C807" t="s">
        <v>646</v>
      </c>
      <c r="D807">
        <v>2277</v>
      </c>
      <c r="E807" t="s">
        <v>17</v>
      </c>
      <c r="F807" t="s">
        <v>539</v>
      </c>
      <c r="G807" t="s">
        <v>540</v>
      </c>
    </row>
    <row r="808" spans="1:10" x14ac:dyDescent="0.25">
      <c r="A808" s="1">
        <v>806</v>
      </c>
      <c r="B808" t="s">
        <v>525</v>
      </c>
      <c r="C808" t="s">
        <v>646</v>
      </c>
      <c r="D808">
        <v>2278</v>
      </c>
      <c r="E808" t="s">
        <v>219</v>
      </c>
      <c r="F808" t="s">
        <v>220</v>
      </c>
      <c r="G808" t="s">
        <v>672</v>
      </c>
      <c r="H808" t="s">
        <v>673</v>
      </c>
    </row>
    <row r="809" spans="1:10" x14ac:dyDescent="0.25">
      <c r="A809" s="1">
        <v>807</v>
      </c>
      <c r="B809" t="s">
        <v>525</v>
      </c>
      <c r="C809" t="s">
        <v>646</v>
      </c>
      <c r="D809">
        <v>2279</v>
      </c>
      <c r="E809" t="s">
        <v>14</v>
      </c>
      <c r="F809" t="s">
        <v>277</v>
      </c>
      <c r="G809" t="s">
        <v>674</v>
      </c>
      <c r="H809" t="s">
        <v>675</v>
      </c>
    </row>
    <row r="810" spans="1:10" x14ac:dyDescent="0.25">
      <c r="A810" s="1">
        <v>808</v>
      </c>
      <c r="B810" t="s">
        <v>525</v>
      </c>
      <c r="C810" t="s">
        <v>646</v>
      </c>
      <c r="D810">
        <v>2280</v>
      </c>
    </row>
    <row r="811" spans="1:10" x14ac:dyDescent="0.25">
      <c r="A811" s="1">
        <v>809</v>
      </c>
      <c r="B811" t="s">
        <v>525</v>
      </c>
      <c r="C811" t="s">
        <v>646</v>
      </c>
      <c r="D811">
        <v>2281</v>
      </c>
      <c r="E811" t="s">
        <v>20</v>
      </c>
      <c r="F811" t="s">
        <v>597</v>
      </c>
      <c r="G811" t="s">
        <v>598</v>
      </c>
      <c r="H811" t="s">
        <v>676</v>
      </c>
    </row>
    <row r="812" spans="1:10" x14ac:dyDescent="0.25">
      <c r="A812" s="1">
        <v>810</v>
      </c>
      <c r="B812" t="s">
        <v>525</v>
      </c>
      <c r="C812" t="s">
        <v>646</v>
      </c>
      <c r="D812">
        <v>2282</v>
      </c>
      <c r="E812" t="s">
        <v>39</v>
      </c>
      <c r="F812" t="s">
        <v>186</v>
      </c>
      <c r="G812" t="s">
        <v>431</v>
      </c>
    </row>
    <row r="813" spans="1:10" x14ac:dyDescent="0.25">
      <c r="A813" s="1">
        <v>811</v>
      </c>
      <c r="B813" t="s">
        <v>525</v>
      </c>
      <c r="C813" t="s">
        <v>677</v>
      </c>
      <c r="E813" t="s">
        <v>71</v>
      </c>
      <c r="F813" t="s">
        <v>72</v>
      </c>
      <c r="G813" t="s">
        <v>394</v>
      </c>
    </row>
    <row r="814" spans="1:10" x14ac:dyDescent="0.25">
      <c r="A814" s="1">
        <v>812</v>
      </c>
      <c r="B814" t="s">
        <v>525</v>
      </c>
      <c r="C814" t="s">
        <v>677</v>
      </c>
      <c r="D814">
        <v>2310</v>
      </c>
      <c r="E814" t="s">
        <v>39</v>
      </c>
      <c r="F814" t="s">
        <v>88</v>
      </c>
      <c r="G814" t="s">
        <v>678</v>
      </c>
      <c r="H814">
        <v>3213</v>
      </c>
      <c r="J814">
        <v>1</v>
      </c>
    </row>
    <row r="815" spans="1:10" x14ac:dyDescent="0.25">
      <c r="A815" s="1">
        <v>813</v>
      </c>
      <c r="B815" t="s">
        <v>525</v>
      </c>
      <c r="C815" t="s">
        <v>677</v>
      </c>
      <c r="D815">
        <v>2317</v>
      </c>
      <c r="E815" t="s">
        <v>36</v>
      </c>
      <c r="F815" t="s">
        <v>575</v>
      </c>
      <c r="H815">
        <v>3202</v>
      </c>
      <c r="J815">
        <v>1</v>
      </c>
    </row>
    <row r="816" spans="1:10" x14ac:dyDescent="0.25">
      <c r="A816" s="1">
        <v>814</v>
      </c>
      <c r="B816" t="s">
        <v>525</v>
      </c>
      <c r="C816" t="s">
        <v>677</v>
      </c>
      <c r="D816">
        <v>2315</v>
      </c>
      <c r="E816" t="s">
        <v>39</v>
      </c>
      <c r="F816" t="s">
        <v>186</v>
      </c>
      <c r="G816" t="s">
        <v>431</v>
      </c>
      <c r="H816">
        <v>3200</v>
      </c>
      <c r="J816">
        <v>1</v>
      </c>
    </row>
    <row r="817" spans="1:10" x14ac:dyDescent="0.25">
      <c r="A817" s="1">
        <v>815</v>
      </c>
      <c r="B817" t="s">
        <v>525</v>
      </c>
      <c r="C817" t="s">
        <v>677</v>
      </c>
      <c r="E817" t="s">
        <v>679</v>
      </c>
      <c r="F817" t="s">
        <v>208</v>
      </c>
    </row>
    <row r="818" spans="1:10" x14ac:dyDescent="0.25">
      <c r="A818" s="1">
        <v>816</v>
      </c>
      <c r="B818" t="s">
        <v>525</v>
      </c>
      <c r="C818" t="s">
        <v>677</v>
      </c>
      <c r="D818">
        <v>2319</v>
      </c>
      <c r="E818" t="s">
        <v>67</v>
      </c>
      <c r="F818" t="s">
        <v>621</v>
      </c>
      <c r="G818" t="s">
        <v>622</v>
      </c>
      <c r="H818">
        <v>3197</v>
      </c>
      <c r="J818">
        <v>1</v>
      </c>
    </row>
    <row r="819" spans="1:10" x14ac:dyDescent="0.25">
      <c r="A819" s="1">
        <v>817</v>
      </c>
      <c r="B819" t="s">
        <v>525</v>
      </c>
      <c r="C819" t="s">
        <v>677</v>
      </c>
      <c r="D819">
        <v>2320</v>
      </c>
      <c r="E819" t="s">
        <v>20</v>
      </c>
      <c r="F819" t="s">
        <v>597</v>
      </c>
      <c r="G819" t="s">
        <v>680</v>
      </c>
      <c r="H819" t="s">
        <v>681</v>
      </c>
    </row>
    <row r="820" spans="1:10" x14ac:dyDescent="0.25">
      <c r="A820" s="1">
        <v>818</v>
      </c>
      <c r="B820" t="s">
        <v>525</v>
      </c>
      <c r="C820" t="s">
        <v>677</v>
      </c>
      <c r="D820">
        <v>2321</v>
      </c>
      <c r="E820" t="s">
        <v>14</v>
      </c>
      <c r="F820" t="s">
        <v>277</v>
      </c>
      <c r="G820" t="s">
        <v>548</v>
      </c>
      <c r="H820" t="s">
        <v>682</v>
      </c>
    </row>
    <row r="821" spans="1:10" x14ac:dyDescent="0.25">
      <c r="A821" s="1">
        <v>819</v>
      </c>
      <c r="B821" t="s">
        <v>525</v>
      </c>
      <c r="C821" t="s">
        <v>677</v>
      </c>
      <c r="D821">
        <v>2305</v>
      </c>
      <c r="E821" t="s">
        <v>14</v>
      </c>
      <c r="F821" t="s">
        <v>277</v>
      </c>
    </row>
    <row r="822" spans="1:10" x14ac:dyDescent="0.25">
      <c r="A822" s="1">
        <v>820</v>
      </c>
      <c r="B822" t="s">
        <v>525</v>
      </c>
      <c r="C822" t="s">
        <v>677</v>
      </c>
      <c r="D822">
        <v>2309</v>
      </c>
      <c r="E822" t="s">
        <v>240</v>
      </c>
      <c r="F822" t="s">
        <v>241</v>
      </c>
      <c r="H822">
        <v>3209</v>
      </c>
      <c r="J822">
        <v>1</v>
      </c>
    </row>
    <row r="823" spans="1:10" x14ac:dyDescent="0.25">
      <c r="A823" s="1">
        <v>821</v>
      </c>
      <c r="B823" t="s">
        <v>525</v>
      </c>
      <c r="C823" t="s">
        <v>677</v>
      </c>
      <c r="D823">
        <v>2314</v>
      </c>
      <c r="E823" t="s">
        <v>36</v>
      </c>
      <c r="F823" t="s">
        <v>37</v>
      </c>
      <c r="G823" t="s">
        <v>80</v>
      </c>
      <c r="H823">
        <v>3198</v>
      </c>
      <c r="J823">
        <v>1</v>
      </c>
    </row>
    <row r="824" spans="1:10" x14ac:dyDescent="0.25">
      <c r="A824" s="1">
        <v>822</v>
      </c>
      <c r="B824" t="s">
        <v>525</v>
      </c>
      <c r="C824" t="s">
        <v>677</v>
      </c>
      <c r="D824">
        <v>2302</v>
      </c>
      <c r="E824" t="s">
        <v>39</v>
      </c>
      <c r="F824" t="s">
        <v>186</v>
      </c>
      <c r="G824" t="s">
        <v>431</v>
      </c>
    </row>
    <row r="825" spans="1:10" x14ac:dyDescent="0.25">
      <c r="A825" s="1">
        <v>823</v>
      </c>
      <c r="B825" t="s">
        <v>525</v>
      </c>
      <c r="C825" t="s">
        <v>677</v>
      </c>
      <c r="D825">
        <v>2303</v>
      </c>
      <c r="E825" t="s">
        <v>12</v>
      </c>
      <c r="F825" t="s">
        <v>582</v>
      </c>
      <c r="G825" t="s">
        <v>425</v>
      </c>
      <c r="H825">
        <v>3214</v>
      </c>
      <c r="J825">
        <v>1</v>
      </c>
    </row>
    <row r="826" spans="1:10" x14ac:dyDescent="0.25">
      <c r="A826" s="1">
        <v>824</v>
      </c>
      <c r="B826" t="s">
        <v>525</v>
      </c>
      <c r="C826" t="s">
        <v>677</v>
      </c>
      <c r="E826" t="s">
        <v>20</v>
      </c>
      <c r="F826" t="s">
        <v>42</v>
      </c>
      <c r="G826" t="s">
        <v>105</v>
      </c>
    </row>
    <row r="827" spans="1:10" x14ac:dyDescent="0.25">
      <c r="A827" s="1">
        <v>825</v>
      </c>
      <c r="B827" t="s">
        <v>525</v>
      </c>
      <c r="C827" t="s">
        <v>677</v>
      </c>
      <c r="D827">
        <v>2288</v>
      </c>
      <c r="E827" t="s">
        <v>27</v>
      </c>
      <c r="F827" t="s">
        <v>28</v>
      </c>
      <c r="H827">
        <v>3196</v>
      </c>
      <c r="J827">
        <v>1</v>
      </c>
    </row>
    <row r="828" spans="1:10" x14ac:dyDescent="0.25">
      <c r="A828" s="1">
        <v>826</v>
      </c>
      <c r="B828" t="s">
        <v>525</v>
      </c>
      <c r="C828" t="s">
        <v>677</v>
      </c>
      <c r="D828">
        <v>2289</v>
      </c>
      <c r="E828" t="s">
        <v>95</v>
      </c>
      <c r="F828" t="s">
        <v>96</v>
      </c>
      <c r="G828" t="s">
        <v>180</v>
      </c>
      <c r="H828">
        <v>3206</v>
      </c>
      <c r="J828">
        <v>1</v>
      </c>
    </row>
    <row r="829" spans="1:10" x14ac:dyDescent="0.25">
      <c r="A829" s="1">
        <v>827</v>
      </c>
      <c r="B829" t="s">
        <v>525</v>
      </c>
      <c r="C829" t="s">
        <v>677</v>
      </c>
      <c r="D829">
        <v>2284</v>
      </c>
      <c r="E829" t="s">
        <v>95</v>
      </c>
      <c r="F829" t="s">
        <v>204</v>
      </c>
      <c r="G829" t="s">
        <v>670</v>
      </c>
    </row>
    <row r="830" spans="1:10" x14ac:dyDescent="0.25">
      <c r="A830" s="1">
        <v>828</v>
      </c>
      <c r="B830" t="s">
        <v>525</v>
      </c>
      <c r="C830" t="s">
        <v>677</v>
      </c>
      <c r="D830">
        <v>2307</v>
      </c>
      <c r="E830" t="s">
        <v>84</v>
      </c>
      <c r="F830" t="s">
        <v>389</v>
      </c>
      <c r="G830" t="s">
        <v>584</v>
      </c>
      <c r="H830" t="s">
        <v>683</v>
      </c>
    </row>
    <row r="831" spans="1:10" x14ac:dyDescent="0.25">
      <c r="A831" s="1">
        <v>829</v>
      </c>
      <c r="B831" t="s">
        <v>525</v>
      </c>
      <c r="C831" t="s">
        <v>677</v>
      </c>
      <c r="D831">
        <v>2287</v>
      </c>
      <c r="E831" t="s">
        <v>36</v>
      </c>
      <c r="F831" t="s">
        <v>575</v>
      </c>
      <c r="G831" t="s">
        <v>576</v>
      </c>
      <c r="H831">
        <v>3199</v>
      </c>
      <c r="J831">
        <v>1</v>
      </c>
    </row>
    <row r="832" spans="1:10" x14ac:dyDescent="0.25">
      <c r="A832" s="1">
        <v>830</v>
      </c>
      <c r="B832" t="s">
        <v>525</v>
      </c>
      <c r="C832" t="s">
        <v>677</v>
      </c>
      <c r="E832" t="s">
        <v>684</v>
      </c>
    </row>
    <row r="833" spans="1:10" x14ac:dyDescent="0.25">
      <c r="A833" s="1">
        <v>831</v>
      </c>
      <c r="B833" t="s">
        <v>525</v>
      </c>
      <c r="C833" t="s">
        <v>677</v>
      </c>
      <c r="D833">
        <v>2286</v>
      </c>
      <c r="E833" t="s">
        <v>14</v>
      </c>
      <c r="F833" t="s">
        <v>685</v>
      </c>
      <c r="G833" t="s">
        <v>686</v>
      </c>
    </row>
    <row r="834" spans="1:10" x14ac:dyDescent="0.25">
      <c r="A834" s="1">
        <v>832</v>
      </c>
      <c r="B834" t="s">
        <v>525</v>
      </c>
      <c r="C834" t="s">
        <v>677</v>
      </c>
      <c r="E834" t="s">
        <v>17</v>
      </c>
      <c r="F834" t="s">
        <v>539</v>
      </c>
      <c r="G834" t="s">
        <v>540</v>
      </c>
    </row>
    <row r="835" spans="1:10" x14ac:dyDescent="0.25">
      <c r="A835" s="1">
        <v>833</v>
      </c>
      <c r="B835" t="s">
        <v>525</v>
      </c>
      <c r="C835" t="s">
        <v>677</v>
      </c>
      <c r="D835">
        <v>2292</v>
      </c>
      <c r="E835" t="s">
        <v>84</v>
      </c>
      <c r="F835" t="s">
        <v>85</v>
      </c>
      <c r="G835" t="s">
        <v>687</v>
      </c>
      <c r="H835">
        <v>3195</v>
      </c>
      <c r="J835">
        <v>1</v>
      </c>
    </row>
    <row r="836" spans="1:10" x14ac:dyDescent="0.25">
      <c r="A836" s="1">
        <v>834</v>
      </c>
      <c r="B836" t="s">
        <v>525</v>
      </c>
      <c r="C836" t="s">
        <v>677</v>
      </c>
      <c r="E836" t="s">
        <v>95</v>
      </c>
      <c r="F836" t="s">
        <v>96</v>
      </c>
    </row>
    <row r="837" spans="1:10" x14ac:dyDescent="0.25">
      <c r="A837" s="1">
        <v>835</v>
      </c>
      <c r="B837" t="s">
        <v>525</v>
      </c>
      <c r="C837" t="s">
        <v>677</v>
      </c>
      <c r="E837" t="s">
        <v>17</v>
      </c>
      <c r="F837" t="s">
        <v>539</v>
      </c>
      <c r="G837" t="s">
        <v>540</v>
      </c>
    </row>
    <row r="838" spans="1:10" x14ac:dyDescent="0.25">
      <c r="A838" s="1">
        <v>836</v>
      </c>
      <c r="B838" t="s">
        <v>525</v>
      </c>
      <c r="C838" t="s">
        <v>677</v>
      </c>
      <c r="E838" t="s">
        <v>84</v>
      </c>
      <c r="F838" t="s">
        <v>385</v>
      </c>
    </row>
    <row r="839" spans="1:10" x14ac:dyDescent="0.25">
      <c r="A839" s="1">
        <v>837</v>
      </c>
      <c r="B839" t="s">
        <v>525</v>
      </c>
      <c r="C839" t="s">
        <v>677</v>
      </c>
      <c r="D839">
        <v>2295</v>
      </c>
      <c r="E839" t="s">
        <v>188</v>
      </c>
    </row>
    <row r="840" spans="1:10" x14ac:dyDescent="0.25">
      <c r="A840" s="1">
        <v>838</v>
      </c>
      <c r="B840" t="s">
        <v>525</v>
      </c>
      <c r="C840" t="s">
        <v>677</v>
      </c>
      <c r="E840" t="s">
        <v>122</v>
      </c>
    </row>
    <row r="841" spans="1:10" x14ac:dyDescent="0.25">
      <c r="A841" s="1">
        <v>839</v>
      </c>
      <c r="B841" t="s">
        <v>525</v>
      </c>
      <c r="C841" t="s">
        <v>677</v>
      </c>
      <c r="D841">
        <v>2294</v>
      </c>
      <c r="E841" t="s">
        <v>39</v>
      </c>
      <c r="F841" t="s">
        <v>88</v>
      </c>
      <c r="G841" t="s">
        <v>89</v>
      </c>
    </row>
    <row r="842" spans="1:10" x14ac:dyDescent="0.25">
      <c r="A842" s="1">
        <v>840</v>
      </c>
      <c r="B842" t="s">
        <v>525</v>
      </c>
      <c r="C842" t="s">
        <v>677</v>
      </c>
      <c r="D842">
        <v>2299</v>
      </c>
      <c r="E842" t="s">
        <v>17</v>
      </c>
      <c r="F842" t="s">
        <v>565</v>
      </c>
      <c r="G842" t="s">
        <v>566</v>
      </c>
    </row>
    <row r="843" spans="1:10" x14ac:dyDescent="0.25">
      <c r="A843" s="1">
        <v>841</v>
      </c>
      <c r="B843" t="s">
        <v>525</v>
      </c>
      <c r="C843" t="s">
        <v>677</v>
      </c>
      <c r="E843" t="s">
        <v>71</v>
      </c>
      <c r="F843" t="s">
        <v>72</v>
      </c>
    </row>
    <row r="844" spans="1:10" x14ac:dyDescent="0.25">
      <c r="A844" s="1">
        <v>842</v>
      </c>
      <c r="B844" t="s">
        <v>525</v>
      </c>
      <c r="C844" t="s">
        <v>677</v>
      </c>
      <c r="E844" t="s">
        <v>188</v>
      </c>
    </row>
    <row r="845" spans="1:10" x14ac:dyDescent="0.25">
      <c r="A845" s="1">
        <v>843</v>
      </c>
      <c r="B845" t="s">
        <v>525</v>
      </c>
      <c r="C845" t="s">
        <v>677</v>
      </c>
      <c r="E845" t="s">
        <v>39</v>
      </c>
      <c r="F845" t="s">
        <v>40</v>
      </c>
    </row>
    <row r="846" spans="1:10" x14ac:dyDescent="0.25">
      <c r="A846" s="1">
        <v>844</v>
      </c>
      <c r="B846" t="s">
        <v>525</v>
      </c>
      <c r="C846" t="s">
        <v>677</v>
      </c>
      <c r="E846" t="s">
        <v>20</v>
      </c>
    </row>
    <row r="847" spans="1:10" x14ac:dyDescent="0.25">
      <c r="A847" s="1">
        <v>845</v>
      </c>
      <c r="B847" t="s">
        <v>525</v>
      </c>
      <c r="C847" t="s">
        <v>677</v>
      </c>
      <c r="D847">
        <v>2296</v>
      </c>
      <c r="E847" t="s">
        <v>24</v>
      </c>
      <c r="F847" t="s">
        <v>25</v>
      </c>
      <c r="G847" t="s">
        <v>26</v>
      </c>
    </row>
    <row r="848" spans="1:10" x14ac:dyDescent="0.25">
      <c r="A848" s="1">
        <v>846</v>
      </c>
      <c r="B848" t="s">
        <v>525</v>
      </c>
      <c r="C848" t="s">
        <v>677</v>
      </c>
      <c r="D848">
        <v>2293</v>
      </c>
      <c r="E848" t="s">
        <v>84</v>
      </c>
      <c r="F848" t="s">
        <v>385</v>
      </c>
      <c r="G848" t="s">
        <v>688</v>
      </c>
    </row>
    <row r="849" spans="1:8" x14ac:dyDescent="0.25">
      <c r="A849" s="1">
        <v>847</v>
      </c>
      <c r="B849" t="s">
        <v>525</v>
      </c>
      <c r="C849" t="s">
        <v>677</v>
      </c>
      <c r="D849">
        <v>2283</v>
      </c>
      <c r="E849" t="s">
        <v>122</v>
      </c>
    </row>
    <row r="850" spans="1:8" x14ac:dyDescent="0.25">
      <c r="A850" s="1">
        <v>848</v>
      </c>
      <c r="B850" t="s">
        <v>525</v>
      </c>
      <c r="C850" t="s">
        <v>677</v>
      </c>
      <c r="D850">
        <v>2285</v>
      </c>
      <c r="E850" t="s">
        <v>36</v>
      </c>
      <c r="F850" t="s">
        <v>37</v>
      </c>
      <c r="H850" t="s">
        <v>689</v>
      </c>
    </row>
    <row r="851" spans="1:8" x14ac:dyDescent="0.25">
      <c r="A851" s="1">
        <v>849</v>
      </c>
      <c r="B851" t="s">
        <v>525</v>
      </c>
      <c r="C851" t="s">
        <v>677</v>
      </c>
      <c r="D851">
        <v>2290</v>
      </c>
      <c r="E851" t="s">
        <v>14</v>
      </c>
      <c r="F851" t="s">
        <v>327</v>
      </c>
      <c r="G851" t="s">
        <v>328</v>
      </c>
      <c r="H851">
        <v>3203</v>
      </c>
    </row>
    <row r="852" spans="1:8" x14ac:dyDescent="0.25">
      <c r="A852" s="1">
        <v>850</v>
      </c>
      <c r="B852" t="s">
        <v>525</v>
      </c>
      <c r="C852" t="s">
        <v>677</v>
      </c>
      <c r="D852">
        <v>2291</v>
      </c>
      <c r="E852" t="s">
        <v>95</v>
      </c>
    </row>
    <row r="853" spans="1:8" x14ac:dyDescent="0.25">
      <c r="A853" s="1">
        <v>851</v>
      </c>
      <c r="B853" t="s">
        <v>525</v>
      </c>
      <c r="C853" t="s">
        <v>677</v>
      </c>
      <c r="D853">
        <v>2297</v>
      </c>
      <c r="E853" t="s">
        <v>39</v>
      </c>
      <c r="F853" t="s">
        <v>40</v>
      </c>
      <c r="G853" t="s">
        <v>690</v>
      </c>
      <c r="H853">
        <v>3212</v>
      </c>
    </row>
    <row r="854" spans="1:8" x14ac:dyDescent="0.25">
      <c r="A854" s="1">
        <v>852</v>
      </c>
      <c r="B854" t="s">
        <v>525</v>
      </c>
      <c r="C854" t="s">
        <v>677</v>
      </c>
      <c r="D854">
        <v>2298</v>
      </c>
      <c r="E854" t="s">
        <v>39</v>
      </c>
      <c r="F854" t="s">
        <v>88</v>
      </c>
      <c r="G854" t="s">
        <v>89</v>
      </c>
    </row>
    <row r="855" spans="1:8" x14ac:dyDescent="0.25">
      <c r="A855" s="1">
        <v>853</v>
      </c>
      <c r="B855" t="s">
        <v>525</v>
      </c>
      <c r="C855" t="s">
        <v>677</v>
      </c>
      <c r="D855">
        <v>2300</v>
      </c>
      <c r="E855" t="s">
        <v>400</v>
      </c>
      <c r="F855" t="s">
        <v>691</v>
      </c>
      <c r="H855" t="s">
        <v>692</v>
      </c>
    </row>
    <row r="856" spans="1:8" x14ac:dyDescent="0.25">
      <c r="A856" s="1">
        <v>854</v>
      </c>
      <c r="B856" t="s">
        <v>525</v>
      </c>
      <c r="C856" t="s">
        <v>677</v>
      </c>
      <c r="D856">
        <v>2301</v>
      </c>
      <c r="E856" t="s">
        <v>20</v>
      </c>
      <c r="F856" t="s">
        <v>597</v>
      </c>
      <c r="G856" t="s">
        <v>598</v>
      </c>
      <c r="H856" t="s">
        <v>693</v>
      </c>
    </row>
    <row r="857" spans="1:8" x14ac:dyDescent="0.25">
      <c r="A857" s="1">
        <v>855</v>
      </c>
      <c r="B857" t="s">
        <v>525</v>
      </c>
      <c r="C857" t="s">
        <v>677</v>
      </c>
      <c r="D857">
        <v>2304</v>
      </c>
      <c r="E857" t="s">
        <v>17</v>
      </c>
      <c r="F857" t="s">
        <v>694</v>
      </c>
      <c r="G857" t="s">
        <v>184</v>
      </c>
      <c r="H857">
        <v>3215</v>
      </c>
    </row>
    <row r="858" spans="1:8" x14ac:dyDescent="0.25">
      <c r="A858" s="1">
        <v>856</v>
      </c>
      <c r="B858" t="s">
        <v>525</v>
      </c>
      <c r="C858" t="s">
        <v>677</v>
      </c>
      <c r="D858">
        <v>2306</v>
      </c>
      <c r="E858" t="s">
        <v>36</v>
      </c>
      <c r="F858" t="s">
        <v>37</v>
      </c>
      <c r="H858">
        <v>3210</v>
      </c>
    </row>
    <row r="859" spans="1:8" x14ac:dyDescent="0.25">
      <c r="A859" s="1">
        <v>857</v>
      </c>
      <c r="B859" t="s">
        <v>525</v>
      </c>
      <c r="C859" t="s">
        <v>677</v>
      </c>
      <c r="D859">
        <v>2308</v>
      </c>
      <c r="E859" t="s">
        <v>188</v>
      </c>
      <c r="F859" t="s">
        <v>210</v>
      </c>
      <c r="G859" t="s">
        <v>54</v>
      </c>
      <c r="H859">
        <v>3201</v>
      </c>
    </row>
    <row r="860" spans="1:8" x14ac:dyDescent="0.25">
      <c r="A860" s="1">
        <v>858</v>
      </c>
      <c r="B860" t="s">
        <v>525</v>
      </c>
      <c r="C860" t="s">
        <v>677</v>
      </c>
      <c r="D860">
        <v>2311</v>
      </c>
      <c r="E860" t="s">
        <v>14</v>
      </c>
      <c r="F860" t="s">
        <v>277</v>
      </c>
      <c r="G860" t="s">
        <v>695</v>
      </c>
      <c r="H860">
        <v>3211</v>
      </c>
    </row>
    <row r="861" spans="1:8" x14ac:dyDescent="0.25">
      <c r="A861" s="1">
        <v>859</v>
      </c>
      <c r="B861" t="s">
        <v>525</v>
      </c>
      <c r="C861" t="s">
        <v>677</v>
      </c>
      <c r="D861">
        <v>2312</v>
      </c>
      <c r="E861" t="s">
        <v>240</v>
      </c>
      <c r="F861" t="s">
        <v>379</v>
      </c>
      <c r="H861">
        <v>3205</v>
      </c>
    </row>
    <row r="862" spans="1:8" x14ac:dyDescent="0.25">
      <c r="A862" s="1">
        <v>860</v>
      </c>
      <c r="B862" t="s">
        <v>525</v>
      </c>
      <c r="C862" t="s">
        <v>677</v>
      </c>
      <c r="D862">
        <v>2313</v>
      </c>
      <c r="E862" t="s">
        <v>95</v>
      </c>
      <c r="F862" t="s">
        <v>119</v>
      </c>
      <c r="G862" t="s">
        <v>696</v>
      </c>
      <c r="H862">
        <v>3204</v>
      </c>
    </row>
    <row r="863" spans="1:8" x14ac:dyDescent="0.25">
      <c r="A863" s="1">
        <v>861</v>
      </c>
      <c r="B863" t="s">
        <v>525</v>
      </c>
      <c r="C863" t="s">
        <v>677</v>
      </c>
      <c r="D863">
        <v>2316</v>
      </c>
      <c r="E863" t="s">
        <v>36</v>
      </c>
    </row>
    <row r="864" spans="1:8" x14ac:dyDescent="0.25">
      <c r="A864" s="1">
        <v>862</v>
      </c>
      <c r="B864" t="s">
        <v>525</v>
      </c>
      <c r="C864" t="s">
        <v>677</v>
      </c>
      <c r="D864">
        <v>2318</v>
      </c>
      <c r="E864" t="s">
        <v>20</v>
      </c>
      <c r="F864" t="s">
        <v>597</v>
      </c>
      <c r="G864" t="s">
        <v>598</v>
      </c>
    </row>
    <row r="865" spans="1:8" x14ac:dyDescent="0.25">
      <c r="A865" s="1">
        <v>863</v>
      </c>
      <c r="B865" t="s">
        <v>525</v>
      </c>
      <c r="C865" t="s">
        <v>677</v>
      </c>
      <c r="D865" t="s">
        <v>59</v>
      </c>
      <c r="E865" t="s">
        <v>39</v>
      </c>
      <c r="F865" t="s">
        <v>186</v>
      </c>
      <c r="G865" t="s">
        <v>431</v>
      </c>
    </row>
    <row r="866" spans="1:8" x14ac:dyDescent="0.25">
      <c r="A866" s="1">
        <v>864</v>
      </c>
      <c r="B866" t="s">
        <v>525</v>
      </c>
      <c r="C866" t="s">
        <v>677</v>
      </c>
      <c r="D866" t="s">
        <v>61</v>
      </c>
      <c r="E866" t="s">
        <v>122</v>
      </c>
    </row>
    <row r="867" spans="1:8" x14ac:dyDescent="0.25">
      <c r="A867" s="1">
        <v>865</v>
      </c>
      <c r="B867" t="s">
        <v>525</v>
      </c>
      <c r="C867" t="s">
        <v>697</v>
      </c>
      <c r="D867">
        <v>2322</v>
      </c>
      <c r="E867" t="s">
        <v>400</v>
      </c>
      <c r="F867" t="s">
        <v>691</v>
      </c>
      <c r="H867" t="s">
        <v>698</v>
      </c>
    </row>
    <row r="868" spans="1:8" x14ac:dyDescent="0.25">
      <c r="A868" s="1">
        <v>866</v>
      </c>
      <c r="B868" t="s">
        <v>525</v>
      </c>
      <c r="C868" t="s">
        <v>697</v>
      </c>
      <c r="D868">
        <v>2323</v>
      </c>
      <c r="E868" t="s">
        <v>39</v>
      </c>
      <c r="F868" t="s">
        <v>88</v>
      </c>
      <c r="G868" t="s">
        <v>89</v>
      </c>
    </row>
    <row r="869" spans="1:8" x14ac:dyDescent="0.25">
      <c r="A869" s="1">
        <v>867</v>
      </c>
      <c r="B869" t="s">
        <v>525</v>
      </c>
      <c r="C869" t="s">
        <v>697</v>
      </c>
      <c r="D869">
        <v>2324</v>
      </c>
      <c r="E869" t="s">
        <v>101</v>
      </c>
      <c r="F869" t="s">
        <v>102</v>
      </c>
      <c r="G869" t="s">
        <v>103</v>
      </c>
      <c r="H869" t="s">
        <v>699</v>
      </c>
    </row>
    <row r="870" spans="1:8" x14ac:dyDescent="0.25">
      <c r="A870" s="1">
        <v>868</v>
      </c>
      <c r="B870" t="s">
        <v>525</v>
      </c>
      <c r="C870" t="s">
        <v>697</v>
      </c>
      <c r="D870">
        <v>2325</v>
      </c>
      <c r="E870" t="s">
        <v>39</v>
      </c>
      <c r="F870" t="s">
        <v>638</v>
      </c>
      <c r="G870" t="s">
        <v>639</v>
      </c>
      <c r="H870" t="s">
        <v>700</v>
      </c>
    </row>
    <row r="871" spans="1:8" x14ac:dyDescent="0.25">
      <c r="A871" s="1">
        <v>869</v>
      </c>
      <c r="B871" t="s">
        <v>525</v>
      </c>
      <c r="C871" t="s">
        <v>697</v>
      </c>
      <c r="D871">
        <v>2326</v>
      </c>
      <c r="E871" t="s">
        <v>14</v>
      </c>
      <c r="F871" t="s">
        <v>277</v>
      </c>
    </row>
    <row r="872" spans="1:8" x14ac:dyDescent="0.25">
      <c r="A872" s="1">
        <v>870</v>
      </c>
      <c r="B872" t="s">
        <v>525</v>
      </c>
      <c r="C872" t="s">
        <v>697</v>
      </c>
      <c r="D872">
        <v>2327</v>
      </c>
      <c r="E872" t="s">
        <v>219</v>
      </c>
      <c r="F872" t="s">
        <v>220</v>
      </c>
      <c r="H872" t="s">
        <v>701</v>
      </c>
    </row>
    <row r="873" spans="1:8" x14ac:dyDescent="0.25">
      <c r="A873" s="1">
        <v>871</v>
      </c>
      <c r="B873" t="s">
        <v>525</v>
      </c>
      <c r="C873" t="s">
        <v>697</v>
      </c>
      <c r="D873">
        <v>2328</v>
      </c>
      <c r="E873" t="s">
        <v>84</v>
      </c>
      <c r="F873" t="s">
        <v>389</v>
      </c>
    </row>
    <row r="874" spans="1:8" x14ac:dyDescent="0.25">
      <c r="A874" s="1">
        <v>872</v>
      </c>
      <c r="B874" t="s">
        <v>525</v>
      </c>
      <c r="C874" t="s">
        <v>697</v>
      </c>
      <c r="D874">
        <v>2329</v>
      </c>
      <c r="E874" t="s">
        <v>24</v>
      </c>
      <c r="F874" t="s">
        <v>93</v>
      </c>
      <c r="G874" t="s">
        <v>94</v>
      </c>
    </row>
    <row r="875" spans="1:8" x14ac:dyDescent="0.25">
      <c r="A875" s="1">
        <v>873</v>
      </c>
      <c r="B875" t="s">
        <v>525</v>
      </c>
      <c r="C875" t="s">
        <v>697</v>
      </c>
      <c r="D875">
        <v>2330</v>
      </c>
      <c r="E875" t="s">
        <v>12</v>
      </c>
      <c r="F875" t="s">
        <v>702</v>
      </c>
      <c r="G875" t="s">
        <v>703</v>
      </c>
      <c r="H875" t="s">
        <v>704</v>
      </c>
    </row>
    <row r="876" spans="1:8" x14ac:dyDescent="0.25">
      <c r="A876" s="1">
        <v>874</v>
      </c>
      <c r="B876" t="s">
        <v>525</v>
      </c>
      <c r="C876" t="s">
        <v>697</v>
      </c>
      <c r="D876">
        <v>2331</v>
      </c>
      <c r="E876" t="s">
        <v>219</v>
      </c>
      <c r="F876" t="s">
        <v>220</v>
      </c>
      <c r="H876" t="s">
        <v>705</v>
      </c>
    </row>
    <row r="877" spans="1:8" x14ac:dyDescent="0.25">
      <c r="A877" s="1">
        <v>875</v>
      </c>
      <c r="B877" t="s">
        <v>525</v>
      </c>
      <c r="C877" t="s">
        <v>697</v>
      </c>
      <c r="D877">
        <v>2332</v>
      </c>
      <c r="E877" t="s">
        <v>12</v>
      </c>
      <c r="F877" t="s">
        <v>57</v>
      </c>
      <c r="G877" t="s">
        <v>706</v>
      </c>
      <c r="H877" t="s">
        <v>707</v>
      </c>
    </row>
    <row r="878" spans="1:8" x14ac:dyDescent="0.25">
      <c r="A878" s="1">
        <v>876</v>
      </c>
      <c r="B878" t="s">
        <v>525</v>
      </c>
      <c r="C878" t="s">
        <v>697</v>
      </c>
      <c r="D878">
        <v>2333</v>
      </c>
      <c r="E878" t="s">
        <v>84</v>
      </c>
      <c r="F878" t="s">
        <v>708</v>
      </c>
      <c r="G878" t="s">
        <v>180</v>
      </c>
    </row>
    <row r="879" spans="1:8" x14ac:dyDescent="0.25">
      <c r="A879" s="1">
        <v>877</v>
      </c>
      <c r="B879" t="s">
        <v>525</v>
      </c>
      <c r="C879" t="s">
        <v>697</v>
      </c>
      <c r="D879">
        <v>2334</v>
      </c>
      <c r="E879" t="s">
        <v>27</v>
      </c>
      <c r="F879" t="s">
        <v>143</v>
      </c>
      <c r="G879" t="s">
        <v>709</v>
      </c>
    </row>
    <row r="880" spans="1:8" x14ac:dyDescent="0.25">
      <c r="A880" s="1">
        <v>878</v>
      </c>
      <c r="B880" t="s">
        <v>525</v>
      </c>
      <c r="C880" t="s">
        <v>697</v>
      </c>
      <c r="D880">
        <v>2335</v>
      </c>
      <c r="E880" t="s">
        <v>84</v>
      </c>
      <c r="F880" t="s">
        <v>708</v>
      </c>
      <c r="G880" t="s">
        <v>710</v>
      </c>
      <c r="H880" t="s">
        <v>711</v>
      </c>
    </row>
    <row r="881" spans="1:8" x14ac:dyDescent="0.25">
      <c r="A881" s="1">
        <v>879</v>
      </c>
      <c r="B881" t="s">
        <v>525</v>
      </c>
      <c r="C881" t="s">
        <v>697</v>
      </c>
      <c r="D881">
        <v>2336</v>
      </c>
    </row>
    <row r="882" spans="1:8" x14ac:dyDescent="0.25">
      <c r="A882" s="1">
        <v>880</v>
      </c>
      <c r="B882" t="s">
        <v>525</v>
      </c>
      <c r="C882" t="s">
        <v>697</v>
      </c>
      <c r="D882">
        <v>2337</v>
      </c>
      <c r="E882" t="s">
        <v>353</v>
      </c>
      <c r="F882" t="s">
        <v>354</v>
      </c>
      <c r="G882" t="s">
        <v>355</v>
      </c>
      <c r="H882" t="s">
        <v>712</v>
      </c>
    </row>
    <row r="883" spans="1:8" x14ac:dyDescent="0.25">
      <c r="A883" s="1">
        <v>881</v>
      </c>
      <c r="B883" t="s">
        <v>525</v>
      </c>
      <c r="C883" t="s">
        <v>697</v>
      </c>
      <c r="D883">
        <v>2338</v>
      </c>
      <c r="E883" t="s">
        <v>713</v>
      </c>
      <c r="F883" t="s">
        <v>714</v>
      </c>
      <c r="G883" t="s">
        <v>715</v>
      </c>
      <c r="H883" t="s">
        <v>716</v>
      </c>
    </row>
    <row r="884" spans="1:8" x14ac:dyDescent="0.25">
      <c r="A884" s="1">
        <v>882</v>
      </c>
      <c r="B884" t="s">
        <v>525</v>
      </c>
      <c r="C884" t="s">
        <v>697</v>
      </c>
      <c r="D884">
        <v>2339</v>
      </c>
      <c r="E884" t="s">
        <v>39</v>
      </c>
      <c r="F884" t="s">
        <v>186</v>
      </c>
      <c r="G884" t="s">
        <v>431</v>
      </c>
    </row>
    <row r="885" spans="1:8" x14ac:dyDescent="0.25">
      <c r="A885" s="1">
        <v>883</v>
      </c>
      <c r="B885" t="s">
        <v>525</v>
      </c>
      <c r="C885" t="s">
        <v>697</v>
      </c>
      <c r="D885">
        <v>2340</v>
      </c>
      <c r="E885" t="s">
        <v>240</v>
      </c>
    </row>
    <row r="886" spans="1:8" x14ac:dyDescent="0.25">
      <c r="A886" s="1">
        <v>884</v>
      </c>
      <c r="B886" t="s">
        <v>525</v>
      </c>
      <c r="C886" t="s">
        <v>697</v>
      </c>
      <c r="D886">
        <v>2341</v>
      </c>
      <c r="E886" t="s">
        <v>84</v>
      </c>
      <c r="F886" t="s">
        <v>385</v>
      </c>
      <c r="G886" t="s">
        <v>429</v>
      </c>
      <c r="H886" t="s">
        <v>717</v>
      </c>
    </row>
    <row r="887" spans="1:8" x14ac:dyDescent="0.25">
      <c r="A887" s="1">
        <v>885</v>
      </c>
      <c r="B887" t="s">
        <v>525</v>
      </c>
      <c r="C887" t="s">
        <v>697</v>
      </c>
      <c r="D887">
        <v>2342</v>
      </c>
      <c r="E887" t="s">
        <v>17</v>
      </c>
      <c r="F887" t="s">
        <v>565</v>
      </c>
      <c r="G887" t="s">
        <v>566</v>
      </c>
    </row>
    <row r="888" spans="1:8" x14ac:dyDescent="0.25">
      <c r="A888" s="1">
        <v>886</v>
      </c>
      <c r="B888" t="s">
        <v>525</v>
      </c>
      <c r="C888" t="s">
        <v>697</v>
      </c>
      <c r="D888">
        <v>2343</v>
      </c>
      <c r="E888" t="s">
        <v>20</v>
      </c>
      <c r="F888" t="s">
        <v>53</v>
      </c>
      <c r="G888" t="s">
        <v>718</v>
      </c>
      <c r="H888" t="s">
        <v>719</v>
      </c>
    </row>
    <row r="889" spans="1:8" x14ac:dyDescent="0.25">
      <c r="A889" s="1">
        <v>887</v>
      </c>
      <c r="B889" t="s">
        <v>525</v>
      </c>
      <c r="C889" t="s">
        <v>697</v>
      </c>
      <c r="D889">
        <v>2344</v>
      </c>
      <c r="E889" t="s">
        <v>12</v>
      </c>
      <c r="F889" t="s">
        <v>169</v>
      </c>
      <c r="G889" t="s">
        <v>170</v>
      </c>
      <c r="H889" t="s">
        <v>720</v>
      </c>
    </row>
    <row r="890" spans="1:8" x14ac:dyDescent="0.25">
      <c r="A890" s="1">
        <v>888</v>
      </c>
      <c r="B890" t="s">
        <v>525</v>
      </c>
      <c r="C890" t="s">
        <v>697</v>
      </c>
      <c r="D890">
        <v>2345</v>
      </c>
      <c r="E890" t="s">
        <v>82</v>
      </c>
      <c r="F890" t="s">
        <v>403</v>
      </c>
      <c r="G890" t="s">
        <v>404</v>
      </c>
    </row>
    <row r="891" spans="1:8" x14ac:dyDescent="0.25">
      <c r="A891" s="1">
        <v>889</v>
      </c>
      <c r="B891" t="s">
        <v>525</v>
      </c>
      <c r="C891" t="s">
        <v>697</v>
      </c>
      <c r="D891">
        <v>2346</v>
      </c>
      <c r="E891" t="s">
        <v>39</v>
      </c>
      <c r="F891" t="s">
        <v>88</v>
      </c>
      <c r="G891" t="s">
        <v>556</v>
      </c>
    </row>
    <row r="892" spans="1:8" x14ac:dyDescent="0.25">
      <c r="A892" s="1">
        <v>890</v>
      </c>
      <c r="B892" t="s">
        <v>525</v>
      </c>
      <c r="C892" t="s">
        <v>697</v>
      </c>
      <c r="D892">
        <v>2347</v>
      </c>
      <c r="E892" t="s">
        <v>24</v>
      </c>
      <c r="F892" t="s">
        <v>25</v>
      </c>
      <c r="G892" t="s">
        <v>26</v>
      </c>
    </row>
    <row r="893" spans="1:8" x14ac:dyDescent="0.25">
      <c r="A893" s="1">
        <v>891</v>
      </c>
      <c r="B893" t="s">
        <v>525</v>
      </c>
      <c r="C893" t="s">
        <v>697</v>
      </c>
      <c r="D893">
        <v>2348</v>
      </c>
      <c r="E893" t="s">
        <v>115</v>
      </c>
      <c r="F893" t="s">
        <v>314</v>
      </c>
      <c r="G893" t="s">
        <v>187</v>
      </c>
      <c r="H893" t="s">
        <v>721</v>
      </c>
    </row>
    <row r="894" spans="1:8" x14ac:dyDescent="0.25">
      <c r="A894" s="1">
        <v>892</v>
      </c>
      <c r="B894" t="s">
        <v>525</v>
      </c>
      <c r="C894" t="s">
        <v>697</v>
      </c>
      <c r="D894">
        <v>2349</v>
      </c>
      <c r="E894" t="s">
        <v>219</v>
      </c>
      <c r="F894" t="s">
        <v>220</v>
      </c>
      <c r="G894" t="s">
        <v>722</v>
      </c>
    </row>
    <row r="895" spans="1:8" x14ac:dyDescent="0.25">
      <c r="A895" s="1">
        <v>893</v>
      </c>
      <c r="B895" t="s">
        <v>525</v>
      </c>
      <c r="C895" t="s">
        <v>697</v>
      </c>
      <c r="D895">
        <v>2350</v>
      </c>
      <c r="E895" t="s">
        <v>632</v>
      </c>
      <c r="F895" t="s">
        <v>633</v>
      </c>
      <c r="G895" t="s">
        <v>634</v>
      </c>
      <c r="H895" t="s">
        <v>723</v>
      </c>
    </row>
    <row r="896" spans="1:8" x14ac:dyDescent="0.25">
      <c r="A896" s="1">
        <v>894</v>
      </c>
      <c r="B896" t="s">
        <v>525</v>
      </c>
      <c r="C896" t="s">
        <v>697</v>
      </c>
      <c r="D896">
        <v>2351</v>
      </c>
      <c r="E896" t="s">
        <v>24</v>
      </c>
      <c r="F896" t="s">
        <v>93</v>
      </c>
      <c r="G896" t="s">
        <v>94</v>
      </c>
    </row>
    <row r="897" spans="1:10" x14ac:dyDescent="0.25">
      <c r="A897" s="1">
        <v>895</v>
      </c>
      <c r="B897" t="s">
        <v>525</v>
      </c>
      <c r="C897" t="s">
        <v>697</v>
      </c>
      <c r="D897">
        <v>2352</v>
      </c>
      <c r="E897" t="s">
        <v>724</v>
      </c>
      <c r="F897" t="s">
        <v>725</v>
      </c>
      <c r="G897" t="s">
        <v>214</v>
      </c>
      <c r="H897" t="s">
        <v>726</v>
      </c>
    </row>
    <row r="898" spans="1:10" x14ac:dyDescent="0.25">
      <c r="A898" s="1">
        <v>896</v>
      </c>
      <c r="B898" t="s">
        <v>525</v>
      </c>
      <c r="C898" t="s">
        <v>697</v>
      </c>
      <c r="D898">
        <v>2353</v>
      </c>
      <c r="E898" t="s">
        <v>14</v>
      </c>
      <c r="F898" t="s">
        <v>277</v>
      </c>
    </row>
    <row r="899" spans="1:10" x14ac:dyDescent="0.25">
      <c r="A899" s="1">
        <v>897</v>
      </c>
      <c r="B899" t="s">
        <v>525</v>
      </c>
      <c r="C899" t="s">
        <v>697</v>
      </c>
      <c r="D899">
        <v>2354</v>
      </c>
      <c r="E899" t="s">
        <v>24</v>
      </c>
      <c r="F899" t="s">
        <v>93</v>
      </c>
      <c r="G899" t="s">
        <v>94</v>
      </c>
    </row>
    <row r="900" spans="1:10" x14ac:dyDescent="0.25">
      <c r="A900" s="1">
        <v>898</v>
      </c>
      <c r="B900" t="s">
        <v>525</v>
      </c>
      <c r="C900" t="s">
        <v>697</v>
      </c>
      <c r="D900">
        <v>2355</v>
      </c>
      <c r="E900" t="s">
        <v>82</v>
      </c>
      <c r="F900" t="s">
        <v>403</v>
      </c>
      <c r="G900" t="s">
        <v>404</v>
      </c>
      <c r="H900">
        <f>3208</f>
        <v>3208</v>
      </c>
    </row>
    <row r="901" spans="1:10" x14ac:dyDescent="0.25">
      <c r="A901" s="1">
        <v>899</v>
      </c>
      <c r="B901" t="s">
        <v>525</v>
      </c>
      <c r="C901" t="s">
        <v>697</v>
      </c>
      <c r="D901">
        <v>2356</v>
      </c>
    </row>
    <row r="902" spans="1:10" x14ac:dyDescent="0.25">
      <c r="A902" s="1">
        <v>900</v>
      </c>
      <c r="B902" t="s">
        <v>525</v>
      </c>
      <c r="C902" t="s">
        <v>697</v>
      </c>
      <c r="D902">
        <v>2357</v>
      </c>
      <c r="E902" t="s">
        <v>265</v>
      </c>
      <c r="F902" t="s">
        <v>727</v>
      </c>
      <c r="G902" t="s">
        <v>618</v>
      </c>
      <c r="H902" t="s">
        <v>728</v>
      </c>
    </row>
    <row r="903" spans="1:10" x14ac:dyDescent="0.25">
      <c r="A903" s="1">
        <v>901</v>
      </c>
      <c r="B903" t="s">
        <v>525</v>
      </c>
      <c r="C903" t="s">
        <v>697</v>
      </c>
      <c r="D903">
        <v>2358</v>
      </c>
      <c r="H903" t="s">
        <v>729</v>
      </c>
    </row>
    <row r="904" spans="1:10" x14ac:dyDescent="0.25">
      <c r="A904" s="1">
        <v>902</v>
      </c>
      <c r="B904" t="s">
        <v>525</v>
      </c>
      <c r="C904" t="s">
        <v>697</v>
      </c>
      <c r="D904">
        <v>2359</v>
      </c>
    </row>
    <row r="905" spans="1:10" x14ac:dyDescent="0.25">
      <c r="A905" s="1">
        <v>903</v>
      </c>
      <c r="B905" t="s">
        <v>525</v>
      </c>
      <c r="C905" t="s">
        <v>697</v>
      </c>
      <c r="D905">
        <v>2360</v>
      </c>
    </row>
    <row r="906" spans="1:10" x14ac:dyDescent="0.25">
      <c r="A906" s="1">
        <v>904</v>
      </c>
      <c r="B906" t="s">
        <v>525</v>
      </c>
      <c r="C906" t="s">
        <v>697</v>
      </c>
      <c r="D906">
        <v>2361</v>
      </c>
      <c r="E906" t="s">
        <v>17</v>
      </c>
      <c r="F906" t="s">
        <v>565</v>
      </c>
      <c r="G906" t="s">
        <v>566</v>
      </c>
    </row>
    <row r="907" spans="1:10" x14ac:dyDescent="0.25">
      <c r="A907" s="1">
        <v>905</v>
      </c>
      <c r="B907" t="s">
        <v>525</v>
      </c>
      <c r="C907" t="s">
        <v>730</v>
      </c>
      <c r="D907">
        <v>2387</v>
      </c>
      <c r="E907" t="s">
        <v>223</v>
      </c>
      <c r="F907" t="s">
        <v>731</v>
      </c>
      <c r="G907" t="s">
        <v>732</v>
      </c>
      <c r="H907">
        <v>3267</v>
      </c>
    </row>
    <row r="908" spans="1:10" x14ac:dyDescent="0.25">
      <c r="A908" s="1">
        <v>906</v>
      </c>
      <c r="B908" t="s">
        <v>525</v>
      </c>
      <c r="C908" t="s">
        <v>730</v>
      </c>
      <c r="E908" t="s">
        <v>95</v>
      </c>
      <c r="F908" t="s">
        <v>96</v>
      </c>
      <c r="G908" t="s">
        <v>733</v>
      </c>
    </row>
    <row r="909" spans="1:10" x14ac:dyDescent="0.25">
      <c r="A909" s="1">
        <v>907</v>
      </c>
      <c r="B909" t="s">
        <v>525</v>
      </c>
      <c r="C909" t="s">
        <v>730</v>
      </c>
      <c r="D909">
        <v>2394</v>
      </c>
      <c r="E909" t="s">
        <v>39</v>
      </c>
      <c r="F909" t="s">
        <v>186</v>
      </c>
      <c r="G909" t="s">
        <v>431</v>
      </c>
      <c r="H909" t="s">
        <v>734</v>
      </c>
    </row>
    <row r="910" spans="1:10" x14ac:dyDescent="0.25">
      <c r="A910" s="1">
        <v>908</v>
      </c>
      <c r="B910" t="s">
        <v>525</v>
      </c>
      <c r="C910" t="s">
        <v>730</v>
      </c>
      <c r="E910" t="s">
        <v>95</v>
      </c>
      <c r="F910" t="s">
        <v>533</v>
      </c>
      <c r="G910" t="s">
        <v>735</v>
      </c>
    </row>
    <row r="911" spans="1:10" x14ac:dyDescent="0.25">
      <c r="A911" s="1">
        <v>909</v>
      </c>
      <c r="B911" t="s">
        <v>525</v>
      </c>
      <c r="C911" t="s">
        <v>730</v>
      </c>
      <c r="E911" t="s">
        <v>36</v>
      </c>
      <c r="F911" t="s">
        <v>537</v>
      </c>
      <c r="G911" t="s">
        <v>538</v>
      </c>
    </row>
    <row r="912" spans="1:10" x14ac:dyDescent="0.25">
      <c r="A912" s="1">
        <v>910</v>
      </c>
      <c r="B912" t="s">
        <v>525</v>
      </c>
      <c r="C912" t="s">
        <v>730</v>
      </c>
      <c r="D912">
        <v>2398</v>
      </c>
      <c r="E912" t="s">
        <v>95</v>
      </c>
      <c r="F912" t="s">
        <v>96</v>
      </c>
      <c r="G912" t="s">
        <v>736</v>
      </c>
      <c r="J912">
        <v>1</v>
      </c>
    </row>
    <row r="913" spans="1:10" x14ac:dyDescent="0.25">
      <c r="A913" s="1">
        <v>911</v>
      </c>
      <c r="B913" t="s">
        <v>525</v>
      </c>
      <c r="C913" t="s">
        <v>730</v>
      </c>
      <c r="D913">
        <v>2399</v>
      </c>
      <c r="E913" t="s">
        <v>84</v>
      </c>
      <c r="F913" t="s">
        <v>389</v>
      </c>
      <c r="G913" t="s">
        <v>390</v>
      </c>
      <c r="H913">
        <v>3265</v>
      </c>
      <c r="J913">
        <v>1</v>
      </c>
    </row>
    <row r="914" spans="1:10" x14ac:dyDescent="0.25">
      <c r="A914" s="1">
        <v>912</v>
      </c>
      <c r="B914" t="s">
        <v>525</v>
      </c>
      <c r="C914" t="s">
        <v>730</v>
      </c>
      <c r="D914">
        <v>2397</v>
      </c>
      <c r="E914" t="s">
        <v>39</v>
      </c>
      <c r="F914" t="s">
        <v>186</v>
      </c>
      <c r="G914" t="s">
        <v>431</v>
      </c>
      <c r="H914" t="s">
        <v>734</v>
      </c>
    </row>
    <row r="915" spans="1:10" x14ac:dyDescent="0.25">
      <c r="A915" s="1">
        <v>913</v>
      </c>
      <c r="B915" t="s">
        <v>525</v>
      </c>
      <c r="C915" t="s">
        <v>730</v>
      </c>
      <c r="D915">
        <v>2393</v>
      </c>
      <c r="E915" t="s">
        <v>115</v>
      </c>
      <c r="F915" t="s">
        <v>314</v>
      </c>
      <c r="G915" t="s">
        <v>660</v>
      </c>
      <c r="H915">
        <v>3270</v>
      </c>
      <c r="J915">
        <v>1</v>
      </c>
    </row>
    <row r="916" spans="1:10" x14ac:dyDescent="0.25">
      <c r="A916" s="1">
        <v>914</v>
      </c>
      <c r="B916" t="s">
        <v>525</v>
      </c>
      <c r="C916" t="s">
        <v>730</v>
      </c>
      <c r="D916">
        <v>2385</v>
      </c>
      <c r="E916" t="s">
        <v>20</v>
      </c>
      <c r="F916" t="s">
        <v>609</v>
      </c>
      <c r="G916" t="s">
        <v>263</v>
      </c>
      <c r="H916" t="s">
        <v>737</v>
      </c>
    </row>
    <row r="917" spans="1:10" x14ac:dyDescent="0.25">
      <c r="A917" s="1">
        <v>915</v>
      </c>
      <c r="B917" t="s">
        <v>525</v>
      </c>
      <c r="C917" t="s">
        <v>730</v>
      </c>
      <c r="E917" t="s">
        <v>122</v>
      </c>
    </row>
    <row r="918" spans="1:10" x14ac:dyDescent="0.25">
      <c r="A918" s="1">
        <v>916</v>
      </c>
      <c r="B918" t="s">
        <v>525</v>
      </c>
      <c r="C918" t="s">
        <v>730</v>
      </c>
      <c r="D918">
        <v>2392</v>
      </c>
      <c r="E918" t="s">
        <v>122</v>
      </c>
    </row>
    <row r="919" spans="1:10" x14ac:dyDescent="0.25">
      <c r="A919" s="1">
        <v>917</v>
      </c>
      <c r="B919" t="s">
        <v>525</v>
      </c>
      <c r="C919" t="s">
        <v>730</v>
      </c>
      <c r="E919" t="s">
        <v>738</v>
      </c>
      <c r="F919" t="s">
        <v>725</v>
      </c>
      <c r="G919" t="s">
        <v>739</v>
      </c>
    </row>
    <row r="920" spans="1:10" x14ac:dyDescent="0.25">
      <c r="A920" s="1">
        <v>918</v>
      </c>
      <c r="B920" t="s">
        <v>525</v>
      </c>
      <c r="C920" t="s">
        <v>730</v>
      </c>
      <c r="D920">
        <v>2391</v>
      </c>
      <c r="E920" t="s">
        <v>39</v>
      </c>
      <c r="F920" t="s">
        <v>186</v>
      </c>
      <c r="G920" t="s">
        <v>431</v>
      </c>
      <c r="H920" t="s">
        <v>734</v>
      </c>
    </row>
    <row r="921" spans="1:10" x14ac:dyDescent="0.25">
      <c r="A921" s="1">
        <v>919</v>
      </c>
      <c r="B921" t="s">
        <v>525</v>
      </c>
      <c r="C921" t="s">
        <v>730</v>
      </c>
      <c r="D921">
        <v>2388</v>
      </c>
      <c r="E921" t="s">
        <v>95</v>
      </c>
      <c r="F921" t="s">
        <v>96</v>
      </c>
      <c r="G921" t="s">
        <v>214</v>
      </c>
      <c r="H921" t="s">
        <v>740</v>
      </c>
    </row>
    <row r="922" spans="1:10" x14ac:dyDescent="0.25">
      <c r="A922" s="1">
        <v>920</v>
      </c>
      <c r="B922" t="s">
        <v>525</v>
      </c>
      <c r="C922" t="s">
        <v>730</v>
      </c>
      <c r="D922">
        <v>2390</v>
      </c>
      <c r="E922" t="s">
        <v>44</v>
      </c>
      <c r="F922" t="s">
        <v>578</v>
      </c>
      <c r="G922" t="s">
        <v>579</v>
      </c>
      <c r="H922">
        <v>3280</v>
      </c>
      <c r="J922">
        <v>1</v>
      </c>
    </row>
    <row r="923" spans="1:10" x14ac:dyDescent="0.25">
      <c r="A923" s="1">
        <v>921</v>
      </c>
      <c r="B923" t="s">
        <v>525</v>
      </c>
      <c r="C923" t="s">
        <v>730</v>
      </c>
      <c r="D923">
        <v>2389</v>
      </c>
      <c r="E923" t="s">
        <v>95</v>
      </c>
      <c r="F923" t="s">
        <v>96</v>
      </c>
      <c r="G923" t="s">
        <v>741</v>
      </c>
      <c r="H923">
        <v>3269</v>
      </c>
      <c r="J923">
        <v>1</v>
      </c>
    </row>
    <row r="924" spans="1:10" x14ac:dyDescent="0.25">
      <c r="A924" s="1">
        <v>922</v>
      </c>
      <c r="B924" t="s">
        <v>525</v>
      </c>
      <c r="C924" t="s">
        <v>730</v>
      </c>
      <c r="E924" t="s">
        <v>39</v>
      </c>
      <c r="F924" t="s">
        <v>742</v>
      </c>
    </row>
    <row r="925" spans="1:10" x14ac:dyDescent="0.25">
      <c r="A925" s="1">
        <v>923</v>
      </c>
      <c r="B925" t="s">
        <v>525</v>
      </c>
      <c r="C925" t="s">
        <v>730</v>
      </c>
      <c r="D925">
        <v>2369</v>
      </c>
      <c r="E925" t="s">
        <v>36</v>
      </c>
      <c r="F925" t="s">
        <v>537</v>
      </c>
      <c r="G925" t="s">
        <v>538</v>
      </c>
      <c r="H925">
        <v>3271</v>
      </c>
    </row>
    <row r="926" spans="1:10" x14ac:dyDescent="0.25">
      <c r="A926" s="1">
        <v>924</v>
      </c>
      <c r="B926" t="s">
        <v>525</v>
      </c>
      <c r="C926" t="s">
        <v>730</v>
      </c>
      <c r="E926" t="s">
        <v>219</v>
      </c>
      <c r="F926" t="s">
        <v>220</v>
      </c>
      <c r="G926" t="s">
        <v>177</v>
      </c>
    </row>
    <row r="927" spans="1:10" x14ac:dyDescent="0.25">
      <c r="A927" s="1">
        <v>925</v>
      </c>
      <c r="B927" t="s">
        <v>525</v>
      </c>
      <c r="C927" t="s">
        <v>730</v>
      </c>
      <c r="D927">
        <v>2370</v>
      </c>
      <c r="E927" t="s">
        <v>17</v>
      </c>
      <c r="F927" t="s">
        <v>694</v>
      </c>
      <c r="G927" t="s">
        <v>184</v>
      </c>
      <c r="H927" t="s">
        <v>743</v>
      </c>
    </row>
    <row r="928" spans="1:10" x14ac:dyDescent="0.25">
      <c r="A928" s="1">
        <v>926</v>
      </c>
      <c r="B928" t="s">
        <v>525</v>
      </c>
      <c r="C928" t="s">
        <v>730</v>
      </c>
      <c r="D928">
        <v>2371</v>
      </c>
      <c r="E928" t="s">
        <v>24</v>
      </c>
      <c r="F928" t="s">
        <v>25</v>
      </c>
      <c r="G928" t="s">
        <v>26</v>
      </c>
    </row>
    <row r="929" spans="1:10" x14ac:dyDescent="0.25">
      <c r="A929" s="1">
        <v>927</v>
      </c>
      <c r="B929" t="s">
        <v>525</v>
      </c>
      <c r="C929" t="s">
        <v>730</v>
      </c>
      <c r="D929">
        <v>2362</v>
      </c>
      <c r="E929" t="s">
        <v>122</v>
      </c>
      <c r="H929">
        <v>3275</v>
      </c>
    </row>
    <row r="930" spans="1:10" x14ac:dyDescent="0.25">
      <c r="A930" s="1">
        <v>928</v>
      </c>
      <c r="B930" t="s">
        <v>525</v>
      </c>
      <c r="C930" t="s">
        <v>730</v>
      </c>
      <c r="D930">
        <v>2364</v>
      </c>
      <c r="E930" t="s">
        <v>36</v>
      </c>
      <c r="F930" t="s">
        <v>744</v>
      </c>
      <c r="H930">
        <v>3279</v>
      </c>
    </row>
    <row r="931" spans="1:10" x14ac:dyDescent="0.25">
      <c r="A931" s="1">
        <v>929</v>
      </c>
      <c r="B931" t="s">
        <v>525</v>
      </c>
      <c r="C931" t="s">
        <v>730</v>
      </c>
      <c r="D931">
        <v>2366</v>
      </c>
      <c r="E931" t="s">
        <v>39</v>
      </c>
      <c r="F931" t="s">
        <v>186</v>
      </c>
      <c r="G931" t="s">
        <v>431</v>
      </c>
      <c r="H931" t="s">
        <v>734</v>
      </c>
    </row>
    <row r="932" spans="1:10" x14ac:dyDescent="0.25">
      <c r="A932" s="1">
        <v>930</v>
      </c>
      <c r="B932" t="s">
        <v>525</v>
      </c>
      <c r="C932" t="s">
        <v>730</v>
      </c>
      <c r="E932" t="s">
        <v>39</v>
      </c>
      <c r="F932" t="s">
        <v>88</v>
      </c>
    </row>
    <row r="933" spans="1:10" x14ac:dyDescent="0.25">
      <c r="A933" s="1">
        <v>931</v>
      </c>
      <c r="B933" t="s">
        <v>525</v>
      </c>
      <c r="C933" t="s">
        <v>730</v>
      </c>
      <c r="D933">
        <v>2368</v>
      </c>
      <c r="E933" t="s">
        <v>400</v>
      </c>
      <c r="F933" t="s">
        <v>401</v>
      </c>
      <c r="G933" t="s">
        <v>216</v>
      </c>
      <c r="H933">
        <v>3163</v>
      </c>
      <c r="J933">
        <v>1</v>
      </c>
    </row>
    <row r="934" spans="1:10" x14ac:dyDescent="0.25">
      <c r="A934" s="1">
        <v>932</v>
      </c>
      <c r="B934" t="s">
        <v>525</v>
      </c>
      <c r="C934" t="s">
        <v>730</v>
      </c>
      <c r="E934" t="s">
        <v>12</v>
      </c>
    </row>
    <row r="935" spans="1:10" x14ac:dyDescent="0.25">
      <c r="A935" s="1">
        <v>933</v>
      </c>
      <c r="B935" t="s">
        <v>525</v>
      </c>
      <c r="C935" t="s">
        <v>730</v>
      </c>
      <c r="D935">
        <v>2372</v>
      </c>
      <c r="E935" t="s">
        <v>24</v>
      </c>
      <c r="F935" t="s">
        <v>25</v>
      </c>
      <c r="G935" t="s">
        <v>26</v>
      </c>
    </row>
    <row r="936" spans="1:10" x14ac:dyDescent="0.25">
      <c r="A936" s="1">
        <v>934</v>
      </c>
      <c r="B936" t="s">
        <v>525</v>
      </c>
      <c r="C936" t="s">
        <v>730</v>
      </c>
      <c r="D936">
        <v>2373</v>
      </c>
      <c r="E936" t="s">
        <v>39</v>
      </c>
      <c r="F936" t="s">
        <v>88</v>
      </c>
      <c r="G936" t="s">
        <v>89</v>
      </c>
      <c r="H936">
        <v>3281</v>
      </c>
    </row>
    <row r="937" spans="1:10" x14ac:dyDescent="0.25">
      <c r="A937" s="1">
        <v>935</v>
      </c>
      <c r="B937" t="s">
        <v>525</v>
      </c>
      <c r="C937" t="s">
        <v>730</v>
      </c>
      <c r="D937">
        <v>2374</v>
      </c>
      <c r="E937" t="s">
        <v>240</v>
      </c>
      <c r="F937" t="s">
        <v>241</v>
      </c>
      <c r="H937">
        <v>3266</v>
      </c>
      <c r="J937">
        <v>1</v>
      </c>
    </row>
    <row r="938" spans="1:10" x14ac:dyDescent="0.25">
      <c r="A938" s="1">
        <v>936</v>
      </c>
      <c r="B938" t="s">
        <v>525</v>
      </c>
      <c r="C938" t="s">
        <v>730</v>
      </c>
      <c r="D938">
        <v>2375</v>
      </c>
      <c r="E938" t="s">
        <v>84</v>
      </c>
      <c r="F938" t="s">
        <v>85</v>
      </c>
      <c r="G938" t="s">
        <v>745</v>
      </c>
      <c r="H938">
        <v>3268</v>
      </c>
      <c r="J938">
        <v>1</v>
      </c>
    </row>
    <row r="939" spans="1:10" x14ac:dyDescent="0.25">
      <c r="A939" s="1">
        <v>937</v>
      </c>
      <c r="B939" t="s">
        <v>525</v>
      </c>
      <c r="C939" t="s">
        <v>730</v>
      </c>
      <c r="D939">
        <v>2376</v>
      </c>
      <c r="E939" t="s">
        <v>219</v>
      </c>
      <c r="F939" t="s">
        <v>220</v>
      </c>
      <c r="H939" t="s">
        <v>746</v>
      </c>
      <c r="J939">
        <v>1</v>
      </c>
    </row>
    <row r="940" spans="1:10" x14ac:dyDescent="0.25">
      <c r="A940" s="1">
        <v>938</v>
      </c>
      <c r="B940" t="s">
        <v>525</v>
      </c>
      <c r="C940" t="s">
        <v>730</v>
      </c>
      <c r="D940">
        <v>2377</v>
      </c>
      <c r="E940" t="s">
        <v>17</v>
      </c>
      <c r="F940" t="s">
        <v>539</v>
      </c>
      <c r="G940" t="s">
        <v>540</v>
      </c>
      <c r="H940">
        <v>3272</v>
      </c>
    </row>
    <row r="941" spans="1:10" x14ac:dyDescent="0.25">
      <c r="A941" s="1">
        <v>939</v>
      </c>
      <c r="B941" t="s">
        <v>525</v>
      </c>
      <c r="C941" t="s">
        <v>730</v>
      </c>
      <c r="D941">
        <v>2378</v>
      </c>
      <c r="E941" t="s">
        <v>747</v>
      </c>
      <c r="F941" t="s">
        <v>550</v>
      </c>
    </row>
    <row r="942" spans="1:10" x14ac:dyDescent="0.25">
      <c r="A942" s="1">
        <v>940</v>
      </c>
      <c r="B942" t="s">
        <v>525</v>
      </c>
      <c r="C942" t="s">
        <v>730</v>
      </c>
      <c r="D942">
        <v>2379</v>
      </c>
      <c r="E942" t="s">
        <v>95</v>
      </c>
      <c r="F942" t="s">
        <v>96</v>
      </c>
      <c r="G942" t="s">
        <v>665</v>
      </c>
      <c r="H942">
        <v>3282</v>
      </c>
      <c r="J942">
        <v>1</v>
      </c>
    </row>
    <row r="943" spans="1:10" x14ac:dyDescent="0.25">
      <c r="A943" s="1">
        <v>941</v>
      </c>
      <c r="B943" t="s">
        <v>525</v>
      </c>
      <c r="C943" t="s">
        <v>730</v>
      </c>
      <c r="D943">
        <v>2382</v>
      </c>
      <c r="E943" t="s">
        <v>84</v>
      </c>
      <c r="F943" t="s">
        <v>389</v>
      </c>
      <c r="G943" t="s">
        <v>98</v>
      </c>
      <c r="H943">
        <v>3264</v>
      </c>
      <c r="J943">
        <v>1</v>
      </c>
    </row>
    <row r="944" spans="1:10" x14ac:dyDescent="0.25">
      <c r="A944" s="1">
        <v>942</v>
      </c>
      <c r="B944" t="s">
        <v>525</v>
      </c>
      <c r="C944" t="s">
        <v>730</v>
      </c>
      <c r="D944">
        <v>2384</v>
      </c>
      <c r="E944" t="s">
        <v>12</v>
      </c>
      <c r="F944" t="s">
        <v>748</v>
      </c>
      <c r="G944" t="s">
        <v>749</v>
      </c>
      <c r="H944" t="s">
        <v>750</v>
      </c>
    </row>
    <row r="945" spans="1:10" x14ac:dyDescent="0.25">
      <c r="A945" s="1">
        <v>943</v>
      </c>
      <c r="B945" t="s">
        <v>525</v>
      </c>
      <c r="C945" t="s">
        <v>730</v>
      </c>
      <c r="E945" t="s">
        <v>400</v>
      </c>
      <c r="F945" t="s">
        <v>401</v>
      </c>
    </row>
    <row r="946" spans="1:10" x14ac:dyDescent="0.25">
      <c r="A946" s="1">
        <v>944</v>
      </c>
      <c r="B946" t="s">
        <v>525</v>
      </c>
      <c r="C946" t="s">
        <v>730</v>
      </c>
      <c r="E946" t="s">
        <v>39</v>
      </c>
      <c r="F946" t="s">
        <v>751</v>
      </c>
      <c r="G946" t="s">
        <v>752</v>
      </c>
    </row>
    <row r="947" spans="1:10" x14ac:dyDescent="0.25">
      <c r="A947" s="1">
        <v>945</v>
      </c>
      <c r="B947" t="s">
        <v>525</v>
      </c>
      <c r="C947" t="s">
        <v>730</v>
      </c>
      <c r="D947">
        <v>2380</v>
      </c>
      <c r="E947" t="s">
        <v>20</v>
      </c>
      <c r="F947" t="s">
        <v>134</v>
      </c>
      <c r="H947">
        <v>3273</v>
      </c>
      <c r="J947">
        <v>1</v>
      </c>
    </row>
    <row r="948" spans="1:10" x14ac:dyDescent="0.25">
      <c r="A948" s="1">
        <v>946</v>
      </c>
      <c r="B948" t="s">
        <v>525</v>
      </c>
      <c r="C948" t="s">
        <v>730</v>
      </c>
      <c r="E948" t="s">
        <v>84</v>
      </c>
      <c r="F948" t="s">
        <v>708</v>
      </c>
    </row>
    <row r="949" spans="1:10" x14ac:dyDescent="0.25">
      <c r="A949" s="1">
        <v>947</v>
      </c>
      <c r="B949" t="s">
        <v>525</v>
      </c>
      <c r="C949" t="s">
        <v>730</v>
      </c>
      <c r="D949">
        <v>2363</v>
      </c>
      <c r="E949" t="s">
        <v>122</v>
      </c>
    </row>
    <row r="950" spans="1:10" x14ac:dyDescent="0.25">
      <c r="A950" s="1">
        <v>948</v>
      </c>
      <c r="B950" t="s">
        <v>525</v>
      </c>
      <c r="C950" t="s">
        <v>730</v>
      </c>
      <c r="D950">
        <v>2365</v>
      </c>
      <c r="E950" t="s">
        <v>12</v>
      </c>
      <c r="F950" t="s">
        <v>753</v>
      </c>
      <c r="G950" t="s">
        <v>754</v>
      </c>
      <c r="H950">
        <v>3274</v>
      </c>
    </row>
    <row r="951" spans="1:10" x14ac:dyDescent="0.25">
      <c r="A951" s="1">
        <v>949</v>
      </c>
      <c r="B951" t="s">
        <v>525</v>
      </c>
      <c r="C951" t="s">
        <v>730</v>
      </c>
      <c r="D951">
        <v>2367</v>
      </c>
      <c r="E951" t="s">
        <v>265</v>
      </c>
      <c r="F951" t="s">
        <v>727</v>
      </c>
      <c r="H951">
        <v>3278</v>
      </c>
    </row>
    <row r="952" spans="1:10" x14ac:dyDescent="0.25">
      <c r="A952" s="1">
        <v>950</v>
      </c>
      <c r="B952" t="s">
        <v>525</v>
      </c>
      <c r="C952" t="s">
        <v>730</v>
      </c>
      <c r="D952">
        <v>2383</v>
      </c>
      <c r="E952" t="s">
        <v>84</v>
      </c>
      <c r="F952" t="s">
        <v>174</v>
      </c>
      <c r="H952">
        <v>3263</v>
      </c>
    </row>
    <row r="953" spans="1:10" x14ac:dyDescent="0.25">
      <c r="A953" s="1">
        <v>951</v>
      </c>
      <c r="B953" t="s">
        <v>525</v>
      </c>
      <c r="C953" t="s">
        <v>730</v>
      </c>
      <c r="D953">
        <v>2386</v>
      </c>
      <c r="E953" t="s">
        <v>36</v>
      </c>
      <c r="F953" t="s">
        <v>37</v>
      </c>
      <c r="H953">
        <v>3277</v>
      </c>
    </row>
    <row r="954" spans="1:10" x14ac:dyDescent="0.25">
      <c r="A954" s="1">
        <v>952</v>
      </c>
      <c r="B954" t="s">
        <v>525</v>
      </c>
      <c r="C954" t="s">
        <v>730</v>
      </c>
      <c r="D954">
        <v>2392</v>
      </c>
      <c r="E954" t="s">
        <v>122</v>
      </c>
    </row>
    <row r="955" spans="1:10" x14ac:dyDescent="0.25">
      <c r="A955" s="1">
        <v>953</v>
      </c>
      <c r="B955" t="s">
        <v>525</v>
      </c>
      <c r="C955" t="s">
        <v>730</v>
      </c>
      <c r="D955">
        <v>2395</v>
      </c>
      <c r="E955" t="s">
        <v>63</v>
      </c>
      <c r="H955" t="s">
        <v>755</v>
      </c>
    </row>
    <row r="956" spans="1:10" x14ac:dyDescent="0.25">
      <c r="A956" s="1">
        <v>954</v>
      </c>
      <c r="B956" t="s">
        <v>525</v>
      </c>
      <c r="C956" t="s">
        <v>730</v>
      </c>
      <c r="D956">
        <v>2396</v>
      </c>
      <c r="E956" t="s">
        <v>36</v>
      </c>
      <c r="F956" t="s">
        <v>37</v>
      </c>
      <c r="H956">
        <v>3276</v>
      </c>
    </row>
    <row r="957" spans="1:10" x14ac:dyDescent="0.25">
      <c r="A957" s="1">
        <v>955</v>
      </c>
      <c r="B957" t="s">
        <v>525</v>
      </c>
      <c r="C957" t="s">
        <v>730</v>
      </c>
      <c r="D957">
        <v>2397</v>
      </c>
      <c r="E957" t="s">
        <v>39</v>
      </c>
      <c r="F957" t="s">
        <v>186</v>
      </c>
      <c r="G957" t="s">
        <v>431</v>
      </c>
      <c r="H957" t="s">
        <v>734</v>
      </c>
    </row>
    <row r="958" spans="1:10" x14ac:dyDescent="0.25">
      <c r="A958" s="1">
        <v>956</v>
      </c>
      <c r="B958" t="s">
        <v>525</v>
      </c>
      <c r="C958" t="s">
        <v>730</v>
      </c>
      <c r="D958" t="s">
        <v>59</v>
      </c>
      <c r="E958" t="s">
        <v>122</v>
      </c>
    </row>
    <row r="959" spans="1:10" x14ac:dyDescent="0.25">
      <c r="A959" s="1">
        <v>957</v>
      </c>
      <c r="B959" t="s">
        <v>525</v>
      </c>
      <c r="C959" t="s">
        <v>730</v>
      </c>
      <c r="D959" t="s">
        <v>61</v>
      </c>
      <c r="E959" t="s">
        <v>122</v>
      </c>
    </row>
    <row r="960" spans="1:10" x14ac:dyDescent="0.25">
      <c r="A960" s="1">
        <v>958</v>
      </c>
      <c r="B960" t="s">
        <v>525</v>
      </c>
      <c r="C960" t="s">
        <v>756</v>
      </c>
      <c r="D960">
        <v>2400</v>
      </c>
      <c r="E960" t="s">
        <v>115</v>
      </c>
      <c r="F960" t="s">
        <v>314</v>
      </c>
      <c r="G960" t="s">
        <v>757</v>
      </c>
      <c r="H960" t="s">
        <v>758</v>
      </c>
    </row>
    <row r="961" spans="1:8" x14ac:dyDescent="0.25">
      <c r="A961" s="1">
        <v>959</v>
      </c>
      <c r="B961" t="s">
        <v>525</v>
      </c>
      <c r="C961" t="s">
        <v>756</v>
      </c>
      <c r="D961">
        <v>2401</v>
      </c>
      <c r="E961" t="s">
        <v>95</v>
      </c>
      <c r="F961" t="s">
        <v>96</v>
      </c>
      <c r="G961" t="s">
        <v>490</v>
      </c>
      <c r="H961" t="s">
        <v>759</v>
      </c>
    </row>
    <row r="962" spans="1:8" x14ac:dyDescent="0.25">
      <c r="A962" s="1">
        <v>960</v>
      </c>
      <c r="B962" t="s">
        <v>525</v>
      </c>
      <c r="C962" t="s">
        <v>756</v>
      </c>
      <c r="D962">
        <v>2402</v>
      </c>
      <c r="E962" t="s">
        <v>27</v>
      </c>
      <c r="F962" t="s">
        <v>143</v>
      </c>
      <c r="G962" t="s">
        <v>709</v>
      </c>
    </row>
    <row r="963" spans="1:8" x14ac:dyDescent="0.25">
      <c r="A963" s="1">
        <v>961</v>
      </c>
      <c r="B963" t="s">
        <v>525</v>
      </c>
      <c r="C963" t="s">
        <v>756</v>
      </c>
      <c r="D963">
        <v>2403</v>
      </c>
      <c r="E963" t="s">
        <v>330</v>
      </c>
      <c r="F963" t="s">
        <v>90</v>
      </c>
      <c r="G963" t="s">
        <v>151</v>
      </c>
    </row>
    <row r="964" spans="1:8" x14ac:dyDescent="0.25">
      <c r="A964" s="1">
        <v>962</v>
      </c>
      <c r="B964" t="s">
        <v>525</v>
      </c>
      <c r="C964" t="s">
        <v>756</v>
      </c>
      <c r="D964">
        <v>2404</v>
      </c>
      <c r="E964" t="s">
        <v>17</v>
      </c>
      <c r="F964" t="s">
        <v>539</v>
      </c>
      <c r="G964" t="s">
        <v>540</v>
      </c>
      <c r="H964">
        <f>3272</f>
        <v>3272</v>
      </c>
    </row>
    <row r="965" spans="1:8" x14ac:dyDescent="0.25">
      <c r="A965" s="1">
        <v>963</v>
      </c>
      <c r="B965" t="s">
        <v>525</v>
      </c>
      <c r="C965" t="s">
        <v>756</v>
      </c>
      <c r="D965">
        <v>2405</v>
      </c>
      <c r="E965" t="s">
        <v>17</v>
      </c>
      <c r="F965" t="s">
        <v>565</v>
      </c>
      <c r="G965" t="s">
        <v>566</v>
      </c>
      <c r="H965">
        <f>3169</f>
        <v>3169</v>
      </c>
    </row>
    <row r="966" spans="1:8" x14ac:dyDescent="0.25">
      <c r="A966" s="1">
        <v>964</v>
      </c>
      <c r="B966" t="s">
        <v>525</v>
      </c>
      <c r="C966" t="s">
        <v>756</v>
      </c>
      <c r="D966">
        <v>2406</v>
      </c>
      <c r="E966" t="s">
        <v>39</v>
      </c>
      <c r="F966" t="s">
        <v>186</v>
      </c>
      <c r="G966" t="s">
        <v>431</v>
      </c>
    </row>
    <row r="967" spans="1:8" x14ac:dyDescent="0.25">
      <c r="A967" s="1">
        <v>965</v>
      </c>
      <c r="B967" t="s">
        <v>525</v>
      </c>
      <c r="C967" t="s">
        <v>756</v>
      </c>
      <c r="D967">
        <v>2407</v>
      </c>
      <c r="E967" t="s">
        <v>17</v>
      </c>
      <c r="F967" t="s">
        <v>539</v>
      </c>
      <c r="G967" t="s">
        <v>540</v>
      </c>
      <c r="H967">
        <f>3272</f>
        <v>3272</v>
      </c>
    </row>
    <row r="968" spans="1:8" x14ac:dyDescent="0.25">
      <c r="A968" s="1">
        <v>966</v>
      </c>
      <c r="B968" t="s">
        <v>525</v>
      </c>
      <c r="C968" t="s">
        <v>756</v>
      </c>
      <c r="D968">
        <v>2408</v>
      </c>
      <c r="E968" t="s">
        <v>12</v>
      </c>
      <c r="F968" t="s">
        <v>545</v>
      </c>
      <c r="G968" t="s">
        <v>546</v>
      </c>
      <c r="H968" t="s">
        <v>760</v>
      </c>
    </row>
    <row r="969" spans="1:8" x14ac:dyDescent="0.25">
      <c r="A969" s="1">
        <v>967</v>
      </c>
      <c r="B969" t="s">
        <v>525</v>
      </c>
      <c r="C969" t="s">
        <v>756</v>
      </c>
      <c r="D969">
        <v>2409</v>
      </c>
      <c r="E969" t="s">
        <v>20</v>
      </c>
      <c r="F969" t="s">
        <v>761</v>
      </c>
      <c r="G969" t="s">
        <v>180</v>
      </c>
      <c r="H969" t="s">
        <v>762</v>
      </c>
    </row>
    <row r="970" spans="1:8" x14ac:dyDescent="0.25">
      <c r="A970" s="1">
        <v>968</v>
      </c>
      <c r="B970" t="s">
        <v>525</v>
      </c>
      <c r="C970" t="s">
        <v>756</v>
      </c>
      <c r="D970">
        <v>2410</v>
      </c>
      <c r="H970" t="s">
        <v>763</v>
      </c>
    </row>
    <row r="971" spans="1:8" x14ac:dyDescent="0.25">
      <c r="A971" s="1">
        <v>969</v>
      </c>
      <c r="B971" t="s">
        <v>525</v>
      </c>
      <c r="C971" t="s">
        <v>756</v>
      </c>
      <c r="D971">
        <v>2411</v>
      </c>
      <c r="E971" t="s">
        <v>84</v>
      </c>
      <c r="F971" t="s">
        <v>280</v>
      </c>
      <c r="G971" t="s">
        <v>383</v>
      </c>
      <c r="H971" t="s">
        <v>764</v>
      </c>
    </row>
    <row r="972" spans="1:8" x14ac:dyDescent="0.25">
      <c r="A972" s="1">
        <v>970</v>
      </c>
      <c r="B972" t="s">
        <v>525</v>
      </c>
      <c r="C972" t="s">
        <v>756</v>
      </c>
      <c r="D972">
        <v>2412</v>
      </c>
      <c r="E972" t="s">
        <v>39</v>
      </c>
      <c r="F972" t="s">
        <v>88</v>
      </c>
      <c r="G972" t="s">
        <v>89</v>
      </c>
      <c r="H972">
        <f>3281</f>
        <v>3281</v>
      </c>
    </row>
    <row r="973" spans="1:8" x14ac:dyDescent="0.25">
      <c r="A973" s="1">
        <v>971</v>
      </c>
      <c r="B973" t="s">
        <v>525</v>
      </c>
      <c r="C973" t="s">
        <v>756</v>
      </c>
      <c r="D973">
        <v>2413</v>
      </c>
      <c r="E973" t="s">
        <v>17</v>
      </c>
      <c r="F973" t="s">
        <v>565</v>
      </c>
      <c r="G973" t="s">
        <v>566</v>
      </c>
      <c r="H973">
        <f>3169</f>
        <v>3169</v>
      </c>
    </row>
    <row r="974" spans="1:8" x14ac:dyDescent="0.25">
      <c r="A974" s="1">
        <v>972</v>
      </c>
      <c r="B974" t="s">
        <v>525</v>
      </c>
      <c r="C974" t="s">
        <v>756</v>
      </c>
      <c r="D974">
        <v>2414</v>
      </c>
      <c r="E974" t="s">
        <v>71</v>
      </c>
      <c r="F974" t="s">
        <v>99</v>
      </c>
      <c r="G974" t="s">
        <v>110</v>
      </c>
      <c r="H974" t="s">
        <v>765</v>
      </c>
    </row>
    <row r="975" spans="1:8" x14ac:dyDescent="0.25">
      <c r="A975" s="1">
        <v>973</v>
      </c>
      <c r="B975" t="s">
        <v>525</v>
      </c>
      <c r="C975" t="s">
        <v>756</v>
      </c>
      <c r="D975">
        <v>2415</v>
      </c>
      <c r="E975" t="s">
        <v>207</v>
      </c>
      <c r="F975" t="s">
        <v>237</v>
      </c>
      <c r="G975" t="s">
        <v>427</v>
      </c>
      <c r="H975" t="s">
        <v>766</v>
      </c>
    </row>
    <row r="976" spans="1:8" x14ac:dyDescent="0.25">
      <c r="A976" s="1">
        <v>974</v>
      </c>
      <c r="B976" t="s">
        <v>525</v>
      </c>
      <c r="C976" t="s">
        <v>756</v>
      </c>
      <c r="D976">
        <v>2416</v>
      </c>
      <c r="E976" t="s">
        <v>17</v>
      </c>
      <c r="F976" t="s">
        <v>767</v>
      </c>
      <c r="G976" t="s">
        <v>768</v>
      </c>
      <c r="H976" t="s">
        <v>769</v>
      </c>
    </row>
    <row r="977" spans="1:8" x14ac:dyDescent="0.25">
      <c r="A977" s="1">
        <v>975</v>
      </c>
      <c r="B977" t="s">
        <v>525</v>
      </c>
      <c r="C977" t="s">
        <v>756</v>
      </c>
      <c r="D977">
        <v>2417</v>
      </c>
      <c r="E977" t="s">
        <v>27</v>
      </c>
      <c r="F977" t="s">
        <v>143</v>
      </c>
      <c r="G977" t="s">
        <v>709</v>
      </c>
    </row>
    <row r="978" spans="1:8" x14ac:dyDescent="0.25">
      <c r="A978" s="1">
        <v>976</v>
      </c>
      <c r="B978" t="s">
        <v>525</v>
      </c>
      <c r="C978" t="s">
        <v>756</v>
      </c>
      <c r="D978">
        <v>2418</v>
      </c>
      <c r="E978" t="s">
        <v>39</v>
      </c>
      <c r="F978" t="s">
        <v>186</v>
      </c>
      <c r="G978" t="s">
        <v>431</v>
      </c>
      <c r="H978">
        <f>3200</f>
        <v>3200</v>
      </c>
    </row>
    <row r="979" spans="1:8" x14ac:dyDescent="0.25">
      <c r="A979" s="1">
        <v>977</v>
      </c>
      <c r="B979" t="s">
        <v>525</v>
      </c>
      <c r="C979" t="s">
        <v>756</v>
      </c>
      <c r="D979">
        <v>2419</v>
      </c>
      <c r="E979" t="s">
        <v>17</v>
      </c>
      <c r="F979" t="s">
        <v>539</v>
      </c>
      <c r="G979" t="s">
        <v>540</v>
      </c>
      <c r="H979">
        <f>3272</f>
        <v>3272</v>
      </c>
    </row>
    <row r="980" spans="1:8" x14ac:dyDescent="0.25">
      <c r="A980" s="1">
        <v>978</v>
      </c>
      <c r="B980" t="s">
        <v>525</v>
      </c>
      <c r="C980" t="s">
        <v>756</v>
      </c>
      <c r="D980">
        <v>2420</v>
      </c>
      <c r="E980" t="s">
        <v>14</v>
      </c>
      <c r="F980" t="s">
        <v>327</v>
      </c>
      <c r="G980" t="s">
        <v>328</v>
      </c>
      <c r="H980" t="s">
        <v>770</v>
      </c>
    </row>
    <row r="981" spans="1:8" x14ac:dyDescent="0.25">
      <c r="A981" s="1">
        <v>979</v>
      </c>
      <c r="B981" t="s">
        <v>525</v>
      </c>
      <c r="C981" t="s">
        <v>756</v>
      </c>
      <c r="D981">
        <v>2421</v>
      </c>
      <c r="H981">
        <f>3212</f>
        <v>3212</v>
      </c>
    </row>
    <row r="982" spans="1:8" x14ac:dyDescent="0.25">
      <c r="A982" s="1">
        <v>980</v>
      </c>
      <c r="B982" t="s">
        <v>525</v>
      </c>
      <c r="C982" t="s">
        <v>756</v>
      </c>
      <c r="D982">
        <v>2422</v>
      </c>
      <c r="E982" t="s">
        <v>27</v>
      </c>
      <c r="F982" t="s">
        <v>143</v>
      </c>
      <c r="G982" t="s">
        <v>709</v>
      </c>
    </row>
    <row r="983" spans="1:8" x14ac:dyDescent="0.25">
      <c r="A983" s="1">
        <v>981</v>
      </c>
      <c r="B983" t="s">
        <v>525</v>
      </c>
      <c r="C983" t="s">
        <v>756</v>
      </c>
      <c r="D983">
        <v>2423</v>
      </c>
      <c r="E983" t="s">
        <v>17</v>
      </c>
      <c r="F983" t="s">
        <v>539</v>
      </c>
      <c r="G983" t="s">
        <v>540</v>
      </c>
      <c r="H983">
        <f>3272</f>
        <v>3272</v>
      </c>
    </row>
    <row r="984" spans="1:8" x14ac:dyDescent="0.25">
      <c r="A984" s="1">
        <v>982</v>
      </c>
      <c r="B984" t="s">
        <v>525</v>
      </c>
      <c r="C984" t="s">
        <v>756</v>
      </c>
      <c r="D984">
        <v>2424</v>
      </c>
      <c r="E984" t="s">
        <v>240</v>
      </c>
      <c r="F984" t="s">
        <v>379</v>
      </c>
      <c r="H984" t="s">
        <v>771</v>
      </c>
    </row>
    <row r="985" spans="1:8" x14ac:dyDescent="0.25">
      <c r="A985" s="1">
        <v>983</v>
      </c>
      <c r="B985" t="s">
        <v>525</v>
      </c>
      <c r="C985" t="s">
        <v>756</v>
      </c>
      <c r="D985">
        <v>2425</v>
      </c>
      <c r="E985" t="s">
        <v>12</v>
      </c>
      <c r="F985" t="s">
        <v>772</v>
      </c>
      <c r="G985" t="s">
        <v>773</v>
      </c>
      <c r="H985">
        <f>3287</f>
        <v>3287</v>
      </c>
    </row>
    <row r="986" spans="1:8" x14ac:dyDescent="0.25">
      <c r="A986" s="1">
        <v>984</v>
      </c>
      <c r="B986" t="s">
        <v>525</v>
      </c>
      <c r="C986" t="s">
        <v>756</v>
      </c>
      <c r="D986">
        <v>2426</v>
      </c>
      <c r="E986" t="s">
        <v>36</v>
      </c>
      <c r="F986" t="s">
        <v>774</v>
      </c>
      <c r="G986" t="s">
        <v>749</v>
      </c>
      <c r="H986">
        <f>3293</f>
        <v>3293</v>
      </c>
    </row>
    <row r="987" spans="1:8" x14ac:dyDescent="0.25">
      <c r="A987" s="1">
        <v>985</v>
      </c>
      <c r="B987" t="s">
        <v>525</v>
      </c>
      <c r="C987" t="s">
        <v>756</v>
      </c>
      <c r="D987">
        <v>2428</v>
      </c>
      <c r="E987" t="s">
        <v>39</v>
      </c>
      <c r="F987" t="s">
        <v>186</v>
      </c>
      <c r="G987" t="s">
        <v>431</v>
      </c>
      <c r="H987">
        <f>3200</f>
        <v>3200</v>
      </c>
    </row>
    <row r="988" spans="1:8" x14ac:dyDescent="0.25">
      <c r="A988" s="1">
        <v>986</v>
      </c>
      <c r="B988" t="s">
        <v>525</v>
      </c>
      <c r="C988" t="s">
        <v>756</v>
      </c>
      <c r="D988">
        <v>2429</v>
      </c>
      <c r="E988" t="s">
        <v>188</v>
      </c>
      <c r="F988" t="s">
        <v>210</v>
      </c>
      <c r="G988" t="s">
        <v>54</v>
      </c>
      <c r="H988">
        <f>3296</f>
        <v>3296</v>
      </c>
    </row>
    <row r="989" spans="1:8" x14ac:dyDescent="0.25">
      <c r="A989" s="1">
        <v>987</v>
      </c>
      <c r="B989" t="s">
        <v>525</v>
      </c>
      <c r="C989" t="s">
        <v>756</v>
      </c>
      <c r="D989">
        <v>2430</v>
      </c>
      <c r="E989" t="s">
        <v>20</v>
      </c>
      <c r="F989" t="s">
        <v>134</v>
      </c>
      <c r="G989" t="s">
        <v>775</v>
      </c>
      <c r="H989" t="s">
        <v>776</v>
      </c>
    </row>
    <row r="990" spans="1:8" x14ac:dyDescent="0.25">
      <c r="A990" s="1">
        <v>988</v>
      </c>
      <c r="B990" t="s">
        <v>525</v>
      </c>
      <c r="C990" t="s">
        <v>756</v>
      </c>
      <c r="D990">
        <v>2431</v>
      </c>
      <c r="E990" t="s">
        <v>39</v>
      </c>
      <c r="F990" t="s">
        <v>186</v>
      </c>
      <c r="G990" t="s">
        <v>187</v>
      </c>
    </row>
    <row r="991" spans="1:8" x14ac:dyDescent="0.25">
      <c r="A991" s="1">
        <v>989</v>
      </c>
      <c r="B991" t="s">
        <v>525</v>
      </c>
      <c r="C991" t="s">
        <v>756</v>
      </c>
      <c r="D991">
        <v>2432</v>
      </c>
      <c r="E991" t="s">
        <v>71</v>
      </c>
      <c r="F991" t="s">
        <v>72</v>
      </c>
      <c r="G991" t="s">
        <v>777</v>
      </c>
      <c r="H991" t="s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2026-02-02T12:25:25Z</dcterms:created>
  <dcterms:modified xsi:type="dcterms:W3CDTF">2026-02-02T13:04:58Z</dcterms:modified>
</cp:coreProperties>
</file>
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new_TreeID</t>
        </is>
      </c>
      <c r="H1" s="1" t="inlineStr">
        <is>
          <t>Type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sample-ID</t>
        </is>
      </c>
      <c r="L1" s="1" t="inlineStr">
        <is>
          <t>[N]</t>
        </is>
      </c>
      <c r="M1" s="1" t="inlineStr">
        <is>
          <t>[C_b]%</t>
        </is>
      </c>
      <c r="N1" s="1" t="inlineStr">
        <is>
          <t>δ15N (‰ v.s. V-PDB)</t>
        </is>
      </c>
      <c r="O1" s="1" t="inlineStr">
        <is>
          <t>bulk_δ13C (‰ v.s.V-PDB)</t>
        </is>
      </c>
      <c r="P1" s="1" t="inlineStr">
        <is>
          <t>old_treeID</t>
        </is>
      </c>
      <c r="Q1" s="1" t="inlineStr">
        <is>
          <t>family</t>
        </is>
      </c>
      <c r="R1" s="1" t="inlineStr">
        <is>
          <t>JH herbarium collections</t>
        </is>
      </c>
      <c r="S1" s="1" t="inlineStr">
        <is>
          <t>genus</t>
        </is>
      </c>
      <c r="T1" s="1" t="inlineStr">
        <is>
          <t>species</t>
        </is>
      </c>
    </row>
    <row r="2">
      <c r="A2" s="1" t="n">
        <v>0</v>
      </c>
      <c r="B2" t="inlineStr">
        <is>
          <t>p74-8859</t>
        </is>
      </c>
      <c r="C2" t="n">
        <v>42.1040303643344</v>
      </c>
      <c r="D2" t="n">
        <v>-33.2155181816902</v>
      </c>
      <c r="E2" t="n">
        <v>2025</v>
      </c>
      <c r="F2" t="inlineStr">
        <is>
          <t>74</t>
        </is>
      </c>
      <c r="G2" t="n">
        <v>8859</v>
      </c>
      <c r="H2" t="inlineStr">
        <is>
          <t>leaf pulverized</t>
        </is>
      </c>
      <c r="I2" t="inlineStr"/>
      <c r="J2" t="inlineStr"/>
      <c r="K2" t="inlineStr">
        <is>
          <t>p74-8859</t>
        </is>
      </c>
      <c r="L2" t="n">
        <v>0.01519611827639625</v>
      </c>
      <c r="M2" t="n">
        <v>0.3990582769402648</v>
      </c>
      <c r="N2" t="n">
        <v>0.5</v>
      </c>
      <c r="O2" t="n">
        <v>-34.77</v>
      </c>
      <c r="P2" t="n">
        <v>2382</v>
      </c>
      <c r="Q2" t="inlineStr">
        <is>
          <t>Moraceae</t>
        </is>
      </c>
      <c r="R2" t="n">
        <v>3264</v>
      </c>
      <c r="S2" t="inlineStr">
        <is>
          <t>Pseudolmedia</t>
        </is>
      </c>
      <c r="T2" t="inlineStr">
        <is>
          <t>laevigata</t>
        </is>
      </c>
    </row>
    <row r="3">
      <c r="A3" s="1" t="n">
        <v>1</v>
      </c>
      <c r="B3" t="inlineStr">
        <is>
          <t>p74-8849</t>
        </is>
      </c>
      <c r="C3" t="n">
        <v>42.584605794486</v>
      </c>
      <c r="D3" t="n">
        <v>-31.2207105692877</v>
      </c>
      <c r="E3" t="n">
        <v>2025</v>
      </c>
      <c r="F3" t="inlineStr">
        <is>
          <t>74</t>
        </is>
      </c>
      <c r="G3" t="n">
        <v>8849</v>
      </c>
      <c r="H3" t="inlineStr">
        <is>
          <t>leaf pulverized</t>
        </is>
      </c>
      <c r="I3" t="inlineStr"/>
      <c r="J3" t="inlineStr"/>
      <c r="K3" t="inlineStr">
        <is>
          <t>p74-8849</t>
        </is>
      </c>
      <c r="L3" t="n">
        <v>0.0157979699642389</v>
      </c>
      <c r="M3" t="n">
        <v>0.4892875807439671</v>
      </c>
      <c r="N3" t="n">
        <v>0.44</v>
      </c>
      <c r="O3" t="n">
        <v>-33.24</v>
      </c>
      <c r="P3" t="n">
        <v>2368</v>
      </c>
      <c r="Q3" t="inlineStr">
        <is>
          <t>Calophyllaceae</t>
        </is>
      </c>
      <c r="R3" t="n">
        <v>3163</v>
      </c>
      <c r="S3" t="inlineStr">
        <is>
          <t>Marila</t>
        </is>
      </c>
      <c r="T3" t="inlineStr">
        <is>
          <t>grandiflora</t>
        </is>
      </c>
    </row>
    <row r="4">
      <c r="A4" s="1" t="n">
        <v>2</v>
      </c>
      <c r="B4" t="inlineStr">
        <is>
          <t>p74-8853</t>
        </is>
      </c>
      <c r="C4" t="n">
        <v>43.9837046243642</v>
      </c>
      <c r="D4" t="n">
        <v>-33.1595942086546</v>
      </c>
      <c r="E4" t="n">
        <v>2025</v>
      </c>
      <c r="F4" t="inlineStr">
        <is>
          <t>74</t>
        </is>
      </c>
      <c r="G4" t="n">
        <v>8853</v>
      </c>
      <c r="H4" t="inlineStr">
        <is>
          <t>leaf pulverized</t>
        </is>
      </c>
      <c r="I4" t="inlineStr"/>
      <c r="J4" t="inlineStr"/>
      <c r="K4" t="inlineStr">
        <is>
          <t>p74-8853</t>
        </is>
      </c>
      <c r="L4" t="n">
        <v>0.01315526705850149</v>
      </c>
      <c r="M4" t="n">
        <v>0.4473774700942126</v>
      </c>
      <c r="N4" t="n">
        <v>-0.42</v>
      </c>
      <c r="O4" t="n">
        <v>-34.64</v>
      </c>
      <c r="P4" t="n">
        <v>2374</v>
      </c>
      <c r="Q4" t="inlineStr">
        <is>
          <t>Myrtaceae</t>
        </is>
      </c>
      <c r="R4" t="n">
        <v>3266</v>
      </c>
      <c r="S4" t="inlineStr">
        <is>
          <t>Eugenia</t>
        </is>
      </c>
      <c r="T4" t="inlineStr"/>
    </row>
    <row r="5">
      <c r="A5" s="1" t="n">
        <v>3</v>
      </c>
      <c r="B5" t="inlineStr">
        <is>
          <t>p74-8863</t>
        </is>
      </c>
      <c r="C5" t="n">
        <v>39.9182128244988</v>
      </c>
      <c r="D5" t="n">
        <v>-30.9506111161297</v>
      </c>
      <c r="E5" t="n">
        <v>2025</v>
      </c>
      <c r="F5" t="inlineStr">
        <is>
          <t>74</t>
        </is>
      </c>
      <c r="G5" t="n">
        <v>8863</v>
      </c>
      <c r="H5" t="inlineStr">
        <is>
          <t>leaf pulverized</t>
        </is>
      </c>
      <c r="I5" t="inlineStr"/>
      <c r="J5" t="inlineStr"/>
      <c r="K5" t="inlineStr">
        <is>
          <t>p74-8863</t>
        </is>
      </c>
      <c r="L5" t="n">
        <v>0.01887504041753914</v>
      </c>
      <c r="M5" t="n">
        <v>0.4521728216082592</v>
      </c>
      <c r="N5" t="n">
        <v>-0.82</v>
      </c>
      <c r="O5" t="n">
        <v>-34.43</v>
      </c>
      <c r="P5" t="n">
        <v>2380</v>
      </c>
      <c r="Q5" t="inlineStr">
        <is>
          <t>Lauraceae</t>
        </is>
      </c>
      <c r="R5" t="n">
        <v>3273</v>
      </c>
      <c r="S5" t="inlineStr">
        <is>
          <t>Pleurothyrium</t>
        </is>
      </c>
      <c r="T5" t="inlineStr"/>
    </row>
    <row r="6">
      <c r="A6" s="1" t="n">
        <v>4</v>
      </c>
      <c r="B6" t="inlineStr">
        <is>
          <t>p74-8863</t>
        </is>
      </c>
      <c r="C6" t="n">
        <v>0.4445</v>
      </c>
      <c r="D6" t="n">
        <v>-31.32</v>
      </c>
      <c r="E6" t="n">
        <v>2025</v>
      </c>
      <c r="F6" t="inlineStr">
        <is>
          <t>p74</t>
        </is>
      </c>
      <c r="G6" t="n">
        <v>8863</v>
      </c>
      <c r="H6" t="inlineStr">
        <is>
          <t>leaf pulverized</t>
        </is>
      </c>
      <c r="I6" t="inlineStr"/>
      <c r="J6" t="inlineStr"/>
      <c r="K6" t="inlineStr">
        <is>
          <t>p74-8863</t>
        </is>
      </c>
      <c r="L6" t="n">
        <v>0.01887504041753914</v>
      </c>
      <c r="M6" t="n">
        <v>0.4521728216082592</v>
      </c>
      <c r="N6" t="n">
        <v>-0.82</v>
      </c>
      <c r="O6" t="n">
        <v>-34.43</v>
      </c>
      <c r="P6" t="n">
        <v>2380</v>
      </c>
      <c r="Q6" t="inlineStr">
        <is>
          <t>Lauraceae</t>
        </is>
      </c>
      <c r="R6" t="n">
        <v>3273</v>
      </c>
      <c r="S6" t="inlineStr">
        <is>
          <t>Pleurothyrium</t>
        </is>
      </c>
      <c r="T6" t="inlineStr"/>
    </row>
    <row r="7">
      <c r="A7" s="1" t="n">
        <v>5</v>
      </c>
      <c r="B7" t="inlineStr">
        <is>
          <t>p74-8854</t>
        </is>
      </c>
      <c r="C7" t="n">
        <v>41.94733475458</v>
      </c>
      <c r="D7" t="n">
        <v>-29.5062469126404</v>
      </c>
      <c r="E7" t="n">
        <v>2025</v>
      </c>
      <c r="F7" t="inlineStr">
        <is>
          <t>74</t>
        </is>
      </c>
      <c r="G7" t="n">
        <v>8854</v>
      </c>
      <c r="H7" t="inlineStr">
        <is>
          <t>leaf pulverized</t>
        </is>
      </c>
      <c r="I7" t="inlineStr"/>
      <c r="J7" t="inlineStr"/>
      <c r="K7" t="inlineStr">
        <is>
          <t>p74-8854</t>
        </is>
      </c>
      <c r="L7" t="n">
        <v>0.02065846271337194</v>
      </c>
      <c r="M7" t="n">
        <v>0.3932217774359631</v>
      </c>
      <c r="N7" t="n">
        <v>-0.3</v>
      </c>
      <c r="O7" t="n">
        <v>-31.32</v>
      </c>
      <c r="P7" t="n">
        <v>2375</v>
      </c>
      <c r="Q7" t="inlineStr">
        <is>
          <t>Moraceae</t>
        </is>
      </c>
      <c r="R7" t="n">
        <v>3268</v>
      </c>
      <c r="S7" t="inlineStr">
        <is>
          <t>Sorocea</t>
        </is>
      </c>
      <c r="T7" t="inlineStr">
        <is>
          <t>pubivena</t>
        </is>
      </c>
    </row>
    <row r="8">
      <c r="A8" s="1" t="n">
        <v>6</v>
      </c>
      <c r="B8" t="inlineStr">
        <is>
          <t>p74-8832</t>
        </is>
      </c>
      <c r="C8" t="n">
        <v>40.509559197114</v>
      </c>
      <c r="D8" t="n">
        <v>-32.1358652529169</v>
      </c>
      <c r="E8" t="n">
        <v>2025</v>
      </c>
      <c r="F8" t="inlineStr">
        <is>
          <t>74</t>
        </is>
      </c>
      <c r="G8" t="n">
        <v>8832</v>
      </c>
      <c r="H8" t="inlineStr">
        <is>
          <t>leaf pulverized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2393</v>
      </c>
      <c r="Q8" t="inlineStr">
        <is>
          <t>Violaceae</t>
        </is>
      </c>
      <c r="R8" t="n">
        <v>3270</v>
      </c>
      <c r="S8" t="inlineStr">
        <is>
          <t>Leonia</t>
        </is>
      </c>
      <c r="T8" t="inlineStr">
        <is>
          <t>longifolium</t>
        </is>
      </c>
    </row>
    <row r="9">
      <c r="A9" s="1" t="n">
        <v>7</v>
      </c>
      <c r="B9" t="inlineStr">
        <is>
          <t>p74-8838</t>
        </is>
      </c>
      <c r="C9" t="n">
        <v>45.6563961631267</v>
      </c>
      <c r="D9" t="n">
        <v>-31.408251888962</v>
      </c>
      <c r="E9" t="n">
        <v>2025</v>
      </c>
      <c r="F9" t="inlineStr">
        <is>
          <t>74</t>
        </is>
      </c>
      <c r="G9" t="n">
        <v>8838</v>
      </c>
      <c r="H9" t="inlineStr">
        <is>
          <t>leaf pulverized</t>
        </is>
      </c>
      <c r="I9" t="inlineStr"/>
      <c r="J9" t="inlineStr"/>
      <c r="K9" t="inlineStr">
        <is>
          <t>p74-8838</t>
        </is>
      </c>
      <c r="L9" t="n">
        <v>0.01506027773689399</v>
      </c>
      <c r="M9" t="n">
        <v>0.4810743319827603</v>
      </c>
      <c r="N9" t="n">
        <v>0.25</v>
      </c>
      <c r="O9" t="n">
        <v>-33.65</v>
      </c>
      <c r="P9" t="n">
        <v>2388</v>
      </c>
      <c r="Q9" t="inlineStr">
        <is>
          <t>Sapotaceae</t>
        </is>
      </c>
      <c r="R9" t="inlineStr">
        <is>
          <t>same as 3244</t>
        </is>
      </c>
      <c r="S9" t="inlineStr">
        <is>
          <t>Pouteria</t>
        </is>
      </c>
      <c r="T9" t="inlineStr">
        <is>
          <t>cuspidata</t>
        </is>
      </c>
    </row>
    <row r="10">
      <c r="A10" s="1" t="n">
        <v>8</v>
      </c>
      <c r="B10" t="inlineStr">
        <is>
          <t>p74-8840</t>
        </is>
      </c>
      <c r="C10" t="n">
        <v>44.5740328512561</v>
      </c>
      <c r="D10" t="n">
        <v>-33.5302479904779</v>
      </c>
      <c r="E10" t="n">
        <v>2025</v>
      </c>
      <c r="F10" t="inlineStr">
        <is>
          <t>74</t>
        </is>
      </c>
      <c r="G10" t="n">
        <v>8840</v>
      </c>
      <c r="H10" t="inlineStr">
        <is>
          <t>leaf pulverized</t>
        </is>
      </c>
      <c r="I10" t="inlineStr"/>
      <c r="J10" t="inlineStr"/>
      <c r="K10" t="inlineStr">
        <is>
          <t>p74-8840</t>
        </is>
      </c>
      <c r="L10" t="n">
        <v>0.013054872322637</v>
      </c>
      <c r="M10" t="n">
        <v>0.4551252723799056</v>
      </c>
      <c r="N10" t="n">
        <v>-1.16</v>
      </c>
      <c r="O10" t="n">
        <v>-34.88</v>
      </c>
      <c r="P10" t="n">
        <v>2389</v>
      </c>
      <c r="Q10" t="inlineStr">
        <is>
          <t>Sapotaceae</t>
        </is>
      </c>
      <c r="R10" t="n">
        <v>3269</v>
      </c>
      <c r="S10" t="inlineStr">
        <is>
          <t>Pouteria</t>
        </is>
      </c>
      <c r="T10" t="inlineStr">
        <is>
          <t>megaphylla</t>
        </is>
      </c>
    </row>
    <row r="11">
      <c r="A11" s="1" t="n">
        <v>9</v>
      </c>
      <c r="B11" t="inlineStr">
        <is>
          <t>p70-3622</t>
        </is>
      </c>
      <c r="C11" t="n">
        <v>42.2106791938408</v>
      </c>
      <c r="D11" t="n">
        <v>-33.0984094704943</v>
      </c>
      <c r="E11" t="n">
        <v>2025</v>
      </c>
      <c r="F11" t="inlineStr">
        <is>
          <t>70</t>
        </is>
      </c>
      <c r="G11" t="n">
        <v>3622</v>
      </c>
      <c r="H11" t="inlineStr">
        <is>
          <t>leaf pulverized</t>
        </is>
      </c>
      <c r="I11" t="inlineStr"/>
      <c r="J11" t="inlineStr"/>
      <c r="K11" t="inlineStr">
        <is>
          <t>p70-3622</t>
        </is>
      </c>
      <c r="L11" t="n">
        <v>0.01468680313508528</v>
      </c>
      <c r="M11" t="n">
        <v>0.4178782536686835</v>
      </c>
      <c r="N11" t="n">
        <v>1.41</v>
      </c>
      <c r="O11" t="n">
        <v>-33.8</v>
      </c>
      <c r="P11" t="n">
        <v>2220</v>
      </c>
      <c r="Q11" t="inlineStr">
        <is>
          <t>Clusiaceae</t>
        </is>
      </c>
      <c r="R11" t="n">
        <v>3892</v>
      </c>
      <c r="S11" t="inlineStr">
        <is>
          <t>Chrysochlamys</t>
        </is>
      </c>
      <c r="T11" t="inlineStr">
        <is>
          <t>membranacea</t>
        </is>
      </c>
    </row>
    <row r="12">
      <c r="A12" s="1" t="n">
        <v>10</v>
      </c>
      <c r="B12" t="inlineStr">
        <is>
          <t>p70-3629</t>
        </is>
      </c>
      <c r="C12" t="n">
        <v>42.4863567490847</v>
      </c>
      <c r="D12" t="n">
        <v>-30.9830539249629</v>
      </c>
      <c r="E12" t="n">
        <v>2025</v>
      </c>
      <c r="F12" t="inlineStr">
        <is>
          <t>70</t>
        </is>
      </c>
      <c r="G12" t="n">
        <v>3629</v>
      </c>
      <c r="H12" t="inlineStr">
        <is>
          <t>leaf pulverized</t>
        </is>
      </c>
      <c r="I12" t="inlineStr"/>
      <c r="J12" t="inlineStr"/>
      <c r="K12" t="inlineStr">
        <is>
          <t>p70-3629</t>
        </is>
      </c>
      <c r="L12" t="n">
        <v>0.03545007406100038</v>
      </c>
      <c r="M12" t="n">
        <v>0.4812524582095935</v>
      </c>
      <c r="N12" t="n">
        <v>1.94</v>
      </c>
      <c r="O12" t="n">
        <v>-32.25</v>
      </c>
      <c r="P12" t="n">
        <v>2224</v>
      </c>
      <c r="Q12" t="inlineStr">
        <is>
          <t>Meliaceae</t>
        </is>
      </c>
      <c r="R12" t="n">
        <v>3885</v>
      </c>
      <c r="S12" t="inlineStr">
        <is>
          <t>Trichilia</t>
        </is>
      </c>
      <c r="T12" t="inlineStr">
        <is>
          <t>septentrionalis</t>
        </is>
      </c>
    </row>
    <row r="13">
      <c r="A13" s="1" t="n">
        <v>11</v>
      </c>
      <c r="B13" t="inlineStr">
        <is>
          <t>p70-3623</t>
        </is>
      </c>
      <c r="C13" t="n">
        <v>50.0511194882133</v>
      </c>
      <c r="D13" t="n">
        <v>-32.9644172724988</v>
      </c>
      <c r="E13" t="n">
        <v>2025</v>
      </c>
      <c r="F13" t="inlineStr">
        <is>
          <t>70</t>
        </is>
      </c>
      <c r="G13" t="n">
        <v>3623</v>
      </c>
      <c r="H13" t="inlineStr">
        <is>
          <t>leaf pulverized</t>
        </is>
      </c>
      <c r="I13" t="inlineStr"/>
      <c r="J13" t="inlineStr"/>
      <c r="K13" t="inlineStr">
        <is>
          <t>p70-3623</t>
        </is>
      </c>
      <c r="L13" t="n">
        <v>0.02344245815416083</v>
      </c>
      <c r="M13" t="n">
        <v>0.4632356375118532</v>
      </c>
      <c r="N13" t="n">
        <v>1.86</v>
      </c>
      <c r="O13" t="n">
        <v>-33.18</v>
      </c>
      <c r="P13" t="n">
        <v>2218</v>
      </c>
      <c r="Q13" t="inlineStr">
        <is>
          <t>Melastomataceae</t>
        </is>
      </c>
      <c r="R13" t="n">
        <v>3882</v>
      </c>
      <c r="S13" t="inlineStr">
        <is>
          <t>Miconia</t>
        </is>
      </c>
      <c r="T13" t="inlineStr">
        <is>
          <t>elata</t>
        </is>
      </c>
    </row>
    <row r="14">
      <c r="A14" s="1" t="n">
        <v>12</v>
      </c>
      <c r="B14" t="inlineStr">
        <is>
          <t>p70-3654</t>
        </is>
      </c>
      <c r="C14" t="n">
        <v>42.1253720851618</v>
      </c>
      <c r="D14" t="n">
        <v>-32.879883759186</v>
      </c>
      <c r="E14" t="n">
        <v>2025</v>
      </c>
      <c r="F14" t="inlineStr">
        <is>
          <t>70</t>
        </is>
      </c>
      <c r="G14" t="n">
        <v>3654</v>
      </c>
      <c r="H14" t="inlineStr">
        <is>
          <t>leaf pulverized</t>
        </is>
      </c>
      <c r="I14" t="inlineStr"/>
      <c r="J14" t="inlineStr"/>
      <c r="K14" t="inlineStr">
        <is>
          <t>p70-3654</t>
        </is>
      </c>
      <c r="L14" t="n">
        <v>0.02201823142746578</v>
      </c>
      <c r="M14" t="n">
        <v>0.3956347601824302</v>
      </c>
      <c r="N14" t="n">
        <v>1.86</v>
      </c>
      <c r="O14" t="n">
        <v>-33.86</v>
      </c>
      <c r="P14" t="n">
        <v>2205</v>
      </c>
      <c r="Q14" t="inlineStr">
        <is>
          <t>Rubiaceae</t>
        </is>
      </c>
      <c r="R14" t="n">
        <v>3876</v>
      </c>
      <c r="S14" t="inlineStr">
        <is>
          <t>Faramea</t>
        </is>
      </c>
      <c r="T14" t="inlineStr">
        <is>
          <t>parvibractea</t>
        </is>
      </c>
    </row>
    <row r="15">
      <c r="A15" s="1" t="n">
        <v>13</v>
      </c>
      <c r="B15" t="inlineStr">
        <is>
          <t>p70-3654</t>
        </is>
      </c>
      <c r="C15" t="n">
        <v>42.1253720851618</v>
      </c>
      <c r="D15" t="n">
        <v>-32.879883759186</v>
      </c>
      <c r="E15" t="n">
        <v>2025</v>
      </c>
      <c r="F15" t="inlineStr">
        <is>
          <t>70</t>
        </is>
      </c>
      <c r="G15" t="n">
        <v>3654</v>
      </c>
      <c r="H15" t="inlineStr">
        <is>
          <t>leaf pulverized</t>
        </is>
      </c>
      <c r="I15" t="inlineStr"/>
      <c r="J15" t="inlineStr"/>
      <c r="K15" t="inlineStr">
        <is>
          <t>p70-3654</t>
        </is>
      </c>
      <c r="L15" t="n">
        <v>0.02201823142746578</v>
      </c>
      <c r="M15" t="n">
        <v>0.3956347601824302</v>
      </c>
      <c r="N15" t="n">
        <v>1.86</v>
      </c>
      <c r="O15" t="n">
        <v>-33.86</v>
      </c>
      <c r="P15" t="n">
        <v>2205</v>
      </c>
      <c r="Q15" t="inlineStr">
        <is>
          <t>Rubiaceae</t>
        </is>
      </c>
      <c r="R15" t="inlineStr">
        <is>
          <t>3876</t>
        </is>
      </c>
      <c r="S15" t="inlineStr">
        <is>
          <t>Faramea</t>
        </is>
      </c>
      <c r="T15" t="inlineStr">
        <is>
          <t>parvibractea</t>
        </is>
      </c>
    </row>
    <row r="16">
      <c r="A16" s="1" t="n">
        <v>14</v>
      </c>
      <c r="B16" t="inlineStr">
        <is>
          <t>p70-3658</t>
        </is>
      </c>
      <c r="C16" t="n">
        <v>40.7185817747011</v>
      </c>
      <c r="D16" t="n">
        <v>-31.5051012323677</v>
      </c>
      <c r="E16" t="n">
        <v>2025</v>
      </c>
      <c r="F16" t="inlineStr">
        <is>
          <t>70</t>
        </is>
      </c>
      <c r="G16" t="n">
        <v>3658</v>
      </c>
      <c r="H16" t="inlineStr">
        <is>
          <t>leaf pulverized</t>
        </is>
      </c>
      <c r="I16" t="inlineStr"/>
      <c r="J16" t="inlineStr"/>
      <c r="K16" t="inlineStr">
        <is>
          <t>p70-3658</t>
        </is>
      </c>
      <c r="L16" t="n">
        <v>0.022130638</v>
      </c>
      <c r="M16" t="n">
        <v>0.436691485</v>
      </c>
      <c r="N16" t="n">
        <v>2.122085858585857</v>
      </c>
      <c r="O16" t="n">
        <v>-33.32435503711559</v>
      </c>
      <c r="P16" t="n">
        <v>2202</v>
      </c>
      <c r="Q16" t="inlineStr">
        <is>
          <t>Achariaceae</t>
        </is>
      </c>
      <c r="R16" t="n">
        <v>3873</v>
      </c>
      <c r="S16" t="inlineStr">
        <is>
          <t>Lindackeria</t>
        </is>
      </c>
      <c r="T16" t="inlineStr">
        <is>
          <t>paludosa</t>
        </is>
      </c>
    </row>
    <row r="17">
      <c r="A17" s="1" t="n">
        <v>15</v>
      </c>
      <c r="B17" t="inlineStr">
        <is>
          <t>p70-3658</t>
        </is>
      </c>
      <c r="C17" t="n">
        <v>45.45</v>
      </c>
      <c r="D17" t="n">
        <v>-32.26</v>
      </c>
      <c r="E17" t="n">
        <v>2025</v>
      </c>
      <c r="F17" t="inlineStr">
        <is>
          <t>70</t>
        </is>
      </c>
      <c r="G17" t="n">
        <v>3658</v>
      </c>
      <c r="H17" t="inlineStr">
        <is>
          <t>leaf pulverized</t>
        </is>
      </c>
      <c r="I17" t="n">
        <v>3658</v>
      </c>
      <c r="J17" t="inlineStr"/>
      <c r="K17" t="inlineStr">
        <is>
          <t>p70-3658</t>
        </is>
      </c>
      <c r="L17" t="n">
        <v>0.022130638</v>
      </c>
      <c r="M17" t="n">
        <v>0.436691485</v>
      </c>
      <c r="N17" t="n">
        <v>2.122085858585857</v>
      </c>
      <c r="O17" t="n">
        <v>-33.32435503711559</v>
      </c>
      <c r="P17" t="n">
        <v>2202</v>
      </c>
      <c r="Q17" t="inlineStr">
        <is>
          <t>Achariaceae</t>
        </is>
      </c>
      <c r="R17" t="n">
        <v>3873</v>
      </c>
      <c r="S17" t="inlineStr">
        <is>
          <t>Lindackeria</t>
        </is>
      </c>
      <c r="T17" t="inlineStr">
        <is>
          <t>paludosa</t>
        </is>
      </c>
    </row>
    <row r="18">
      <c r="A18" s="1" t="n">
        <v>16</v>
      </c>
      <c r="B18" t="inlineStr">
        <is>
          <t>p70-3634</t>
        </is>
      </c>
      <c r="C18" t="n">
        <v>42.6405238957477</v>
      </c>
      <c r="D18" t="n">
        <v>-33.9862141392051</v>
      </c>
      <c r="E18" t="n">
        <v>2025</v>
      </c>
      <c r="F18" t="inlineStr">
        <is>
          <t>70</t>
        </is>
      </c>
      <c r="G18" t="n">
        <v>3634</v>
      </c>
      <c r="H18" t="inlineStr">
        <is>
          <t>leaf pulverized</t>
        </is>
      </c>
      <c r="I18" t="inlineStr"/>
      <c r="J18" t="inlineStr"/>
      <c r="K18" t="inlineStr">
        <is>
          <t>p70-3634</t>
        </is>
      </c>
      <c r="L18" t="n">
        <v>0.01173829239074074</v>
      </c>
      <c r="M18" t="n">
        <v>0.4273580210356233</v>
      </c>
      <c r="N18" t="n">
        <v>0.86</v>
      </c>
      <c r="O18" t="n">
        <v>-35.61</v>
      </c>
      <c r="P18" t="n">
        <v>2245</v>
      </c>
      <c r="Q18" t="inlineStr">
        <is>
          <t>Annonaceae</t>
        </is>
      </c>
      <c r="R18" t="n">
        <v>3902</v>
      </c>
      <c r="S18" t="inlineStr">
        <is>
          <t>Guatteria</t>
        </is>
      </c>
      <c r="T18" t="inlineStr">
        <is>
          <t>cf multivenia</t>
        </is>
      </c>
    </row>
    <row r="19">
      <c r="A19" s="1" t="n">
        <v>17</v>
      </c>
      <c r="B19" t="inlineStr">
        <is>
          <t>p70-3642</t>
        </is>
      </c>
      <c r="C19" t="n">
        <v>42.3110226596482</v>
      </c>
      <c r="D19" t="n">
        <v>-29.0136864851214</v>
      </c>
      <c r="E19" t="n">
        <v>2025</v>
      </c>
      <c r="F19" t="inlineStr">
        <is>
          <t>70</t>
        </is>
      </c>
      <c r="G19" t="n">
        <v>3642</v>
      </c>
      <c r="H19" t="inlineStr">
        <is>
          <t>leaf pulverized</t>
        </is>
      </c>
      <c r="I19" t="inlineStr"/>
      <c r="J19" t="inlineStr"/>
      <c r="K19" t="inlineStr">
        <is>
          <t>p70-3642</t>
        </is>
      </c>
      <c r="L19" t="n">
        <v>0.01994461056810911</v>
      </c>
      <c r="M19" t="n">
        <v>0.4625106483743614</v>
      </c>
      <c r="N19" t="n">
        <v>1.91</v>
      </c>
      <c r="O19" t="n">
        <v>-31.42</v>
      </c>
      <c r="P19" t="n">
        <v>2233</v>
      </c>
      <c r="Q19" t="inlineStr">
        <is>
          <t>Rubiaceae</t>
        </is>
      </c>
      <c r="R19" t="n">
        <v>3897</v>
      </c>
      <c r="S19" t="inlineStr">
        <is>
          <t>Chimarrhis</t>
        </is>
      </c>
      <c r="T19" t="inlineStr">
        <is>
          <t>cf glabriflora</t>
        </is>
      </c>
    </row>
    <row r="20">
      <c r="A20" s="1" t="n">
        <v>18</v>
      </c>
      <c r="B20" t="inlineStr">
        <is>
          <t>p70-3645</t>
        </is>
      </c>
      <c r="C20" t="n">
        <v>42.6221781327326</v>
      </c>
      <c r="D20" t="n">
        <v>-33.053099414117</v>
      </c>
      <c r="E20" t="n">
        <v>2025</v>
      </c>
      <c r="F20" t="inlineStr">
        <is>
          <t>70</t>
        </is>
      </c>
      <c r="G20" t="n">
        <v>3645</v>
      </c>
      <c r="H20" t="inlineStr">
        <is>
          <t>leaf pulverized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Salicacia</t>
        </is>
      </c>
      <c r="R20" t="inlineStr"/>
      <c r="S20" t="inlineStr">
        <is>
          <t>Laetia</t>
        </is>
      </c>
      <c r="T20" t="inlineStr"/>
    </row>
    <row r="21">
      <c r="A21" s="1" t="n">
        <v>19</v>
      </c>
      <c r="B21" t="inlineStr">
        <is>
          <t>p70-3649</t>
        </is>
      </c>
      <c r="C21" t="n">
        <v>42.9613720358194</v>
      </c>
      <c r="D21" t="n">
        <v>-28.8520520712957</v>
      </c>
      <c r="E21" t="n">
        <v>2025</v>
      </c>
      <c r="F21" t="inlineStr">
        <is>
          <t>70</t>
        </is>
      </c>
      <c r="G21" t="n">
        <v>3649</v>
      </c>
      <c r="H21" t="inlineStr">
        <is>
          <t>leaf pulverized</t>
        </is>
      </c>
      <c r="I21" t="inlineStr"/>
      <c r="J21" t="inlineStr"/>
      <c r="K21" t="inlineStr">
        <is>
          <t>p70-3649</t>
        </is>
      </c>
      <c r="L21" t="n">
        <v>0.021352396</v>
      </c>
      <c r="M21" t="n">
        <v>0.483725522</v>
      </c>
      <c r="N21" t="n">
        <v>2.737714646464645</v>
      </c>
      <c r="O21" t="n">
        <v>-31.18964284199364</v>
      </c>
      <c r="P21" t="n">
        <v>2210</v>
      </c>
      <c r="Q21" t="inlineStr">
        <is>
          <t>Sapotaceae</t>
        </is>
      </c>
      <c r="R21" t="n">
        <v>3878</v>
      </c>
      <c r="S21" t="inlineStr">
        <is>
          <t>Micropholis</t>
        </is>
      </c>
      <c r="T21" t="inlineStr">
        <is>
          <t>guyanensis</t>
        </is>
      </c>
    </row>
    <row r="22">
      <c r="A22" s="1" t="n">
        <v>20</v>
      </c>
      <c r="B22" t="inlineStr">
        <is>
          <t>p72-8689</t>
        </is>
      </c>
      <c r="C22" t="n">
        <v>45.5806811724309</v>
      </c>
      <c r="D22" t="n">
        <v>-31.5216615977631</v>
      </c>
      <c r="E22" t="n">
        <v>2025</v>
      </c>
      <c r="F22" t="inlineStr">
        <is>
          <t>72</t>
        </is>
      </c>
      <c r="G22" t="n">
        <v>8689</v>
      </c>
      <c r="H22" t="inlineStr">
        <is>
          <t>leaf pulverized</t>
        </is>
      </c>
      <c r="I22" t="inlineStr"/>
      <c r="J22" t="inlineStr"/>
      <c r="K22" t="inlineStr">
        <is>
          <t>p72-8689</t>
        </is>
      </c>
      <c r="L22" t="n">
        <v>0.015163699</v>
      </c>
      <c r="M22" t="n">
        <v>0.468505884</v>
      </c>
      <c r="N22" t="n">
        <v>2.74851515151515</v>
      </c>
      <c r="O22" t="n">
        <v>-32.67466002120891</v>
      </c>
      <c r="P22" t="n">
        <v>2310</v>
      </c>
      <c r="Q22" t="inlineStr">
        <is>
          <t>Myristicaceae</t>
        </is>
      </c>
      <c r="R22" t="n">
        <v>3213</v>
      </c>
      <c r="S22" t="inlineStr">
        <is>
          <t>Virola</t>
        </is>
      </c>
      <c r="T22" t="inlineStr">
        <is>
          <t>dixonii</t>
        </is>
      </c>
    </row>
    <row r="23">
      <c r="A23" s="1" t="n">
        <v>21</v>
      </c>
      <c r="B23" t="inlineStr">
        <is>
          <t>p72-8804</t>
        </is>
      </c>
      <c r="C23" t="n">
        <v>44.1750069808239</v>
      </c>
      <c r="D23" t="n">
        <v>-32.9490118438408</v>
      </c>
      <c r="E23" t="n">
        <v>2025</v>
      </c>
      <c r="F23" t="inlineStr">
        <is>
          <t>72</t>
        </is>
      </c>
      <c r="G23" t="n">
        <v>8804</v>
      </c>
      <c r="H23" t="inlineStr">
        <is>
          <t>leaf pulverized</t>
        </is>
      </c>
      <c r="I23" t="inlineStr"/>
      <c r="J23" t="inlineStr"/>
      <c r="K23" t="inlineStr">
        <is>
          <t>p72-8804</t>
        </is>
      </c>
      <c r="L23" t="n">
        <v>0.016758675</v>
      </c>
      <c r="M23" t="n">
        <v>0.473760231</v>
      </c>
      <c r="N23" t="n">
        <v>1.76566919191919</v>
      </c>
      <c r="O23" t="n">
        <v>-34.8712479321315</v>
      </c>
      <c r="P23" t="n">
        <v>2289</v>
      </c>
      <c r="Q23" t="inlineStr">
        <is>
          <t>Sapotaceae</t>
        </is>
      </c>
      <c r="R23" t="n">
        <v>3206</v>
      </c>
      <c r="S23" t="inlineStr">
        <is>
          <t>Pouteria</t>
        </is>
      </c>
      <c r="T23" t="inlineStr">
        <is>
          <t>guianensis</t>
        </is>
      </c>
    </row>
    <row r="24">
      <c r="A24" s="1" t="n">
        <v>22</v>
      </c>
      <c r="B24" t="inlineStr">
        <is>
          <t>p72-8690</t>
        </is>
      </c>
      <c r="C24" t="n">
        <v>46.4981335324543</v>
      </c>
      <c r="D24" t="n">
        <v>-29.06502482523</v>
      </c>
      <c r="E24" t="n">
        <v>2025</v>
      </c>
      <c r="F24" t="inlineStr">
        <is>
          <t>72</t>
        </is>
      </c>
      <c r="G24" t="n">
        <v>8690</v>
      </c>
      <c r="H24" t="inlineStr">
        <is>
          <t>leaf pulverized</t>
        </is>
      </c>
      <c r="I24" t="inlineStr"/>
      <c r="J24" t="inlineStr"/>
      <c r="K24" t="inlineStr">
        <is>
          <t>p72-8690</t>
        </is>
      </c>
      <c r="L24" t="n">
        <v>0.039906421</v>
      </c>
      <c r="M24" t="n">
        <v>0.432175376</v>
      </c>
      <c r="N24" t="n">
        <v>2.370497474747473</v>
      </c>
      <c r="O24" t="n">
        <v>-29.56024899257688</v>
      </c>
      <c r="P24" t="n">
        <v>2309</v>
      </c>
      <c r="Q24" t="inlineStr">
        <is>
          <t>Myrtaceae</t>
        </is>
      </c>
      <c r="R24" t="n">
        <v>3209</v>
      </c>
      <c r="S24" t="inlineStr">
        <is>
          <t>Eugenia</t>
        </is>
      </c>
      <c r="T24" t="inlineStr"/>
    </row>
    <row r="25">
      <c r="A25" s="1" t="n">
        <v>23</v>
      </c>
      <c r="B25" t="inlineStr">
        <is>
          <t>p72-8688</t>
        </is>
      </c>
      <c r="C25" t="n">
        <v>40.8654154955345</v>
      </c>
      <c r="D25" t="n">
        <v>-28.7781098108072</v>
      </c>
      <c r="E25" t="n">
        <v>2025</v>
      </c>
      <c r="F25" t="inlineStr">
        <is>
          <t>72</t>
        </is>
      </c>
      <c r="G25" t="n">
        <v>8688</v>
      </c>
      <c r="H25" t="inlineStr">
        <is>
          <t>leaf pulverized</t>
        </is>
      </c>
      <c r="I25" t="inlineStr"/>
      <c r="J25" t="inlineStr"/>
      <c r="K25" t="inlineStr">
        <is>
          <t>p72-8688</t>
        </is>
      </c>
      <c r="L25" t="n">
        <v>0.026106295</v>
      </c>
      <c r="M25" t="n">
        <v>0.456459654</v>
      </c>
      <c r="N25" t="n">
        <v>2.867320707070705</v>
      </c>
      <c r="O25" t="n">
        <v>-30.49869734888653</v>
      </c>
      <c r="P25" t="inlineStr"/>
      <c r="Q25" t="inlineStr">
        <is>
          <t>Meliaceae</t>
        </is>
      </c>
      <c r="R25" t="inlineStr"/>
      <c r="S25" t="inlineStr">
        <is>
          <t>Guarea</t>
        </is>
      </c>
      <c r="T25" t="inlineStr">
        <is>
          <t>sp.</t>
        </is>
      </c>
    </row>
    <row r="26">
      <c r="A26" s="1" t="n">
        <v>24</v>
      </c>
      <c r="B26" t="inlineStr">
        <is>
          <t>p72-8803</t>
        </is>
      </c>
      <c r="C26" t="n">
        <v>42.0082033106923</v>
      </c>
      <c r="D26" t="n">
        <v>-31.0055258755093</v>
      </c>
      <c r="E26" t="n">
        <v>2025</v>
      </c>
      <c r="F26" t="inlineStr">
        <is>
          <t>72</t>
        </is>
      </c>
      <c r="G26" t="n">
        <v>8803</v>
      </c>
      <c r="H26" t="inlineStr">
        <is>
          <t>leaf pulverized</t>
        </is>
      </c>
      <c r="I26" t="inlineStr"/>
      <c r="J26" t="inlineStr"/>
      <c r="K26" t="inlineStr">
        <is>
          <t>p72-8803</t>
        </is>
      </c>
      <c r="L26" t="n">
        <v>0.013534934</v>
      </c>
      <c r="M26" t="n">
        <v>0.4586319</v>
      </c>
      <c r="N26" t="n">
        <v>2.284093434343433</v>
      </c>
      <c r="O26" t="n">
        <v>-32.93247550371157</v>
      </c>
      <c r="P26" t="n">
        <v>2288</v>
      </c>
      <c r="Q26" t="inlineStr">
        <is>
          <t>Lecythidaceae</t>
        </is>
      </c>
      <c r="R26" t="n">
        <v>3196</v>
      </c>
      <c r="S26" t="inlineStr">
        <is>
          <t>Eschweilera</t>
        </is>
      </c>
      <c r="T26" t="inlineStr"/>
    </row>
    <row r="27">
      <c r="A27" s="1" t="n">
        <v>25</v>
      </c>
      <c r="B27" t="inlineStr">
        <is>
          <t>p72-8699</t>
        </is>
      </c>
      <c r="C27" t="n">
        <v>41.9002689842602</v>
      </c>
      <c r="D27" t="n">
        <v>-33.239736248638</v>
      </c>
      <c r="E27" t="n">
        <v>2025</v>
      </c>
      <c r="F27" t="inlineStr">
        <is>
          <t>72</t>
        </is>
      </c>
      <c r="G27" t="n">
        <v>8699</v>
      </c>
      <c r="H27" t="inlineStr">
        <is>
          <t>leaf pulverized</t>
        </is>
      </c>
      <c r="I27" t="inlineStr"/>
      <c r="J27" t="inlineStr"/>
      <c r="K27" t="inlineStr">
        <is>
          <t>p72-8699</t>
        </is>
      </c>
      <c r="L27" t="n">
        <v>0.019942396</v>
      </c>
      <c r="M27" t="n">
        <v>0.460964682</v>
      </c>
      <c r="N27" t="n">
        <v>1.160840909090907</v>
      </c>
      <c r="O27" t="n">
        <v>-34.56186935312832</v>
      </c>
      <c r="P27" t="n">
        <v>2319</v>
      </c>
      <c r="Q27" t="inlineStr">
        <is>
          <t>Rutaceae</t>
        </is>
      </c>
      <c r="R27" t="n">
        <v>3197</v>
      </c>
      <c r="S27" t="inlineStr">
        <is>
          <t>Amyris</t>
        </is>
      </c>
      <c r="T27" t="inlineStr">
        <is>
          <t>macrocarpa</t>
        </is>
      </c>
    </row>
    <row r="28">
      <c r="A28" s="1" t="n">
        <v>26</v>
      </c>
      <c r="B28" t="inlineStr">
        <is>
          <t>p72-8695</t>
        </is>
      </c>
      <c r="C28" t="n">
        <v>42.8309647382475</v>
      </c>
      <c r="D28" t="n">
        <v>-31.9553391744547</v>
      </c>
      <c r="E28" t="n">
        <v>2025</v>
      </c>
      <c r="F28" t="inlineStr">
        <is>
          <t>72</t>
        </is>
      </c>
      <c r="G28" t="n">
        <v>8695</v>
      </c>
      <c r="H28" t="inlineStr">
        <is>
          <t>leaf pulverized</t>
        </is>
      </c>
      <c r="I28" t="inlineStr"/>
      <c r="J28" t="inlineStr"/>
      <c r="K28" t="inlineStr">
        <is>
          <t>p72-8695</t>
        </is>
      </c>
      <c r="L28" t="n">
        <v>0.019071872</v>
      </c>
      <c r="M28" t="n">
        <v>0.460067295</v>
      </c>
      <c r="N28" t="n">
        <v>2.867320707070705</v>
      </c>
      <c r="O28" t="n">
        <v>-33.52029480381761</v>
      </c>
      <c r="P28" t="n">
        <v>2303</v>
      </c>
      <c r="Q28" t="inlineStr">
        <is>
          <t>Rubiaceae</t>
        </is>
      </c>
      <c r="R28" t="n">
        <v>3214</v>
      </c>
      <c r="S28" t="inlineStr">
        <is>
          <t>Pentagonia</t>
        </is>
      </c>
      <c r="T28" t="inlineStr">
        <is>
          <t>amazonica</t>
        </is>
      </c>
    </row>
    <row r="29">
      <c r="A29" s="1" t="n">
        <v>27</v>
      </c>
      <c r="B29" t="inlineStr">
        <is>
          <t>p72-8811</t>
        </is>
      </c>
      <c r="C29" t="n">
        <v>48.2294756543818</v>
      </c>
      <c r="D29" t="n">
        <v>-29.5365889785962</v>
      </c>
      <c r="E29" t="n">
        <v>2025</v>
      </c>
      <c r="F29" t="inlineStr">
        <is>
          <t>72</t>
        </is>
      </c>
      <c r="G29" t="n">
        <v>8811</v>
      </c>
      <c r="H29" t="inlineStr">
        <is>
          <t>leaf pulverized</t>
        </is>
      </c>
      <c r="I29" t="inlineStr"/>
      <c r="J29" t="inlineStr"/>
      <c r="K29" t="inlineStr">
        <is>
          <t>p72-8811</t>
        </is>
      </c>
      <c r="L29" t="n">
        <v>0.021918119</v>
      </c>
      <c r="M29" t="n">
        <v>0.409271254</v>
      </c>
      <c r="N29" t="n">
        <v>1.970878787878786</v>
      </c>
      <c r="O29" t="n">
        <v>-33.44810646871687</v>
      </c>
      <c r="P29" t="n">
        <v>2292</v>
      </c>
      <c r="Q29" t="inlineStr">
        <is>
          <t>Moraceae</t>
        </is>
      </c>
      <c r="R29" t="n">
        <v>3195</v>
      </c>
      <c r="S29" t="inlineStr">
        <is>
          <t>Sorocea</t>
        </is>
      </c>
      <c r="T29" t="inlineStr">
        <is>
          <t>steinbachii</t>
        </is>
      </c>
    </row>
    <row r="30">
      <c r="A30" s="1" t="n">
        <v>28</v>
      </c>
      <c r="B30" t="inlineStr">
        <is>
          <t>p72-8697</t>
        </is>
      </c>
      <c r="C30" t="n">
        <v>42.7507551767448</v>
      </c>
      <c r="D30" t="n">
        <v>-32.234447004374</v>
      </c>
      <c r="E30" t="n">
        <v>2025</v>
      </c>
      <c r="F30" t="inlineStr">
        <is>
          <t>72</t>
        </is>
      </c>
      <c r="G30" t="n">
        <v>8697</v>
      </c>
      <c r="H30" t="inlineStr">
        <is>
          <t>leaf pulverized</t>
        </is>
      </c>
      <c r="I30" t="inlineStr"/>
      <c r="J30" t="inlineStr"/>
      <c r="K30" t="inlineStr">
        <is>
          <t>p72-8697</t>
        </is>
      </c>
      <c r="L30" t="n">
        <v>0.01496271</v>
      </c>
      <c r="M30" t="n">
        <v>0.480305405</v>
      </c>
      <c r="N30" t="n">
        <v>1.290446969696968</v>
      </c>
      <c r="O30" t="n">
        <v>-30.84932640509014</v>
      </c>
      <c r="P30" t="n">
        <v>2315</v>
      </c>
      <c r="Q30" t="inlineStr">
        <is>
          <t>Myristicaceae</t>
        </is>
      </c>
      <c r="R30" t="n">
        <v>3200</v>
      </c>
      <c r="S30" t="inlineStr">
        <is>
          <t>Otoba</t>
        </is>
      </c>
      <c r="T30" t="inlineStr">
        <is>
          <t>parvifolia</t>
        </is>
      </c>
    </row>
    <row r="31">
      <c r="A31" s="1" t="n">
        <v>29</v>
      </c>
      <c r="B31" t="inlineStr">
        <is>
          <t>p69-3605</t>
        </is>
      </c>
      <c r="C31" t="n">
        <v>34.9329096455498</v>
      </c>
      <c r="D31" t="n">
        <v>-29.1899606205167</v>
      </c>
      <c r="E31" t="n">
        <v>2025</v>
      </c>
      <c r="F31" t="inlineStr">
        <is>
          <t>69</t>
        </is>
      </c>
      <c r="G31" t="n">
        <v>3605</v>
      </c>
      <c r="H31" t="inlineStr">
        <is>
          <t>leaf pulverized</t>
        </is>
      </c>
      <c r="I31" t="inlineStr"/>
      <c r="J31" t="inlineStr"/>
      <c r="K31" t="inlineStr">
        <is>
          <t>p69-3605</t>
        </is>
      </c>
      <c r="L31" t="n">
        <v>0.02213145516022583</v>
      </c>
      <c r="M31" t="n">
        <v>0.4282614261488554</v>
      </c>
      <c r="N31" t="n">
        <v>0.46</v>
      </c>
      <c r="O31" t="n">
        <v>-31.85</v>
      </c>
      <c r="P31" t="n">
        <v>2171</v>
      </c>
      <c r="Q31" t="inlineStr">
        <is>
          <t>Moraceae</t>
        </is>
      </c>
      <c r="R31" t="inlineStr">
        <is>
          <t>3841</t>
        </is>
      </c>
      <c r="S31" t="inlineStr">
        <is>
          <t>Ficus</t>
        </is>
      </c>
      <c r="T31" t="inlineStr">
        <is>
          <t>pulchella</t>
        </is>
      </c>
    </row>
    <row r="32">
      <c r="A32" s="1" t="n">
        <v>30</v>
      </c>
      <c r="B32" t="inlineStr">
        <is>
          <t>p69-3605</t>
        </is>
      </c>
      <c r="C32" t="n">
        <v>0.3583</v>
      </c>
      <c r="D32" t="n">
        <v>-29.27</v>
      </c>
      <c r="E32" t="n">
        <v>2025</v>
      </c>
      <c r="F32" t="inlineStr">
        <is>
          <t>p69</t>
        </is>
      </c>
      <c r="G32" t="n">
        <v>3605</v>
      </c>
      <c r="H32" t="inlineStr">
        <is>
          <t>leaf pulverized</t>
        </is>
      </c>
      <c r="I32" t="inlineStr"/>
      <c r="J32" t="inlineStr"/>
      <c r="K32" t="inlineStr">
        <is>
          <t>p69-3605</t>
        </is>
      </c>
      <c r="L32" t="n">
        <v>0.02213145516022583</v>
      </c>
      <c r="M32" t="n">
        <v>0.4282614261488554</v>
      </c>
      <c r="N32" t="n">
        <v>0.46</v>
      </c>
      <c r="O32" t="n">
        <v>-31.85</v>
      </c>
      <c r="P32" t="n">
        <v>2171</v>
      </c>
      <c r="Q32" t="inlineStr">
        <is>
          <t>Moraceae</t>
        </is>
      </c>
      <c r="R32" t="inlineStr">
        <is>
          <t>3841</t>
        </is>
      </c>
      <c r="S32" t="inlineStr">
        <is>
          <t>Ficus</t>
        </is>
      </c>
      <c r="T32" t="inlineStr">
        <is>
          <t>pulchella</t>
        </is>
      </c>
    </row>
    <row r="33">
      <c r="A33" s="1" t="n">
        <v>31</v>
      </c>
      <c r="B33" t="inlineStr">
        <is>
          <t>p69-8617</t>
        </is>
      </c>
      <c r="C33" t="n">
        <v>42.5482890591904</v>
      </c>
      <c r="D33" t="n">
        <v>-30.1388182040637</v>
      </c>
      <c r="E33" t="n">
        <v>2025</v>
      </c>
      <c r="F33" t="n">
        <v>69</v>
      </c>
      <c r="G33" t="n">
        <v>3617</v>
      </c>
      <c r="H33" t="inlineStr">
        <is>
          <t>leaf pulverized</t>
        </is>
      </c>
      <c r="I33" t="inlineStr"/>
      <c r="J33" t="inlineStr"/>
      <c r="K33" t="inlineStr">
        <is>
          <t>p69-8617</t>
        </is>
      </c>
      <c r="L33" t="n">
        <v>0.01853964833900083</v>
      </c>
      <c r="M33" t="n">
        <v>0.4430114955907127</v>
      </c>
      <c r="N33" t="n">
        <v>2.34</v>
      </c>
      <c r="O33" t="n">
        <v>-32.61</v>
      </c>
      <c r="P33" t="n">
        <v>2177</v>
      </c>
      <c r="Q33" t="inlineStr">
        <is>
          <t>Fabaceae</t>
        </is>
      </c>
      <c r="R33" t="inlineStr">
        <is>
          <t>3844</t>
        </is>
      </c>
      <c r="S33" t="inlineStr">
        <is>
          <t>Browneopsis</t>
        </is>
      </c>
      <c r="T33" t="inlineStr">
        <is>
          <t>ucayalina</t>
        </is>
      </c>
    </row>
    <row r="34">
      <c r="A34" s="1" t="n">
        <v>32</v>
      </c>
      <c r="B34" t="inlineStr">
        <is>
          <t>p69-8898</t>
        </is>
      </c>
      <c r="C34" t="n">
        <v>41.0106971326434</v>
      </c>
      <c r="D34" t="n">
        <v>-31.2602916893349</v>
      </c>
      <c r="E34" t="n">
        <v>2025</v>
      </c>
      <c r="F34" t="inlineStr">
        <is>
          <t>69</t>
        </is>
      </c>
      <c r="G34" t="n">
        <v>8898</v>
      </c>
      <c r="H34" t="inlineStr">
        <is>
          <t>leaf pulverized</t>
        </is>
      </c>
      <c r="I34" t="inlineStr"/>
      <c r="J34" t="inlineStr"/>
      <c r="K34" t="inlineStr">
        <is>
          <t>p69-8898</t>
        </is>
      </c>
      <c r="L34" t="n">
        <v>0.02685294930046833</v>
      </c>
      <c r="M34" t="n">
        <v>0.4356585352943561</v>
      </c>
      <c r="N34" t="n">
        <v>0.66</v>
      </c>
      <c r="O34" t="n">
        <v>-33.2</v>
      </c>
      <c r="P34" t="n">
        <v>2191</v>
      </c>
      <c r="Q34" t="inlineStr">
        <is>
          <t>Euphorbiaceae</t>
        </is>
      </c>
      <c r="R34" t="inlineStr"/>
      <c r="S34" t="inlineStr">
        <is>
          <t>Pseudosenefeldera</t>
        </is>
      </c>
      <c r="T34" t="inlineStr">
        <is>
          <t>inclinata</t>
        </is>
      </c>
    </row>
    <row r="35">
      <c r="A35" s="1" t="n">
        <v>33</v>
      </c>
      <c r="B35" t="inlineStr">
        <is>
          <t>p69-3609</t>
        </is>
      </c>
      <c r="C35" t="n">
        <v>42.2153607736312</v>
      </c>
      <c r="D35" t="n">
        <v>-30.6732666344141</v>
      </c>
      <c r="E35" t="n">
        <v>2025</v>
      </c>
      <c r="F35" t="inlineStr">
        <is>
          <t>69</t>
        </is>
      </c>
      <c r="G35" t="n">
        <v>3609</v>
      </c>
      <c r="H35" t="inlineStr">
        <is>
          <t>leaf pulverized</t>
        </is>
      </c>
      <c r="I35" t="inlineStr"/>
      <c r="J35" t="inlineStr"/>
      <c r="K35" t="inlineStr">
        <is>
          <t>p69-3609</t>
        </is>
      </c>
      <c r="L35" t="n">
        <v>0.02341087029895825</v>
      </c>
      <c r="M35" t="n">
        <v>0.433943697942952</v>
      </c>
      <c r="N35" t="n">
        <v>-0.63</v>
      </c>
      <c r="O35" t="n">
        <v>-32.26</v>
      </c>
      <c r="P35" t="n">
        <v>2167</v>
      </c>
      <c r="Q35" t="inlineStr">
        <is>
          <t>Euphorbiaceae</t>
        </is>
      </c>
      <c r="R35" t="inlineStr"/>
      <c r="S35" t="inlineStr">
        <is>
          <t>Pseudosenefeldera</t>
        </is>
      </c>
      <c r="T35" t="inlineStr">
        <is>
          <t>inclinata</t>
        </is>
      </c>
    </row>
    <row r="36">
      <c r="A36" s="1" t="n">
        <v>34</v>
      </c>
      <c r="B36" t="inlineStr">
        <is>
          <t>p69-3606</t>
        </is>
      </c>
      <c r="C36" t="n">
        <v>45.5937982420793</v>
      </c>
      <c r="D36" t="n">
        <v>-30.7104219532734</v>
      </c>
      <c r="E36" t="n">
        <v>2025</v>
      </c>
      <c r="F36" t="inlineStr">
        <is>
          <t>69</t>
        </is>
      </c>
      <c r="G36" t="n">
        <v>3606</v>
      </c>
      <c r="H36" t="inlineStr">
        <is>
          <t>leaf pulverized</t>
        </is>
      </c>
      <c r="I36" t="inlineStr"/>
      <c r="J36" t="inlineStr"/>
      <c r="K36" t="inlineStr">
        <is>
          <t>p69-3606</t>
        </is>
      </c>
      <c r="L36" t="n">
        <v>0.02485796670088971</v>
      </c>
      <c r="M36" t="n">
        <v>0.4378430142968719</v>
      </c>
      <c r="N36" t="n">
        <v>0.12</v>
      </c>
      <c r="O36" t="n">
        <v>-31.98</v>
      </c>
      <c r="P36" t="n">
        <v>2172</v>
      </c>
      <c r="Q36" t="inlineStr">
        <is>
          <t>Moraceae</t>
        </is>
      </c>
      <c r="R36" t="inlineStr">
        <is>
          <t>3842</t>
        </is>
      </c>
      <c r="S36" t="inlineStr">
        <is>
          <t>Batocarpus</t>
        </is>
      </c>
      <c r="T36" t="inlineStr">
        <is>
          <t>orinocensis</t>
        </is>
      </c>
    </row>
    <row r="37">
      <c r="A37" s="1" t="n">
        <v>35</v>
      </c>
      <c r="B37" t="inlineStr">
        <is>
          <t>p69-8895</t>
        </is>
      </c>
      <c r="C37" t="n">
        <v>48.7370403004821</v>
      </c>
      <c r="D37" t="n">
        <v>-35.0508631508533</v>
      </c>
      <c r="E37" t="n">
        <v>2025</v>
      </c>
      <c r="F37" t="inlineStr">
        <is>
          <t>69</t>
        </is>
      </c>
      <c r="G37" t="n">
        <v>8895</v>
      </c>
      <c r="H37" t="inlineStr">
        <is>
          <t>leaf pulverized</t>
        </is>
      </c>
      <c r="I37" t="inlineStr"/>
      <c r="J37" t="inlineStr"/>
      <c r="K37" t="inlineStr">
        <is>
          <t>p69-8895</t>
        </is>
      </c>
      <c r="L37" t="n">
        <v>0.02466862000311886</v>
      </c>
      <c r="M37" t="n">
        <v>0.4874293332468896</v>
      </c>
      <c r="N37" t="n">
        <v>2.82</v>
      </c>
      <c r="O37" t="n">
        <v>-36.94</v>
      </c>
      <c r="P37" t="n">
        <v>2195</v>
      </c>
      <c r="Q37" t="inlineStr">
        <is>
          <t>Celastraceae</t>
        </is>
      </c>
      <c r="R37" t="inlineStr">
        <is>
          <t>3852</t>
        </is>
      </c>
      <c r="S37" t="inlineStr">
        <is>
          <t>Salacia</t>
        </is>
      </c>
      <c r="T37" t="inlineStr">
        <is>
          <t>aff. cordata</t>
        </is>
      </c>
    </row>
    <row r="38">
      <c r="A38" s="1" t="n">
        <v>36</v>
      </c>
      <c r="B38" t="inlineStr">
        <is>
          <t>p69-3619</t>
        </is>
      </c>
      <c r="C38" t="n">
        <v>43.2832197782582</v>
      </c>
      <c r="D38" t="n">
        <v>-32.3631333555326</v>
      </c>
      <c r="E38" t="n">
        <v>2025</v>
      </c>
      <c r="F38" t="inlineStr">
        <is>
          <t>69</t>
        </is>
      </c>
      <c r="G38" t="n">
        <v>3619</v>
      </c>
      <c r="H38" t="inlineStr">
        <is>
          <t>leaf pulverized</t>
        </is>
      </c>
      <c r="I38" t="inlineStr"/>
      <c r="J38" t="inlineStr"/>
      <c r="K38" t="inlineStr">
        <is>
          <t>p69-3619</t>
        </is>
      </c>
      <c r="L38" t="n">
        <v>0.01915534221097701</v>
      </c>
      <c r="M38" t="n">
        <v>0.4350616092673997</v>
      </c>
      <c r="N38" t="n">
        <v>-0.12</v>
      </c>
      <c r="O38" t="n">
        <v>-34.07</v>
      </c>
      <c r="P38" t="n">
        <v>2179</v>
      </c>
      <c r="Q38" t="inlineStr">
        <is>
          <t>Salicaceae</t>
        </is>
      </c>
      <c r="R38" t="inlineStr"/>
      <c r="S38" t="inlineStr">
        <is>
          <t>Tetrathylacium</t>
        </is>
      </c>
      <c r="T38" t="inlineStr">
        <is>
          <t>macrophyllum</t>
        </is>
      </c>
    </row>
    <row r="39">
      <c r="A39" s="1" t="n">
        <v>37</v>
      </c>
      <c r="B39" t="inlineStr">
        <is>
          <t>p69-3612</t>
        </is>
      </c>
      <c r="C39" t="n">
        <v>49.475400021233</v>
      </c>
      <c r="D39" t="n">
        <v>-30.3754078922675</v>
      </c>
      <c r="E39" t="n">
        <v>2025</v>
      </c>
      <c r="F39" t="inlineStr">
        <is>
          <t>69</t>
        </is>
      </c>
      <c r="G39" t="n">
        <v>3612</v>
      </c>
      <c r="H39" t="inlineStr">
        <is>
          <t>leaf pulverized</t>
        </is>
      </c>
      <c r="I39" t="inlineStr"/>
      <c r="J39" t="inlineStr"/>
      <c r="K39" t="inlineStr">
        <is>
          <t>p69-3612</t>
        </is>
      </c>
      <c r="L39" t="n">
        <v>0.0144700480896215</v>
      </c>
      <c r="M39" t="n">
        <v>0.4792818843283498</v>
      </c>
      <c r="N39" t="n">
        <v>-0.86</v>
      </c>
      <c r="O39" t="n">
        <v>-31.62</v>
      </c>
      <c r="P39" t="n">
        <v>2180</v>
      </c>
      <c r="Q39" t="inlineStr">
        <is>
          <t>Myristicaceae</t>
        </is>
      </c>
      <c r="R39" t="inlineStr"/>
      <c r="S39" t="inlineStr">
        <is>
          <t>Otoba</t>
        </is>
      </c>
      <c r="T39" t="inlineStr">
        <is>
          <t>parvifolia</t>
        </is>
      </c>
    </row>
    <row r="40">
      <c r="A40" s="1" t="n">
        <v>38</v>
      </c>
      <c r="B40" t="inlineStr">
        <is>
          <t>p69-8892</t>
        </is>
      </c>
      <c r="C40" t="n">
        <v>42.8070573375508</v>
      </c>
      <c r="D40" t="n">
        <v>-32.6885972072656</v>
      </c>
      <c r="E40" t="n">
        <v>2025</v>
      </c>
      <c r="F40" t="inlineStr">
        <is>
          <t>69</t>
        </is>
      </c>
      <c r="G40" t="n">
        <v>8892</v>
      </c>
      <c r="H40" t="inlineStr">
        <is>
          <t>leaf pulverized</t>
        </is>
      </c>
      <c r="I40" t="inlineStr"/>
      <c r="J40" t="inlineStr"/>
      <c r="K40" t="inlineStr">
        <is>
          <t>p69-8892</t>
        </is>
      </c>
      <c r="L40" t="n">
        <v>0.01810419616968846</v>
      </c>
      <c r="M40" t="n">
        <v>0.4657246583502926</v>
      </c>
      <c r="N40" t="n">
        <v>2.56</v>
      </c>
      <c r="O40" t="n">
        <v>-34.8</v>
      </c>
      <c r="P40" t="n">
        <v>2184</v>
      </c>
      <c r="Q40" t="inlineStr">
        <is>
          <t>Rubiaceae</t>
        </is>
      </c>
      <c r="R40" t="inlineStr">
        <is>
          <t>3847</t>
        </is>
      </c>
      <c r="S40" t="inlineStr">
        <is>
          <t>Pentagonia</t>
        </is>
      </c>
      <c r="T40" t="inlineStr">
        <is>
          <t>amazonica</t>
        </is>
      </c>
    </row>
    <row r="41">
      <c r="A41" s="1" t="n">
        <v>39</v>
      </c>
      <c r="B41" t="inlineStr">
        <is>
          <t>p69-8891</t>
        </is>
      </c>
      <c r="C41" t="n">
        <v>42.1646348035949</v>
      </c>
      <c r="D41" t="n">
        <v>-32.95862784708</v>
      </c>
      <c r="E41" t="n">
        <v>2025</v>
      </c>
      <c r="F41" t="inlineStr">
        <is>
          <t>69</t>
        </is>
      </c>
      <c r="G41" t="n">
        <v>8891</v>
      </c>
      <c r="H41" t="inlineStr">
        <is>
          <t>leaf pulverized</t>
        </is>
      </c>
      <c r="I41" t="inlineStr"/>
      <c r="J41" t="inlineStr"/>
      <c r="K41" t="inlineStr">
        <is>
          <t>p69-8891</t>
        </is>
      </c>
      <c r="L41" t="n">
        <v>0.02990649007833678</v>
      </c>
      <c r="M41" t="n">
        <v>0.442290096180273</v>
      </c>
      <c r="N41" t="n">
        <v>-0.03</v>
      </c>
      <c r="O41" t="n">
        <v>-35.22</v>
      </c>
      <c r="P41" t="n">
        <v>2185</v>
      </c>
      <c r="Q41" t="inlineStr">
        <is>
          <t>Sapindaceae</t>
        </is>
      </c>
      <c r="R41" t="inlineStr">
        <is>
          <t>3848</t>
        </is>
      </c>
      <c r="S41" t="inlineStr">
        <is>
          <t>Allophylus</t>
        </is>
      </c>
      <c r="T41" t="inlineStr">
        <is>
          <t>punctatus</t>
        </is>
      </c>
    </row>
    <row r="42">
      <c r="A42" s="1" t="n">
        <v>40</v>
      </c>
      <c r="B42" t="inlineStr">
        <is>
          <t>p68-8889</t>
        </is>
      </c>
      <c r="C42" t="n">
        <v>41.9886199891232</v>
      </c>
      <c r="D42" t="n">
        <v>-30.4633399452444</v>
      </c>
      <c r="E42" t="n">
        <v>2025</v>
      </c>
      <c r="F42" t="inlineStr">
        <is>
          <t>68</t>
        </is>
      </c>
      <c r="G42" t="n">
        <v>8889</v>
      </c>
      <c r="H42" t="inlineStr">
        <is>
          <t>leaf pulverized</t>
        </is>
      </c>
      <c r="I42" t="inlineStr"/>
      <c r="J42" t="inlineStr"/>
      <c r="K42" t="inlineStr">
        <is>
          <t>p68-8889</t>
        </is>
      </c>
      <c r="L42" t="n">
        <v>0.024841004</v>
      </c>
      <c r="M42" t="n">
        <v>0.404913041</v>
      </c>
      <c r="N42" t="n">
        <v>1.312047979797978</v>
      </c>
      <c r="O42" t="n">
        <v>-31.78777476139979</v>
      </c>
      <c r="P42" t="n">
        <v>2147</v>
      </c>
      <c r="Q42" t="inlineStr">
        <is>
          <t>Euphorbiaceae</t>
        </is>
      </c>
      <c r="R42" t="inlineStr"/>
      <c r="S42" t="inlineStr">
        <is>
          <t>Pseudosenefeldera</t>
        </is>
      </c>
      <c r="T42" t="inlineStr">
        <is>
          <t>inclinata</t>
        </is>
      </c>
    </row>
    <row r="43">
      <c r="A43" s="1" t="n">
        <v>41</v>
      </c>
      <c r="B43" t="inlineStr">
        <is>
          <t>p68-8883</t>
        </is>
      </c>
      <c r="C43" t="n">
        <v>40.9764178729058</v>
      </c>
      <c r="D43" t="n">
        <v>-30.0244515471261</v>
      </c>
      <c r="E43" t="n">
        <v>2025</v>
      </c>
      <c r="F43" t="inlineStr">
        <is>
          <t>68</t>
        </is>
      </c>
      <c r="G43" t="n">
        <v>8883</v>
      </c>
      <c r="H43" t="inlineStr">
        <is>
          <t>leaf pulverized</t>
        </is>
      </c>
      <c r="I43" t="inlineStr"/>
      <c r="J43" t="inlineStr"/>
      <c r="K43" t="inlineStr">
        <is>
          <t>p68-8883</t>
        </is>
      </c>
      <c r="L43" t="n">
        <v>0.014952077</v>
      </c>
      <c r="M43" t="n">
        <v>0.406260288</v>
      </c>
      <c r="N43" t="n">
        <v>2.392098484848483</v>
      </c>
      <c r="O43" t="n">
        <v>-31.90121357370095</v>
      </c>
      <c r="P43" t="n">
        <v>2155</v>
      </c>
      <c r="Q43" t="inlineStr">
        <is>
          <t>Melastomataceae</t>
        </is>
      </c>
      <c r="R43">
        <f>3899</f>
        <v/>
      </c>
      <c r="S43" t="inlineStr">
        <is>
          <t>Miconia</t>
        </is>
      </c>
      <c r="T43" t="inlineStr">
        <is>
          <t>sp</t>
        </is>
      </c>
    </row>
    <row r="44">
      <c r="A44" s="1" t="n">
        <v>42</v>
      </c>
      <c r="B44" t="inlineStr">
        <is>
          <t>p68-8870</t>
        </is>
      </c>
      <c r="C44" t="n">
        <v>42.1422622215152</v>
      </c>
      <c r="D44" t="n">
        <v>-30.1393300132719</v>
      </c>
      <c r="E44" t="n">
        <v>2025</v>
      </c>
      <c r="F44" t="inlineStr">
        <is>
          <t>68</t>
        </is>
      </c>
      <c r="G44" t="n">
        <v>8870</v>
      </c>
      <c r="H44" t="inlineStr">
        <is>
          <t>leaf pulverized</t>
        </is>
      </c>
      <c r="I44" t="inlineStr"/>
      <c r="J44" t="inlineStr"/>
      <c r="K44" t="inlineStr">
        <is>
          <t>p68-8870</t>
        </is>
      </c>
      <c r="L44" t="n">
        <v>0.021749615</v>
      </c>
      <c r="M44" t="n">
        <v>0.495438619</v>
      </c>
      <c r="N44" t="n">
        <v>-0.5456388888888914</v>
      </c>
      <c r="O44" t="n">
        <v>-34.0256131495228</v>
      </c>
      <c r="P44" t="n">
        <v>2139</v>
      </c>
      <c r="Q44" t="inlineStr">
        <is>
          <t>Lauraceae</t>
        </is>
      </c>
      <c r="R44" t="inlineStr">
        <is>
          <t>3923</t>
        </is>
      </c>
      <c r="S44" t="inlineStr">
        <is>
          <t>Ocotea</t>
        </is>
      </c>
      <c r="T44" t="inlineStr"/>
    </row>
    <row r="45">
      <c r="A45" s="1" t="n">
        <v>43</v>
      </c>
      <c r="B45" t="inlineStr">
        <is>
          <t>p68-8876</t>
        </is>
      </c>
      <c r="C45" t="n">
        <v>45.5859024917889</v>
      </c>
      <c r="D45" t="n">
        <v>-32.2573170187671</v>
      </c>
      <c r="E45" t="n">
        <v>2025</v>
      </c>
      <c r="F45" t="inlineStr">
        <is>
          <t>68</t>
        </is>
      </c>
      <c r="G45" t="n">
        <v>8876</v>
      </c>
      <c r="H45" t="inlineStr">
        <is>
          <t>leaf pulverized</t>
        </is>
      </c>
      <c r="I45" t="inlineStr"/>
      <c r="J45" t="inlineStr"/>
      <c r="K45" t="inlineStr">
        <is>
          <t>p68-8876</t>
        </is>
      </c>
      <c r="L45" t="n">
        <v>0.017456195</v>
      </c>
      <c r="M45" t="n">
        <v>0.481396993</v>
      </c>
      <c r="N45" t="n">
        <v>-0.6320429292929319</v>
      </c>
      <c r="O45" t="n">
        <v>-34.2009276776246</v>
      </c>
      <c r="P45" t="n">
        <v>2133</v>
      </c>
      <c r="Q45" t="inlineStr">
        <is>
          <t>Sapotaceae</t>
        </is>
      </c>
      <c r="R45" t="inlineStr">
        <is>
          <t>3918</t>
        </is>
      </c>
      <c r="S45" t="inlineStr">
        <is>
          <t>Pouteria</t>
        </is>
      </c>
      <c r="T45" t="inlineStr">
        <is>
          <t>torta</t>
        </is>
      </c>
    </row>
    <row r="46">
      <c r="A46" s="1" t="n">
        <v>44</v>
      </c>
      <c r="B46" t="inlineStr">
        <is>
          <t>p68-8867</t>
        </is>
      </c>
      <c r="C46" t="n">
        <v>38.7624607513581</v>
      </c>
      <c r="D46" t="n">
        <v>-31.9057679989876</v>
      </c>
      <c r="E46" t="n">
        <v>2025</v>
      </c>
      <c r="F46" t="inlineStr">
        <is>
          <t>68</t>
        </is>
      </c>
      <c r="G46" t="n">
        <v>8867</v>
      </c>
      <c r="H46" t="inlineStr">
        <is>
          <t>leaf pulverized</t>
        </is>
      </c>
      <c r="I46" t="inlineStr"/>
      <c r="J46" t="inlineStr"/>
      <c r="K46" t="inlineStr">
        <is>
          <t>p68-8867</t>
        </is>
      </c>
      <c r="L46" t="n">
        <v>0.020640948</v>
      </c>
      <c r="M46" t="n">
        <v>0.440605127</v>
      </c>
      <c r="N46" t="n">
        <v>1.538858585858584</v>
      </c>
      <c r="O46" t="n">
        <v>-34.17514612937434</v>
      </c>
      <c r="P46" t="n">
        <v>2142</v>
      </c>
      <c r="Q46" t="inlineStr">
        <is>
          <t>Rhizophoraceae</t>
        </is>
      </c>
      <c r="R46" t="inlineStr">
        <is>
          <t>3925</t>
        </is>
      </c>
      <c r="S46" t="inlineStr">
        <is>
          <t>Cassipourea</t>
        </is>
      </c>
      <c r="T46" t="inlineStr">
        <is>
          <t>guianensis</t>
        </is>
      </c>
    </row>
    <row r="47">
      <c r="A47" s="1" t="n">
        <v>45</v>
      </c>
      <c r="B47" t="inlineStr">
        <is>
          <t>p68-8867</t>
        </is>
      </c>
      <c r="C47" t="n">
        <v>0.4051</v>
      </c>
      <c r="D47" t="n">
        <v>-31.99</v>
      </c>
      <c r="E47" t="n">
        <v>2025</v>
      </c>
      <c r="F47" t="inlineStr">
        <is>
          <t>p68</t>
        </is>
      </c>
      <c r="G47" t="n">
        <v>8867</v>
      </c>
      <c r="H47" t="inlineStr">
        <is>
          <t>leaf pulverized</t>
        </is>
      </c>
      <c r="I47" t="inlineStr"/>
      <c r="J47" t="inlineStr"/>
      <c r="K47" t="inlineStr">
        <is>
          <t>p68-8867</t>
        </is>
      </c>
      <c r="L47" t="n">
        <v>0.020640948</v>
      </c>
      <c r="M47" t="n">
        <v>0.440605127</v>
      </c>
      <c r="N47" t="n">
        <v>1.538858585858584</v>
      </c>
      <c r="O47" t="n">
        <v>-34.17514612937434</v>
      </c>
      <c r="P47" t="n">
        <v>2142</v>
      </c>
      <c r="Q47" t="inlineStr">
        <is>
          <t>Rhizophoraceae</t>
        </is>
      </c>
      <c r="R47" t="inlineStr">
        <is>
          <t>3925</t>
        </is>
      </c>
      <c r="S47" t="inlineStr">
        <is>
          <t>Cassipourea</t>
        </is>
      </c>
      <c r="T47" t="inlineStr">
        <is>
          <t>guianensis</t>
        </is>
      </c>
    </row>
    <row r="48">
      <c r="A48" s="1" t="n">
        <v>46</v>
      </c>
      <c r="B48" t="inlineStr">
        <is>
          <t>p68-8888</t>
        </is>
      </c>
      <c r="C48" t="n">
        <v>45.0545859187322</v>
      </c>
      <c r="D48" t="n">
        <v>-33.0441162369113</v>
      </c>
      <c r="E48" t="n">
        <v>2025</v>
      </c>
      <c r="F48" t="inlineStr">
        <is>
          <t>68</t>
        </is>
      </c>
      <c r="G48" t="n">
        <v>8888</v>
      </c>
      <c r="H48" t="inlineStr">
        <is>
          <t>leaf pulverized</t>
        </is>
      </c>
      <c r="I48" t="inlineStr"/>
      <c r="J48" t="inlineStr"/>
      <c r="K48" t="inlineStr">
        <is>
          <t>p68-8888</t>
        </is>
      </c>
      <c r="L48" t="n">
        <v>0.011420399</v>
      </c>
      <c r="M48" t="n">
        <v>0.430948024</v>
      </c>
      <c r="N48" t="n">
        <v>2.435300505050503</v>
      </c>
      <c r="O48" t="n">
        <v>-34.86093531283139</v>
      </c>
      <c r="P48" t="n">
        <v>2148</v>
      </c>
      <c r="Q48" t="inlineStr">
        <is>
          <t>Simaroubaceae</t>
        </is>
      </c>
      <c r="R48" t="inlineStr">
        <is>
          <t>3929</t>
        </is>
      </c>
      <c r="S48" t="inlineStr">
        <is>
          <t>Simaba</t>
        </is>
      </c>
      <c r="T48" t="inlineStr">
        <is>
          <t>polyphylla</t>
        </is>
      </c>
    </row>
    <row r="49">
      <c r="A49" s="1" t="n">
        <v>47</v>
      </c>
      <c r="B49" t="inlineStr">
        <is>
          <t>p70-3650</t>
        </is>
      </c>
      <c r="C49" t="n">
        <v>42.13</v>
      </c>
      <c r="D49" t="n">
        <v>-31.61</v>
      </c>
      <c r="E49" t="n">
        <v>2025</v>
      </c>
      <c r="F49" t="inlineStr">
        <is>
          <t>70</t>
        </is>
      </c>
      <c r="G49" t="n">
        <v>3650</v>
      </c>
      <c r="H49" t="inlineStr">
        <is>
          <t>leaf pulverized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indet</t>
        </is>
      </c>
      <c r="R49" t="inlineStr"/>
      <c r="S49" t="inlineStr"/>
      <c r="T49" t="inlineStr"/>
    </row>
    <row r="50">
      <c r="A50" s="1" t="n">
        <v>48</v>
      </c>
      <c r="B50" t="inlineStr">
        <is>
          <t>p68-8640</t>
        </is>
      </c>
      <c r="C50" t="n">
        <v>44.8257164326167</v>
      </c>
      <c r="D50" t="n">
        <v>-27.3770370113265</v>
      </c>
      <c r="E50" t="n">
        <v>2025</v>
      </c>
      <c r="F50" t="inlineStr">
        <is>
          <t>68</t>
        </is>
      </c>
      <c r="G50" t="n">
        <v>8640</v>
      </c>
      <c r="H50" t="inlineStr">
        <is>
          <t>leaf pulverized</t>
        </is>
      </c>
      <c r="I50" t="n">
        <v>8640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p70-3643</t>
        </is>
      </c>
      <c r="C51" t="n">
        <v>46.0901105921165</v>
      </c>
      <c r="D51" t="n">
        <v>-31.501955307122</v>
      </c>
      <c r="E51" t="n">
        <v>2025</v>
      </c>
      <c r="F51" t="inlineStr">
        <is>
          <t>70</t>
        </is>
      </c>
      <c r="G51" t="n">
        <v>3643</v>
      </c>
      <c r="H51" t="inlineStr">
        <is>
          <t>leaf pulverized</t>
        </is>
      </c>
      <c r="I51" t="n">
        <v>3643</v>
      </c>
      <c r="J51" t="inlineStr"/>
      <c r="K51" t="inlineStr"/>
      <c r="L51" t="inlineStr"/>
      <c r="M51" t="inlineStr"/>
      <c r="N51" t="inlineStr"/>
      <c r="O51" t="inlineStr"/>
      <c r="P51" t="n">
        <v>2239</v>
      </c>
      <c r="Q51" t="inlineStr">
        <is>
          <t>Melastomataceae</t>
        </is>
      </c>
      <c r="R51" t="n">
        <v>3899</v>
      </c>
      <c r="S51" t="inlineStr">
        <is>
          <t>Miconia</t>
        </is>
      </c>
      <c r="T51" t="inlineStr"/>
    </row>
    <row r="52">
      <c r="A52" s="1" t="n">
        <v>50</v>
      </c>
      <c r="B52" t="inlineStr">
        <is>
          <t>p68-9865</t>
        </is>
      </c>
      <c r="C52" t="n">
        <v>50.7386705764376</v>
      </c>
      <c r="D52" t="n">
        <v>-32.9258451761764</v>
      </c>
      <c r="E52" t="n">
        <v>2025</v>
      </c>
      <c r="F52" t="n">
        <v>68</v>
      </c>
      <c r="G52" t="n">
        <v>8865</v>
      </c>
      <c r="H52" t="inlineStr">
        <is>
          <t>leaf pulverized</t>
        </is>
      </c>
      <c r="I52" t="n">
        <v>9865</v>
      </c>
      <c r="J52" t="inlineStr"/>
      <c r="K52" t="inlineStr"/>
      <c r="L52" t="inlineStr"/>
      <c r="M52" t="inlineStr"/>
      <c r="N52" t="inlineStr"/>
      <c r="O52" t="inlineStr"/>
      <c r="P52" t="n">
        <v>2146</v>
      </c>
      <c r="Q52" t="inlineStr">
        <is>
          <t>Violaceae</t>
        </is>
      </c>
      <c r="R52" t="inlineStr">
        <is>
          <t>3928</t>
        </is>
      </c>
      <c r="S52" t="inlineStr">
        <is>
          <t>Leonia</t>
        </is>
      </c>
      <c r="T52" t="inlineStr">
        <is>
          <t>glycycarpa</t>
        </is>
      </c>
    </row>
    <row r="53">
      <c r="A53" s="1" t="n">
        <v>51</v>
      </c>
      <c r="B53" t="inlineStr">
        <is>
          <t>p69-8893</t>
        </is>
      </c>
      <c r="C53" t="n">
        <v>43.4988316896495</v>
      </c>
      <c r="D53" t="n">
        <v>-33.7079403532742</v>
      </c>
      <c r="E53" t="n">
        <v>2025</v>
      </c>
      <c r="F53" t="inlineStr">
        <is>
          <t>69</t>
        </is>
      </c>
      <c r="G53" t="n">
        <v>8893</v>
      </c>
      <c r="H53" t="inlineStr">
        <is>
          <t>leaf pulverized</t>
        </is>
      </c>
      <c r="I53" t="n">
        <v>8893</v>
      </c>
      <c r="J53" t="inlineStr"/>
      <c r="K53" t="inlineStr"/>
      <c r="L53" t="inlineStr"/>
      <c r="M53" t="inlineStr"/>
      <c r="N53" t="inlineStr"/>
      <c r="O53" t="inlineStr"/>
      <c r="P53" t="n">
        <v>2199</v>
      </c>
      <c r="Q53" t="inlineStr">
        <is>
          <t>Moraceae</t>
        </is>
      </c>
      <c r="R53" t="inlineStr">
        <is>
          <t>3855</t>
        </is>
      </c>
      <c r="S53" t="inlineStr">
        <is>
          <t>Pseudolmedia</t>
        </is>
      </c>
      <c r="T53" t="inlineStr">
        <is>
          <t>macrophylla</t>
        </is>
      </c>
    </row>
    <row r="54">
      <c r="A54" s="1" t="n">
        <v>52</v>
      </c>
      <c r="B54" t="inlineStr">
        <is>
          <t>p69-8899</t>
        </is>
      </c>
      <c r="C54" t="n">
        <v>45.58</v>
      </c>
      <c r="D54" t="n">
        <v>-31.71</v>
      </c>
      <c r="E54" t="n">
        <v>2025</v>
      </c>
      <c r="F54" t="inlineStr">
        <is>
          <t>69</t>
        </is>
      </c>
      <c r="G54" t="n">
        <v>8899</v>
      </c>
      <c r="H54" t="inlineStr">
        <is>
          <t>leaf pulverized</t>
        </is>
      </c>
      <c r="I54" t="n">
        <v>8899</v>
      </c>
      <c r="J54" t="inlineStr"/>
      <c r="K54" t="inlineStr"/>
      <c r="L54" t="inlineStr"/>
      <c r="M54" t="inlineStr"/>
      <c r="N54" t="inlineStr"/>
      <c r="O54" t="inlineStr"/>
      <c r="P54" t="n">
        <v>2190</v>
      </c>
      <c r="Q54" t="inlineStr">
        <is>
          <t>Lacistemataceae</t>
        </is>
      </c>
      <c r="R54" t="inlineStr">
        <is>
          <t>3850</t>
        </is>
      </c>
      <c r="S54" t="inlineStr">
        <is>
          <t>Lozania</t>
        </is>
      </c>
      <c r="T54" t="inlineStr">
        <is>
          <t>klugii</t>
        </is>
      </c>
    </row>
    <row r="55">
      <c r="A55" s="1" t="n">
        <v>53</v>
      </c>
      <c r="B55" t="inlineStr">
        <is>
          <t>p70-3624</t>
        </is>
      </c>
      <c r="C55" t="n">
        <v>52.95</v>
      </c>
      <c r="D55" t="n">
        <v>-32.36</v>
      </c>
      <c r="E55" t="n">
        <v>2025</v>
      </c>
      <c r="F55" t="inlineStr">
        <is>
          <t>70</t>
        </is>
      </c>
      <c r="G55" t="n">
        <v>3624</v>
      </c>
      <c r="H55" t="inlineStr">
        <is>
          <t>leaf pulverized</t>
        </is>
      </c>
      <c r="I55" t="n">
        <v>3624</v>
      </c>
      <c r="J55" t="inlineStr"/>
      <c r="K55" t="inlineStr"/>
      <c r="L55" t="inlineStr"/>
      <c r="M55" t="inlineStr"/>
      <c r="N55" t="inlineStr"/>
      <c r="O55" t="inlineStr"/>
      <c r="P55" t="n">
        <v>2217</v>
      </c>
      <c r="Q55" t="inlineStr">
        <is>
          <t>Myristicaceae</t>
        </is>
      </c>
      <c r="R55" t="n">
        <v>3881</v>
      </c>
      <c r="S55" t="inlineStr">
        <is>
          <t>Virola</t>
        </is>
      </c>
      <c r="T55" t="inlineStr">
        <is>
          <t>flexuosa</t>
        </is>
      </c>
    </row>
    <row r="56">
      <c r="A56" s="1" t="n">
        <v>54</v>
      </c>
      <c r="B56" t="inlineStr">
        <is>
          <t>p69-8894</t>
        </is>
      </c>
      <c r="C56" t="n">
        <v>46.54</v>
      </c>
      <c r="D56" t="n">
        <v>-30.79</v>
      </c>
      <c r="E56" t="n">
        <v>2025</v>
      </c>
      <c r="F56" t="inlineStr">
        <is>
          <t>69</t>
        </is>
      </c>
      <c r="G56" t="n">
        <v>8894</v>
      </c>
      <c r="H56" t="inlineStr">
        <is>
          <t>leaf pulverized</t>
        </is>
      </c>
      <c r="I56" t="n">
        <v>8894</v>
      </c>
      <c r="J56" t="inlineStr"/>
      <c r="K56" t="inlineStr"/>
      <c r="L56" t="inlineStr"/>
      <c r="M56" t="inlineStr"/>
      <c r="N56" t="inlineStr"/>
      <c r="O56" t="inlineStr"/>
      <c r="P56" t="n">
        <v>2197</v>
      </c>
      <c r="Q56" t="inlineStr">
        <is>
          <t>Moraceae</t>
        </is>
      </c>
      <c r="R56" t="inlineStr">
        <is>
          <t>3853</t>
        </is>
      </c>
      <c r="S56" t="inlineStr">
        <is>
          <t>Brosimum</t>
        </is>
      </c>
      <c r="T56" t="inlineStr">
        <is>
          <t>lactescens</t>
        </is>
      </c>
    </row>
    <row r="57">
      <c r="A57" s="1" t="n">
        <v>55</v>
      </c>
      <c r="B57" t="inlineStr">
        <is>
          <t>p70-3631</t>
        </is>
      </c>
      <c r="C57" t="n">
        <v>43.77</v>
      </c>
      <c r="D57" t="n">
        <v>-31.43</v>
      </c>
      <c r="E57" t="n">
        <v>2025</v>
      </c>
      <c r="F57" t="inlineStr">
        <is>
          <t>70</t>
        </is>
      </c>
      <c r="G57" t="n">
        <v>3631</v>
      </c>
      <c r="H57" t="inlineStr">
        <is>
          <t>leaf pulverized</t>
        </is>
      </c>
      <c r="I57" t="n">
        <v>3631</v>
      </c>
      <c r="J57" t="inlineStr"/>
      <c r="K57" t="inlineStr"/>
      <c r="L57" t="inlineStr"/>
      <c r="M57" t="inlineStr"/>
      <c r="N57" t="inlineStr"/>
      <c r="O57" t="inlineStr"/>
      <c r="P57" t="n">
        <v>2246</v>
      </c>
      <c r="Q57" t="inlineStr">
        <is>
          <t>Lauraceae</t>
        </is>
      </c>
      <c r="R57" t="n">
        <v>3903</v>
      </c>
      <c r="S57" t="inlineStr">
        <is>
          <t>Mespilodaphne</t>
        </is>
      </c>
      <c r="T57" t="inlineStr">
        <is>
          <t>quixos</t>
        </is>
      </c>
    </row>
    <row r="58">
      <c r="A58" s="1" t="n">
        <v>56</v>
      </c>
      <c r="B58" t="inlineStr">
        <is>
          <t>p74-8830</t>
        </is>
      </c>
      <c r="C58" t="n">
        <v>45.35</v>
      </c>
      <c r="D58" t="n">
        <v>-30.61</v>
      </c>
      <c r="E58" t="n">
        <v>2025</v>
      </c>
      <c r="F58" t="inlineStr">
        <is>
          <t>74</t>
        </is>
      </c>
      <c r="G58" t="n">
        <v>8830</v>
      </c>
      <c r="H58" t="inlineStr">
        <is>
          <t>leaf pulverized</t>
        </is>
      </c>
      <c r="I58" t="n">
        <v>8830</v>
      </c>
      <c r="J58" t="inlineStr"/>
      <c r="K58" t="inlineStr"/>
      <c r="L58" t="inlineStr"/>
      <c r="M58" t="inlineStr"/>
      <c r="N58" t="inlineStr"/>
      <c r="O58" t="inlineStr"/>
      <c r="P58" t="n">
        <v>2399</v>
      </c>
      <c r="Q58" t="inlineStr">
        <is>
          <t>Moraceae</t>
        </is>
      </c>
      <c r="R58" t="n">
        <v>3265</v>
      </c>
      <c r="S58" t="inlineStr">
        <is>
          <t>Pseudolmedia</t>
        </is>
      </c>
      <c r="T58" t="inlineStr">
        <is>
          <t>laevis</t>
        </is>
      </c>
    </row>
    <row r="59">
      <c r="A59" s="1" t="n">
        <v>57</v>
      </c>
      <c r="B59" t="inlineStr">
        <is>
          <t>p72-8693</t>
        </is>
      </c>
      <c r="C59" t="n">
        <v>47.23</v>
      </c>
      <c r="D59" t="n">
        <v>-32.18</v>
      </c>
      <c r="E59" t="n">
        <v>2025</v>
      </c>
      <c r="F59" t="inlineStr">
        <is>
          <t>72</t>
        </is>
      </c>
      <c r="G59" t="n">
        <v>8693</v>
      </c>
      <c r="H59" t="inlineStr">
        <is>
          <t>leaf pulverized</t>
        </is>
      </c>
      <c r="I59" t="n">
        <v>8693</v>
      </c>
      <c r="J59" t="inlineStr"/>
      <c r="K59" t="inlineStr"/>
      <c r="L59" t="inlineStr"/>
      <c r="M59" t="inlineStr"/>
      <c r="N59" t="inlineStr"/>
      <c r="O59" t="inlineStr"/>
      <c r="P59" t="n">
        <v>2314</v>
      </c>
      <c r="Q59" t="inlineStr">
        <is>
          <t>Fabaceae</t>
        </is>
      </c>
      <c r="R59" t="n">
        <v>3198</v>
      </c>
      <c r="S59" t="inlineStr">
        <is>
          <t>Inga</t>
        </is>
      </c>
      <c r="T59" t="inlineStr">
        <is>
          <t>multinervis</t>
        </is>
      </c>
    </row>
    <row r="60">
      <c r="A60" s="1" t="n">
        <v>58</v>
      </c>
      <c r="B60" t="inlineStr">
        <is>
          <t>p74-8839</t>
        </is>
      </c>
      <c r="C60" t="n">
        <v>47.43</v>
      </c>
      <c r="D60" t="n">
        <v>-33.56</v>
      </c>
      <c r="E60" t="n">
        <v>2025</v>
      </c>
      <c r="F60" t="inlineStr">
        <is>
          <t>74</t>
        </is>
      </c>
      <c r="G60" t="n">
        <v>8839</v>
      </c>
      <c r="H60" t="inlineStr">
        <is>
          <t>leaf pulverized</t>
        </is>
      </c>
      <c r="I60" t="n">
        <v>8839</v>
      </c>
      <c r="J60" t="inlineStr"/>
      <c r="K60" t="inlineStr"/>
      <c r="L60" t="inlineStr"/>
      <c r="M60" t="inlineStr"/>
      <c r="N60" t="inlineStr"/>
      <c r="O60" t="inlineStr"/>
      <c r="P60" t="n">
        <v>2390</v>
      </c>
      <c r="Q60" t="inlineStr">
        <is>
          <t>Salicaceae</t>
        </is>
      </c>
      <c r="R60" t="n">
        <v>3280</v>
      </c>
      <c r="S60" t="inlineStr">
        <is>
          <t>Tetrathylacium</t>
        </is>
      </c>
      <c r="T60" t="inlineStr">
        <is>
          <t>macrophyllum</t>
        </is>
      </c>
    </row>
    <row r="61">
      <c r="A61" s="1" t="n">
        <v>59</v>
      </c>
      <c r="B61" t="inlineStr">
        <is>
          <t>p74-8855</t>
        </is>
      </c>
      <c r="C61" t="n">
        <v>44.84</v>
      </c>
      <c r="D61" t="n">
        <v>-32.69</v>
      </c>
      <c r="E61" t="n">
        <v>2025</v>
      </c>
      <c r="F61" t="inlineStr">
        <is>
          <t>74</t>
        </is>
      </c>
      <c r="G61" t="n">
        <v>8855</v>
      </c>
      <c r="H61" t="inlineStr">
        <is>
          <t>leaf pulverized</t>
        </is>
      </c>
      <c r="I61" t="n">
        <v>8855</v>
      </c>
      <c r="J61" t="inlineStr"/>
      <c r="K61" t="inlineStr"/>
      <c r="L61" t="inlineStr"/>
      <c r="M61" t="inlineStr"/>
      <c r="N61" t="inlineStr"/>
      <c r="O61" t="inlineStr"/>
      <c r="P61" t="n">
        <v>2376</v>
      </c>
      <c r="Q61" t="inlineStr">
        <is>
          <t>Annonaceae</t>
        </is>
      </c>
      <c r="R61" t="inlineStr">
        <is>
          <t>same as 3262</t>
        </is>
      </c>
      <c r="S61" t="inlineStr">
        <is>
          <t>Guatteria</t>
        </is>
      </c>
      <c r="T61" t="inlineStr"/>
    </row>
    <row r="62">
      <c r="A62" s="1" t="n">
        <v>60</v>
      </c>
      <c r="B62" t="inlineStr">
        <is>
          <t>p74-8829</t>
        </is>
      </c>
      <c r="C62" t="n">
        <v>49.45</v>
      </c>
      <c r="D62" t="n">
        <v>-32.67</v>
      </c>
      <c r="E62" t="n">
        <v>2025</v>
      </c>
      <c r="F62" t="inlineStr">
        <is>
          <t>74</t>
        </is>
      </c>
      <c r="G62" t="n">
        <v>8829</v>
      </c>
      <c r="H62" t="inlineStr">
        <is>
          <t>leaf pulverized</t>
        </is>
      </c>
      <c r="I62" t="n">
        <v>8829</v>
      </c>
      <c r="J62" t="inlineStr"/>
      <c r="K62" t="inlineStr"/>
      <c r="L62" t="inlineStr"/>
      <c r="M62" t="inlineStr"/>
      <c r="N62" t="inlineStr"/>
      <c r="O62" t="inlineStr"/>
      <c r="P62" t="n">
        <v>2398</v>
      </c>
      <c r="Q62" t="inlineStr">
        <is>
          <t>Sapotaceae</t>
        </is>
      </c>
      <c r="R62" t="inlineStr"/>
      <c r="S62" t="inlineStr">
        <is>
          <t>Pouteria</t>
        </is>
      </c>
      <c r="T62" t="inlineStr">
        <is>
          <t>vernicosa</t>
        </is>
      </c>
    </row>
    <row r="63">
      <c r="A63" s="1" t="n">
        <v>61</v>
      </c>
      <c r="B63" t="inlineStr">
        <is>
          <t>p68-8869</t>
        </is>
      </c>
      <c r="C63" t="n">
        <v>44.54</v>
      </c>
      <c r="D63" t="n">
        <v>-29.77</v>
      </c>
      <c r="E63" t="n">
        <v>2025</v>
      </c>
      <c r="F63" t="inlineStr">
        <is>
          <t>68</t>
        </is>
      </c>
      <c r="G63" t="n">
        <v>8869</v>
      </c>
      <c r="H63" t="inlineStr">
        <is>
          <t>leaf pulverized</t>
        </is>
      </c>
      <c r="I63" t="n">
        <v>8869</v>
      </c>
      <c r="J63" t="inlineStr"/>
      <c r="K63" t="inlineStr"/>
      <c r="L63" t="inlineStr"/>
      <c r="M63" t="inlineStr"/>
      <c r="N63" t="inlineStr"/>
      <c r="O63" t="inlineStr"/>
      <c r="P63" t="n">
        <v>2141</v>
      </c>
      <c r="Q63" t="inlineStr">
        <is>
          <t>Sapotaceae</t>
        </is>
      </c>
      <c r="R63" t="inlineStr">
        <is>
          <t>3924</t>
        </is>
      </c>
      <c r="S63" t="inlineStr">
        <is>
          <t>Sarcaulus</t>
        </is>
      </c>
      <c r="T63" t="inlineStr">
        <is>
          <t>aff. oblatus</t>
        </is>
      </c>
    </row>
    <row r="64">
      <c r="A64" s="1" t="n">
        <v>62</v>
      </c>
      <c r="B64" t="inlineStr">
        <is>
          <t>p70-3635</t>
        </is>
      </c>
      <c r="C64" t="n">
        <v>0.4147</v>
      </c>
      <c r="D64" t="n">
        <v>-33.34</v>
      </c>
      <c r="E64" t="n">
        <v>2025</v>
      </c>
      <c r="F64" t="inlineStr">
        <is>
          <t>p70</t>
        </is>
      </c>
      <c r="G64" t="n">
        <v>3635</v>
      </c>
      <c r="H64" t="inlineStr">
        <is>
          <t>leaf pulverized</t>
        </is>
      </c>
      <c r="I64" t="inlineStr"/>
      <c r="J64" t="inlineStr"/>
      <c r="K64" t="inlineStr">
        <is>
          <t>p70-3635</t>
        </is>
      </c>
      <c r="L64" t="n">
        <v>0.02329030068816614</v>
      </c>
      <c r="M64" t="n">
        <v>0.4286406242211068</v>
      </c>
      <c r="N64" t="n">
        <v>0.67</v>
      </c>
      <c r="O64" t="n">
        <v>-34.74</v>
      </c>
      <c r="P64" t="n">
        <v>2238</v>
      </c>
      <c r="Q64" t="inlineStr">
        <is>
          <t>Annonaceae</t>
        </is>
      </c>
      <c r="R64" t="n">
        <v>3889</v>
      </c>
      <c r="S64" t="inlineStr">
        <is>
          <t>Annona</t>
        </is>
      </c>
      <c r="T64" t="inlineStr">
        <is>
          <t>helosioides</t>
        </is>
      </c>
    </row>
    <row r="65">
      <c r="A65" s="1" t="n">
        <v>63</v>
      </c>
      <c r="B65" t="inlineStr">
        <is>
          <t>p68-8878</t>
        </is>
      </c>
      <c r="C65" t="inlineStr"/>
      <c r="D65" t="inlineStr"/>
      <c r="E65" t="n">
        <v>2025</v>
      </c>
      <c r="F65" t="n">
        <v>68</v>
      </c>
      <c r="G65" t="n">
        <v>8878</v>
      </c>
      <c r="H65" t="inlineStr"/>
      <c r="I65" t="inlineStr"/>
      <c r="J65" t="inlineStr"/>
      <c r="K65" t="inlineStr">
        <is>
          <t>p68-8878</t>
        </is>
      </c>
      <c r="L65" t="n">
        <v>0.017277264</v>
      </c>
      <c r="M65" t="n">
        <v>0.437306213</v>
      </c>
      <c r="N65" t="n">
        <v>1.571260101010099</v>
      </c>
      <c r="O65" t="n">
        <v>-34.25249077412514</v>
      </c>
      <c r="P65" t="n">
        <v>2136</v>
      </c>
      <c r="Q65" t="inlineStr">
        <is>
          <t>Rubiaceae</t>
        </is>
      </c>
      <c r="R65" t="inlineStr">
        <is>
          <t>3920</t>
        </is>
      </c>
      <c r="S65" t="inlineStr">
        <is>
          <t>Duroia</t>
        </is>
      </c>
      <c r="T65" t="inlineStr">
        <is>
          <t>hirsuta</t>
        </is>
      </c>
    </row>
    <row r="66">
      <c r="A66" s="1" t="n">
        <v>64</v>
      </c>
      <c r="B66" t="inlineStr">
        <is>
          <t>p68-8885</t>
        </is>
      </c>
      <c r="C66" t="inlineStr"/>
      <c r="D66" t="inlineStr"/>
      <c r="E66" t="n">
        <v>2025</v>
      </c>
      <c r="F66" t="n">
        <v>68</v>
      </c>
      <c r="G66" t="n">
        <v>8885</v>
      </c>
      <c r="H66" t="inlineStr"/>
      <c r="I66" t="inlineStr"/>
      <c r="J66" t="inlineStr"/>
      <c r="K66" t="inlineStr">
        <is>
          <t>p68-8885</t>
        </is>
      </c>
      <c r="L66" t="n">
        <v>0.015294916</v>
      </c>
      <c r="M66" t="n">
        <v>0.488282508</v>
      </c>
      <c r="N66" t="n">
        <v>0.8692272727272705</v>
      </c>
      <c r="O66" t="n">
        <v>-33.91217433722163</v>
      </c>
      <c r="P66" t="n">
        <v>2154</v>
      </c>
      <c r="Q66" t="inlineStr">
        <is>
          <t>Apocynaceae</t>
        </is>
      </c>
      <c r="R66" t="inlineStr">
        <is>
          <t>3921</t>
        </is>
      </c>
      <c r="S66" t="inlineStr">
        <is>
          <t>Aspidosperma</t>
        </is>
      </c>
      <c r="T66" t="inlineStr">
        <is>
          <t>aff. excelsum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2026-10-07T19:50:52Z</dcterms:created>
  <dcterms:modified xmlns:dcterms="http://purl.org/dc/terms/" xmlns:xsi="http://www.w3.org/2001/XMLSchema-instance" xsi:type="dcterms:W3CDTF">2026-10-07T19:50:52Z</dcterms:modified>
</cp:coreProperties>
</file>
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mos\OneDrive\Escritorio\"/>
    </mc:Choice>
  </mc:AlternateContent>
  <xr:revisionPtr revIDLastSave="0" documentId="13_ncr:1_{BFBF1367-054B-451C-8EE5-FC606D07B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t_measures" sheetId="2" r:id="rId1"/>
  </sheets>
  <externalReferences>
    <externalReference r:id="rId2"/>
  </externalReferences>
  <definedNames>
    <definedName name="_xlnm._FilterDatabase" localSheetId="0" hidden="1">trait_measures!$A$1:$AQ$33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R2" i="2" l="1"/>
  <c r="B2" i="2" l="1"/>
  <c r="C2" i="2" s="1"/>
  <c r="B3" i="2"/>
  <c r="C3" i="2" s="1"/>
  <c r="AA2" i="2"/>
  <c r="AA3" i="2"/>
  <c r="S2" i="2"/>
  <c r="T2" i="2"/>
  <c r="AO3" i="2" l="1"/>
  <c r="AP3" i="2" s="1"/>
  <c r="AO2" i="2"/>
  <c r="AP2" i="2" s="1"/>
  <c r="AH3" i="2"/>
  <c r="AH2" i="2"/>
  <c r="R3" i="2"/>
  <c r="T3" i="2" s="1"/>
  <c r="S3" i="2"/>
</calcChain>
</file>

<file path=xl/sharedStrings.xml><?xml version="1.0" encoding="utf-8"?>
<sst xmlns="http://schemas.openxmlformats.org/spreadsheetml/2006/main" count="51" uniqueCount="49">
  <si>
    <t>Apocynaceae</t>
  </si>
  <si>
    <t>Dioscoreaceae</t>
  </si>
  <si>
    <t>APO01</t>
  </si>
  <si>
    <t>DIO01</t>
  </si>
  <si>
    <t>plot</t>
  </si>
  <si>
    <t>#</t>
  </si>
  <si>
    <t>No</t>
  </si>
  <si>
    <t>family</t>
  </si>
  <si>
    <t>genus</t>
  </si>
  <si>
    <t>species</t>
  </si>
  <si>
    <t>WSG</t>
  </si>
  <si>
    <t>Dioscorea</t>
  </si>
  <si>
    <t>sampling date</t>
  </si>
  <si>
    <t>number of leaves</t>
  </si>
  <si>
    <t>leaf fresh weight (g)</t>
  </si>
  <si>
    <t>leaf dry weight (g)</t>
  </si>
  <si>
    <t>comp. leaves</t>
  </si>
  <si>
    <t>comment leaves</t>
  </si>
  <si>
    <t>Dry matter content (mg/g)</t>
  </si>
  <si>
    <t>thick1</t>
  </si>
  <si>
    <t>thick2</t>
  </si>
  <si>
    <t>thick3</t>
  </si>
  <si>
    <t>thick4</t>
  </si>
  <si>
    <t>thick5</t>
  </si>
  <si>
    <t>thick6</t>
  </si>
  <si>
    <t>mean leaf thickness (mm)</t>
  </si>
  <si>
    <t>sub</t>
  </si>
  <si>
    <t>punch1</t>
  </si>
  <si>
    <t>punch2</t>
  </si>
  <si>
    <t>punch3</t>
  </si>
  <si>
    <t>punch4</t>
  </si>
  <si>
    <t>punch5</t>
  </si>
  <si>
    <t>punch6</t>
  </si>
  <si>
    <t>punch mean</t>
  </si>
  <si>
    <t>force to punch (kN/m)</t>
  </si>
  <si>
    <t>Species Code</t>
  </si>
  <si>
    <t>Site</t>
  </si>
  <si>
    <t>Plot_code</t>
  </si>
  <si>
    <t>Code_site</t>
  </si>
  <si>
    <t>LB</t>
  </si>
  <si>
    <t>comment stems</t>
  </si>
  <si>
    <t>stem water content (%)</t>
  </si>
  <si>
    <t>stem dry weight (g)</t>
  </si>
  <si>
    <t>stem diameter (cm)</t>
  </si>
  <si>
    <t>stem length (cm)</t>
  </si>
  <si>
    <t>stem fresh weight (g)</t>
  </si>
  <si>
    <t>Tempname</t>
  </si>
  <si>
    <t>marzo/20/2025</t>
  </si>
  <si>
    <r>
      <t>stem fresh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</si>
</sst>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B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0" xfId="1" applyFont="1"/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2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2" fontId="0" fillId="0" borderId="0" xfId="0" applyNumberFormat="1" applyAlignment="1">
      <alignment vertical="top"/>
    </xf>
    <xf numFmtId="2" fontId="0" fillId="2" borderId="0" xfId="0" applyNumberFormat="1" applyFill="1" applyAlignment="1">
      <alignment vertical="top"/>
    </xf>
    <xf numFmtId="2" fontId="0" fillId="2" borderId="0" xfId="0" applyNumberFormat="1" applyFill="1"/>
    <xf numFmtId="164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Normal 2 2" xfId="1" xr:uid="{32325A4D-75E0-4985-B314-449AFE396B83}"/>
  </cellStyles>
  <dxfs count="0"/>
  <tableStyles count="0" defaultTableStyle="TableStyleMedium2" defaultPivotStyle="PivotStyleLight16"/>
  <colors>
    <mruColors>
      <color rgb="FF00BBFF"/>
      <color rgb="FF00B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IANAS\base_datos\liana_database_junio_2025.xlsx" TargetMode="External"/><Relationship Id="rId1" Type="http://schemas.openxmlformats.org/officeDocument/2006/relationships/externalLinkPath" Target="file:///D:\LIANAS\base_datos\liana_database_junio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_subplots"/>
      <sheetName val="Sheet7"/>
      <sheetName val="Sheet2"/>
      <sheetName val="Lianas_NewPlotFieldsheet"/>
      <sheetName val="Taxonomy_Lianas"/>
      <sheetName val="Trees"/>
      <sheetName val="explanation"/>
    </sheetNames>
    <sheetDataSet>
      <sheetData sheetId="0"/>
      <sheetData sheetId="1"/>
      <sheetData sheetId="2"/>
      <sheetData sheetId="3">
        <row r="1">
          <cell r="J1" t="str">
            <v>Tag_No_liana</v>
          </cell>
          <cell r="K1" t="str">
            <v>Old_field_name</v>
          </cell>
          <cell r="L1" t="str">
            <v>Used_name_field</v>
          </cell>
          <cell r="M1" t="str">
            <v>Igual_a</v>
          </cell>
          <cell r="N1" t="str">
            <v>Identificaciones_Berthil_Jhurgen</v>
          </cell>
          <cell r="O1" t="str">
            <v>Family</v>
          </cell>
          <cell r="P1" t="str">
            <v>Genus</v>
          </cell>
          <cell r="Q1" t="str">
            <v>Ephitet</v>
          </cell>
          <cell r="R1" t="str">
            <v>Species</v>
          </cell>
        </row>
        <row r="2">
          <cell r="J2">
            <v>1</v>
          </cell>
          <cell r="K2" t="str">
            <v>Turbina</v>
          </cell>
          <cell r="L2" t="str">
            <v>Ipomoea</v>
          </cell>
          <cell r="M2" t="str">
            <v xml:space="preserve"> =1</v>
          </cell>
          <cell r="N2" t="str">
            <v>Berthil_(Convolvulaceae,_Ipomoea_cf._sericea?</v>
          </cell>
          <cell r="O2" t="str">
            <v>Convolvulaceae</v>
          </cell>
          <cell r="P2" t="str">
            <v>Ipomoea</v>
          </cell>
          <cell r="Q2" t="str">
            <v>abutiloides</v>
          </cell>
          <cell r="R2" t="str">
            <v>Ipomoea abutiloides</v>
          </cell>
        </row>
        <row r="3">
          <cell r="J3">
            <v>2</v>
          </cell>
          <cell r="K3" t="str">
            <v>turbina</v>
          </cell>
          <cell r="L3" t="str">
            <v>Ipomoea</v>
          </cell>
          <cell r="M3" t="str">
            <v xml:space="preserve"> =1</v>
          </cell>
          <cell r="O3" t="str">
            <v>Convolvulaceae</v>
          </cell>
          <cell r="P3" t="str">
            <v>Ipomoea</v>
          </cell>
          <cell r="Q3" t="str">
            <v>abutiloides</v>
          </cell>
          <cell r="R3" t="str">
            <v>Ipomoea abutiloides</v>
          </cell>
        </row>
        <row r="4">
          <cell r="J4">
            <v>3</v>
          </cell>
          <cell r="K4" t="str">
            <v>Trifol</v>
          </cell>
          <cell r="L4" t="str">
            <v>Cissus_trifol</v>
          </cell>
          <cell r="O4" t="str">
            <v>Vitaceae</v>
          </cell>
          <cell r="P4" t="str">
            <v xml:space="preserve">Cissus </v>
          </cell>
          <cell r="Q4" t="str">
            <v>trifoliata</v>
          </cell>
          <cell r="R4" t="str">
            <v>Cissus  trifoliata</v>
          </cell>
        </row>
        <row r="5">
          <cell r="J5">
            <v>4</v>
          </cell>
          <cell r="K5" t="str">
            <v>Bougainvillea</v>
          </cell>
          <cell r="L5" t="str">
            <v>Bougainvillea</v>
          </cell>
          <cell r="O5" t="str">
            <v>Nyctaginaceae</v>
          </cell>
          <cell r="P5" t="str">
            <v>Bougainvillea</v>
          </cell>
          <cell r="Q5" t="str">
            <v>peruviana</v>
          </cell>
          <cell r="R5" t="str">
            <v>Bougainvillea peruviana</v>
          </cell>
        </row>
        <row r="6">
          <cell r="J6">
            <v>5</v>
          </cell>
          <cell r="K6" t="str">
            <v>Bougainvillea</v>
          </cell>
          <cell r="L6" t="str">
            <v>Bougainvillea</v>
          </cell>
          <cell r="O6" t="str">
            <v>Nyctaginaceae</v>
          </cell>
          <cell r="P6" t="str">
            <v>Bougainvillea</v>
          </cell>
          <cell r="Q6" t="str">
            <v>peruviana</v>
          </cell>
          <cell r="R6" t="str">
            <v>Bougainvillea peruviana</v>
          </cell>
        </row>
        <row r="7">
          <cell r="J7">
            <v>6</v>
          </cell>
          <cell r="K7" t="str">
            <v>Faba Piptadenia</v>
          </cell>
          <cell r="L7" t="str">
            <v>Piptadenia_sp_tallo_redondo_LB</v>
          </cell>
          <cell r="N7" t="str">
            <v>Berthil: todas las piptadenias de laipuna son la misma especies</v>
          </cell>
          <cell r="O7" t="str">
            <v>Fabaceae</v>
          </cell>
          <cell r="P7" t="str">
            <v>Piptadenia</v>
          </cell>
          <cell r="R7" t="str">
            <v xml:space="preserve">Piptadenia </v>
          </cell>
        </row>
        <row r="8">
          <cell r="J8">
            <v>7</v>
          </cell>
          <cell r="K8" t="str">
            <v>Faba Piptadenia</v>
          </cell>
          <cell r="L8" t="str">
            <v>Piptadenia_sp_tallo_redondo_LB</v>
          </cell>
          <cell r="N8" t="str">
            <v>Berthil: todas las piptadenias de laipuna son la misma especies</v>
          </cell>
          <cell r="O8" t="str">
            <v>Fabaceae</v>
          </cell>
          <cell r="P8" t="str">
            <v>Piptadenia</v>
          </cell>
          <cell r="R8" t="str">
            <v xml:space="preserve">Piptadenia </v>
          </cell>
        </row>
        <row r="9">
          <cell r="J9">
            <v>8</v>
          </cell>
          <cell r="K9" t="str">
            <v>Faba Piptadenia</v>
          </cell>
          <cell r="L9" t="str">
            <v>Piptadenia_sp_tallo_redondo_LB</v>
          </cell>
          <cell r="N9" t="str">
            <v>Berthil: todas las piptadenias de laipuna son la misma especies</v>
          </cell>
          <cell r="O9" t="str">
            <v>Fabaceae</v>
          </cell>
          <cell r="P9" t="str">
            <v>Piptadenia</v>
          </cell>
          <cell r="R9" t="str">
            <v xml:space="preserve">Piptadenia </v>
          </cell>
        </row>
        <row r="10">
          <cell r="J10">
            <v>9</v>
          </cell>
          <cell r="K10" t="str">
            <v>Turbina</v>
          </cell>
          <cell r="L10" t="str">
            <v>Dioscorea</v>
          </cell>
          <cell r="O10" t="str">
            <v>Dioscoreaceae</v>
          </cell>
          <cell r="P10" t="str">
            <v>Pseudosicydium</v>
          </cell>
          <cell r="Q10" t="str">
            <v>cf. acaranthum</v>
          </cell>
          <cell r="R10" t="str">
            <v>Pseudosicydium cf. acaranthum</v>
          </cell>
        </row>
        <row r="11">
          <cell r="J11">
            <v>10</v>
          </cell>
          <cell r="K11" t="str">
            <v>Turbina</v>
          </cell>
          <cell r="L11" t="str">
            <v>Dioscorea</v>
          </cell>
          <cell r="O11" t="str">
            <v>Dioscoreaceae</v>
          </cell>
          <cell r="P11" t="str">
            <v>Pseudosicydium</v>
          </cell>
          <cell r="Q11" t="str">
            <v>cf. acaranthum</v>
          </cell>
          <cell r="R11" t="str">
            <v>Pseudosicydium cf. acaranthum</v>
          </cell>
        </row>
        <row r="12">
          <cell r="J12">
            <v>11</v>
          </cell>
          <cell r="K12" t="str">
            <v>Sp. Trifol</v>
          </cell>
          <cell r="L12" t="str">
            <v>Cissus_trifol</v>
          </cell>
          <cell r="O12" t="str">
            <v>Vitaceae</v>
          </cell>
          <cell r="P12" t="str">
            <v xml:space="preserve">Cissus </v>
          </cell>
          <cell r="Q12" t="str">
            <v>trifoliata</v>
          </cell>
          <cell r="R12" t="str">
            <v>Cissus  trifoliata</v>
          </cell>
        </row>
        <row r="13">
          <cell r="J13">
            <v>12</v>
          </cell>
          <cell r="K13" t="str">
            <v>Cucurbita</v>
          </cell>
          <cell r="L13" t="str">
            <v>Big_166</v>
          </cell>
          <cell r="N13" t="str">
            <v>Berthil (bignoniaceae)</v>
          </cell>
          <cell r="O13" t="str">
            <v>Bignoniaceae</v>
          </cell>
          <cell r="R13" t="str">
            <v xml:space="preserve"> </v>
          </cell>
        </row>
        <row r="14">
          <cell r="J14">
            <v>13</v>
          </cell>
          <cell r="K14" t="str">
            <v>Turbina</v>
          </cell>
          <cell r="L14" t="str">
            <v>Dioscorea</v>
          </cell>
          <cell r="O14" t="str">
            <v>Dioscoreaceae</v>
          </cell>
          <cell r="P14" t="str">
            <v>Pseudosicydium</v>
          </cell>
          <cell r="Q14" t="str">
            <v>cf. acaranthum</v>
          </cell>
          <cell r="R14" t="str">
            <v>Pseudosicydium cf. acaranthum</v>
          </cell>
        </row>
        <row r="15">
          <cell r="J15">
            <v>14</v>
          </cell>
          <cell r="K15" t="str">
            <v>Turbina</v>
          </cell>
          <cell r="L15" t="str">
            <v>apocyna_100</v>
          </cell>
          <cell r="O15" t="str">
            <v>Apocynaceae</v>
          </cell>
          <cell r="P15" t="str">
            <v>Prestonia</v>
          </cell>
          <cell r="Q15" t="str">
            <v>cf. rotundifolia</v>
          </cell>
          <cell r="R15" t="str">
            <v>Prestonia cf. rotundifolia</v>
          </cell>
        </row>
        <row r="16">
          <cell r="J16">
            <v>15</v>
          </cell>
          <cell r="K16" t="str">
            <v>Turbina</v>
          </cell>
          <cell r="L16" t="str">
            <v>Dioscorea</v>
          </cell>
          <cell r="O16" t="str">
            <v>Dioscoreaceae</v>
          </cell>
          <cell r="P16" t="str">
            <v>Pseudosicydium</v>
          </cell>
          <cell r="Q16" t="str">
            <v>cf. acaranthum</v>
          </cell>
          <cell r="R16" t="str">
            <v>Pseudosicydium cf. acaranthum</v>
          </cell>
        </row>
        <row r="17">
          <cell r="J17">
            <v>17</v>
          </cell>
          <cell r="K17" t="str">
            <v>trifolia</v>
          </cell>
          <cell r="L17" t="str">
            <v>Cissus_trifol</v>
          </cell>
          <cell r="O17" t="str">
            <v>Vitaceae</v>
          </cell>
          <cell r="P17" t="str">
            <v xml:space="preserve">Cissus </v>
          </cell>
          <cell r="Q17" t="str">
            <v>trifoliata</v>
          </cell>
          <cell r="R17" t="str">
            <v>Cissus  trifoliata</v>
          </cell>
        </row>
        <row r="18">
          <cell r="J18">
            <v>18</v>
          </cell>
          <cell r="K18" t="str">
            <v>trifolia</v>
          </cell>
          <cell r="L18" t="str">
            <v>Cissus_trifol</v>
          </cell>
          <cell r="O18" t="str">
            <v>Vitaceae</v>
          </cell>
          <cell r="P18" t="str">
            <v xml:space="preserve">Cissus </v>
          </cell>
          <cell r="Q18" t="str">
            <v>trifoliata</v>
          </cell>
          <cell r="R18" t="str">
            <v>Cissus  trifoliata</v>
          </cell>
        </row>
        <row r="19">
          <cell r="J19">
            <v>19</v>
          </cell>
          <cell r="K19" t="str">
            <v>Berberis</v>
          </cell>
          <cell r="L19" t="str">
            <v>Bougainvillea</v>
          </cell>
          <cell r="O19" t="str">
            <v>Nyctaginaceae</v>
          </cell>
          <cell r="P19" t="str">
            <v>Bougainvillea</v>
          </cell>
          <cell r="Q19" t="str">
            <v>peruviana</v>
          </cell>
          <cell r="R19" t="str">
            <v>Bougainvillea peruviana</v>
          </cell>
        </row>
        <row r="20">
          <cell r="J20">
            <v>20</v>
          </cell>
          <cell r="K20" t="str">
            <v>Trifol_dibujo</v>
          </cell>
          <cell r="L20" t="str">
            <v>Cissus_trifol</v>
          </cell>
          <cell r="O20" t="str">
            <v>Vitaceae</v>
          </cell>
          <cell r="P20" t="str">
            <v xml:space="preserve">Cissus </v>
          </cell>
          <cell r="Q20" t="str">
            <v>trifoliata</v>
          </cell>
          <cell r="R20" t="str">
            <v>Cissus  trifoliata</v>
          </cell>
        </row>
        <row r="21">
          <cell r="J21">
            <v>21</v>
          </cell>
          <cell r="K21" t="str">
            <v>Cucurbita</v>
          </cell>
          <cell r="L21" t="str">
            <v>Dioscorea</v>
          </cell>
          <cell r="N21" t="str">
            <v>Berthil (Convolvulaceae, Ipomoea)</v>
          </cell>
          <cell r="O21" t="str">
            <v>Dioscoreaceae</v>
          </cell>
          <cell r="P21" t="str">
            <v>Pseudosicydium</v>
          </cell>
          <cell r="Q21" t="str">
            <v>cf. acaranthum</v>
          </cell>
          <cell r="R21" t="str">
            <v>Pseudosicydium cf. acaranthum</v>
          </cell>
        </row>
        <row r="22">
          <cell r="J22">
            <v>22</v>
          </cell>
          <cell r="K22" t="str">
            <v>urtica</v>
          </cell>
          <cell r="L22" t="str">
            <v>urtica</v>
          </cell>
          <cell r="R22" t="str">
            <v xml:space="preserve"> </v>
          </cell>
        </row>
        <row r="23">
          <cell r="J23">
            <v>23</v>
          </cell>
          <cell r="K23" t="str">
            <v>cucur</v>
          </cell>
          <cell r="L23" t="str">
            <v>Dioscorea</v>
          </cell>
          <cell r="O23" t="str">
            <v>Dioscoreaceae</v>
          </cell>
          <cell r="P23" t="str">
            <v>Pseudosicydium</v>
          </cell>
          <cell r="Q23" t="str">
            <v>cf. acaranthum</v>
          </cell>
          <cell r="R23" t="str">
            <v>Pseudosicydium cf. acaranthum</v>
          </cell>
        </row>
        <row r="24">
          <cell r="J24">
            <v>24</v>
          </cell>
          <cell r="K24" t="str">
            <v>apo</v>
          </cell>
          <cell r="L24" t="str">
            <v>Ipomoea</v>
          </cell>
          <cell r="O24" t="str">
            <v>Convolvulaceae</v>
          </cell>
          <cell r="P24" t="str">
            <v>Ipomoea</v>
          </cell>
          <cell r="Q24" t="str">
            <v>abutiloides</v>
          </cell>
          <cell r="R24" t="str">
            <v>Ipomoea abutiloides</v>
          </cell>
        </row>
        <row r="25">
          <cell r="J25">
            <v>25</v>
          </cell>
          <cell r="K25" t="str">
            <v>apo</v>
          </cell>
          <cell r="L25" t="str">
            <v>Ipomoea</v>
          </cell>
          <cell r="O25" t="str">
            <v>Convolvulaceae</v>
          </cell>
          <cell r="P25" t="str">
            <v>Ipomoea</v>
          </cell>
          <cell r="Q25" t="str">
            <v>abutiloides</v>
          </cell>
          <cell r="R25" t="str">
            <v>Ipomoea abutiloides</v>
          </cell>
        </row>
        <row r="26">
          <cell r="J26">
            <v>26</v>
          </cell>
          <cell r="K26" t="str">
            <v>Sp.? Trifol</v>
          </cell>
          <cell r="L26" t="str">
            <v>Cissus_trifol</v>
          </cell>
          <cell r="O26" t="str">
            <v>Vitaceae</v>
          </cell>
          <cell r="P26" t="str">
            <v xml:space="preserve">Cissus </v>
          </cell>
          <cell r="Q26" t="str">
            <v>trifoliata</v>
          </cell>
          <cell r="R26" t="str">
            <v>Cissus  trifoliata</v>
          </cell>
        </row>
        <row r="27">
          <cell r="J27">
            <v>27</v>
          </cell>
          <cell r="K27" t="str">
            <v>Sp. Trifol</v>
          </cell>
          <cell r="L27" t="str">
            <v>Cissus_trifol</v>
          </cell>
          <cell r="O27" t="str">
            <v>Vitaceae</v>
          </cell>
          <cell r="P27" t="str">
            <v xml:space="preserve">Cissus </v>
          </cell>
          <cell r="Q27" t="str">
            <v>trifoliata</v>
          </cell>
          <cell r="R27" t="str">
            <v>Cissus  trifoliata</v>
          </cell>
        </row>
        <row r="28">
          <cell r="J28">
            <v>28</v>
          </cell>
          <cell r="K28" t="str">
            <v>Sp. Trifol</v>
          </cell>
          <cell r="L28" t="str">
            <v>Cissus_trifol</v>
          </cell>
          <cell r="N28" t="str">
            <v>Berthil (Cissus)</v>
          </cell>
          <cell r="O28" t="str">
            <v>Vitaceae</v>
          </cell>
          <cell r="P28" t="str">
            <v xml:space="preserve">Cissus </v>
          </cell>
          <cell r="Q28" t="str">
            <v>trifoliata</v>
          </cell>
          <cell r="R28" t="str">
            <v>Cissus  trifoliata</v>
          </cell>
        </row>
        <row r="29">
          <cell r="J29">
            <v>29</v>
          </cell>
          <cell r="K29" t="str">
            <v>Berberis</v>
          </cell>
          <cell r="L29" t="str">
            <v>Bougainvillea</v>
          </cell>
          <cell r="M29"/>
          <cell r="N29" t="str">
            <v>Berhtil (Bougainvillea)</v>
          </cell>
          <cell r="O29" t="str">
            <v>Nyctaginaceae</v>
          </cell>
          <cell r="P29" t="str">
            <v>Bougainvillea</v>
          </cell>
          <cell r="Q29" t="str">
            <v>peruviana</v>
          </cell>
          <cell r="R29" t="str">
            <v>Bougainvillea peruviana</v>
          </cell>
        </row>
        <row r="30">
          <cell r="J30">
            <v>30</v>
          </cell>
          <cell r="K30" t="str">
            <v>Berberis</v>
          </cell>
          <cell r="L30" t="str">
            <v>Bougainvillea</v>
          </cell>
          <cell r="O30" t="str">
            <v>Nyctaginaceae</v>
          </cell>
          <cell r="P30" t="str">
            <v>Bougainvillea</v>
          </cell>
          <cell r="Q30" t="str">
            <v>peruviana</v>
          </cell>
          <cell r="R30" t="str">
            <v>Bougainvillea peruviana</v>
          </cell>
        </row>
        <row r="31">
          <cell r="J31">
            <v>31</v>
          </cell>
          <cell r="K31" t="str">
            <v>Cucurbi</v>
          </cell>
          <cell r="L31" t="str">
            <v>Dioscorea</v>
          </cell>
          <cell r="M31" t="str">
            <v xml:space="preserve"> =107</v>
          </cell>
          <cell r="O31" t="str">
            <v>Dioscoreaceae</v>
          </cell>
          <cell r="P31" t="str">
            <v>Pseudosicydium</v>
          </cell>
          <cell r="Q31" t="str">
            <v>cf. acaranthum</v>
          </cell>
          <cell r="R31" t="str">
            <v>Pseudosicydium cf. acaranthum</v>
          </cell>
        </row>
        <row r="32">
          <cell r="J32">
            <v>32</v>
          </cell>
          <cell r="K32" t="str">
            <v>Berberis</v>
          </cell>
          <cell r="L32" t="str">
            <v>Bougainvillea</v>
          </cell>
          <cell r="O32" t="str">
            <v>Nyctaginaceae</v>
          </cell>
          <cell r="P32" t="str">
            <v>Bougainvillea</v>
          </cell>
          <cell r="Q32" t="str">
            <v>peruviana</v>
          </cell>
          <cell r="R32" t="str">
            <v>Bougainvillea peruviana</v>
          </cell>
        </row>
        <row r="33">
          <cell r="J33">
            <v>33</v>
          </cell>
          <cell r="K33" t="str">
            <v>Berberis</v>
          </cell>
          <cell r="L33" t="str">
            <v>Bougainvillea</v>
          </cell>
          <cell r="O33" t="str">
            <v>Nyctaginaceae</v>
          </cell>
          <cell r="P33" t="str">
            <v>Bougainvillea</v>
          </cell>
          <cell r="Q33" t="str">
            <v>peruviana</v>
          </cell>
          <cell r="R33" t="str">
            <v>Bougainvillea peruviana</v>
          </cell>
        </row>
        <row r="34">
          <cell r="J34">
            <v>34</v>
          </cell>
          <cell r="K34" t="str">
            <v>Sp. Trifol</v>
          </cell>
          <cell r="L34" t="str">
            <v>Cissus_trifol</v>
          </cell>
          <cell r="O34" t="str">
            <v>Vitaceae</v>
          </cell>
          <cell r="P34" t="str">
            <v xml:space="preserve">Cissus </v>
          </cell>
          <cell r="Q34" t="str">
            <v>trifoliata</v>
          </cell>
          <cell r="R34" t="str">
            <v>Cissus  trifoliata</v>
          </cell>
        </row>
        <row r="35">
          <cell r="J35">
            <v>35</v>
          </cell>
          <cell r="K35" t="str">
            <v>Sp. Trifol</v>
          </cell>
          <cell r="L35" t="str">
            <v>Cissus_trifol</v>
          </cell>
          <cell r="O35" t="str">
            <v>Vitaceae</v>
          </cell>
          <cell r="P35" t="str">
            <v xml:space="preserve">Cissus </v>
          </cell>
          <cell r="Q35" t="str">
            <v>trifoliata</v>
          </cell>
          <cell r="R35" t="str">
            <v>Cissus  trifoliata</v>
          </cell>
        </row>
        <row r="36">
          <cell r="J36">
            <v>36</v>
          </cell>
          <cell r="K36" t="str">
            <v>Cucurbita</v>
          </cell>
          <cell r="L36" t="str">
            <v>Dioscorea</v>
          </cell>
          <cell r="N36" t="str">
            <v>check indet. Jurgen en campo dijo que es una dioscore</v>
          </cell>
          <cell r="O36" t="str">
            <v>Dioscoreaceae</v>
          </cell>
          <cell r="P36" t="str">
            <v>Pseudosicydium</v>
          </cell>
          <cell r="Q36" t="str">
            <v>cf. acaranthum</v>
          </cell>
          <cell r="R36" t="str">
            <v>Pseudosicydium cf. acaranthum</v>
          </cell>
        </row>
        <row r="37">
          <cell r="J37">
            <v>37</v>
          </cell>
          <cell r="K37" t="str">
            <v>Cucurbita</v>
          </cell>
          <cell r="L37" t="str">
            <v>Dioscorea</v>
          </cell>
          <cell r="N37" t="str">
            <v>Pseudosicydium cf. acaranthum</v>
          </cell>
          <cell r="O37" t="str">
            <v>Dioscoreaceae</v>
          </cell>
          <cell r="P37" t="str">
            <v>Pseudosicydium</v>
          </cell>
          <cell r="Q37" t="str">
            <v>cf. acaranthum</v>
          </cell>
          <cell r="R37" t="str">
            <v>Pseudosicydium cf. acaranthum</v>
          </cell>
        </row>
        <row r="38">
          <cell r="J38">
            <v>38</v>
          </cell>
          <cell r="K38" t="str">
            <v>Berberis</v>
          </cell>
          <cell r="L38" t="str">
            <v>Bougainvillea</v>
          </cell>
          <cell r="O38" t="str">
            <v>Nyctaginaceae</v>
          </cell>
          <cell r="P38" t="str">
            <v>Bougainvillea</v>
          </cell>
          <cell r="Q38" t="str">
            <v>peruviana</v>
          </cell>
          <cell r="R38" t="str">
            <v>Bougainvillea peruviana</v>
          </cell>
        </row>
        <row r="39">
          <cell r="J39">
            <v>39</v>
          </cell>
          <cell r="K39" t="str">
            <v>cucurbitace</v>
          </cell>
          <cell r="L39" t="str">
            <v>Dioscorea</v>
          </cell>
          <cell r="O39" t="str">
            <v>Dioscoreaceae</v>
          </cell>
          <cell r="P39" t="str">
            <v>Pseudosicydium</v>
          </cell>
          <cell r="Q39" t="str">
            <v>cf. acaranthum</v>
          </cell>
          <cell r="R39" t="str">
            <v>Pseudosicydium cf. acaranthum</v>
          </cell>
        </row>
        <row r="40">
          <cell r="J40">
            <v>40</v>
          </cell>
          <cell r="K40" t="str">
            <v>Apocyna</v>
          </cell>
          <cell r="L40" t="str">
            <v>Ipomoea</v>
          </cell>
          <cell r="O40" t="str">
            <v>Convolvulaceae</v>
          </cell>
          <cell r="P40" t="str">
            <v>Ipomoea</v>
          </cell>
          <cell r="Q40" t="str">
            <v>abutiloides</v>
          </cell>
          <cell r="R40" t="str">
            <v>Ipomoea abutiloides</v>
          </cell>
        </row>
        <row r="41">
          <cell r="J41">
            <v>41</v>
          </cell>
          <cell r="K41" t="str">
            <v>Cucur</v>
          </cell>
          <cell r="L41" t="str">
            <v>Dioscorea</v>
          </cell>
          <cell r="O41" t="str">
            <v>Dioscoreaceae</v>
          </cell>
          <cell r="P41" t="str">
            <v>Pseudosicydium</v>
          </cell>
          <cell r="Q41" t="str">
            <v>cf. acaranthum</v>
          </cell>
          <cell r="R41" t="str">
            <v>Pseudosicydium cf. acaranthum</v>
          </cell>
        </row>
        <row r="42">
          <cell r="J42">
            <v>42</v>
          </cell>
          <cell r="K42" t="str">
            <v>apo</v>
          </cell>
          <cell r="L42" t="str">
            <v>Ipomoea</v>
          </cell>
          <cell r="O42" t="str">
            <v>Convolvulaceae</v>
          </cell>
          <cell r="P42" t="str">
            <v>Ipomoea</v>
          </cell>
          <cell r="Q42" t="str">
            <v>abutiloides</v>
          </cell>
          <cell r="R42" t="str">
            <v>Ipomoea abutiloides</v>
          </cell>
        </row>
        <row r="43">
          <cell r="J43">
            <v>43</v>
          </cell>
          <cell r="K43" t="str">
            <v>cucur</v>
          </cell>
          <cell r="L43" t="str">
            <v>Dioscorea</v>
          </cell>
          <cell r="O43" t="str">
            <v>Dioscoreaceae</v>
          </cell>
          <cell r="P43" t="str">
            <v>Pseudosicydium</v>
          </cell>
          <cell r="Q43" t="str">
            <v>cf. acaranthum</v>
          </cell>
          <cell r="R43" t="str">
            <v>Pseudosicydium cf. acaranthum</v>
          </cell>
        </row>
        <row r="44">
          <cell r="J44">
            <v>44</v>
          </cell>
          <cell r="K44" t="str">
            <v>cucurbita</v>
          </cell>
          <cell r="L44" t="str">
            <v>Dioscorea</v>
          </cell>
          <cell r="O44" t="str">
            <v>Dioscoreaceae</v>
          </cell>
          <cell r="P44" t="str">
            <v>Pseudosicydium</v>
          </cell>
          <cell r="Q44" t="str">
            <v>cf. acaranthum</v>
          </cell>
          <cell r="R44" t="str">
            <v>Pseudosicydium cf. acaranthum</v>
          </cell>
        </row>
        <row r="45">
          <cell r="J45">
            <v>45</v>
          </cell>
          <cell r="K45" t="str">
            <v>Berberis</v>
          </cell>
          <cell r="L45" t="str">
            <v>Bougainvillea</v>
          </cell>
          <cell r="O45" t="str">
            <v>Nyctaginaceae</v>
          </cell>
          <cell r="P45" t="str">
            <v>Bougainvillea</v>
          </cell>
          <cell r="Q45" t="str">
            <v>peruviana</v>
          </cell>
          <cell r="R45" t="str">
            <v>Bougainvillea peruviana</v>
          </cell>
        </row>
        <row r="46">
          <cell r="J46">
            <v>46</v>
          </cell>
          <cell r="K46" t="str">
            <v>Sp. Trifol</v>
          </cell>
          <cell r="L46" t="str">
            <v>Cissus_trifol</v>
          </cell>
          <cell r="O46" t="str">
            <v>Vitaceae</v>
          </cell>
          <cell r="P46" t="str">
            <v xml:space="preserve">Cissus </v>
          </cell>
          <cell r="Q46" t="str">
            <v>trifoliata</v>
          </cell>
          <cell r="R46" t="str">
            <v>Cissus  trifoliata</v>
          </cell>
        </row>
        <row r="47">
          <cell r="J47">
            <v>47</v>
          </cell>
          <cell r="K47" t="str">
            <v>Fab</v>
          </cell>
          <cell r="L47" t="str">
            <v>Piptadenia_sp_tallo_redondo_LB</v>
          </cell>
          <cell r="O47" t="str">
            <v>Fabaceae</v>
          </cell>
          <cell r="R47" t="str">
            <v xml:space="preserve"> </v>
          </cell>
        </row>
        <row r="48">
          <cell r="J48">
            <v>48</v>
          </cell>
          <cell r="K48" t="str">
            <v>Fab</v>
          </cell>
          <cell r="L48" t="str">
            <v>Piptadenia_sp_tallo_redondo_LB</v>
          </cell>
          <cell r="O48" t="str">
            <v>Fabaceae</v>
          </cell>
          <cell r="R48" t="str">
            <v xml:space="preserve"> </v>
          </cell>
        </row>
        <row r="49">
          <cell r="J49">
            <v>49</v>
          </cell>
          <cell r="K49" t="str">
            <v>cucur</v>
          </cell>
          <cell r="L49" t="str">
            <v>Dioscorea</v>
          </cell>
          <cell r="M49" t="str">
            <v xml:space="preserve"> =107</v>
          </cell>
          <cell r="O49" t="str">
            <v>Dioscoreaceae</v>
          </cell>
          <cell r="P49" t="str">
            <v>Pseudosicydium</v>
          </cell>
          <cell r="Q49" t="str">
            <v>cf. acaranthum</v>
          </cell>
          <cell r="R49" t="str">
            <v>Pseudosicydium cf. acaranthum</v>
          </cell>
        </row>
        <row r="50">
          <cell r="J50">
            <v>50</v>
          </cell>
          <cell r="K50" t="str">
            <v>apo</v>
          </cell>
          <cell r="L50" t="str">
            <v>Ipomoea</v>
          </cell>
          <cell r="O50" t="str">
            <v>Convolvulaceae</v>
          </cell>
          <cell r="P50" t="str">
            <v>Ipomoea</v>
          </cell>
          <cell r="Q50" t="str">
            <v>abutiloides</v>
          </cell>
          <cell r="R50" t="str">
            <v>Ipomoea abutiloides</v>
          </cell>
        </row>
        <row r="51">
          <cell r="J51">
            <v>51</v>
          </cell>
          <cell r="K51" t="str">
            <v>apocy</v>
          </cell>
          <cell r="L51" t="str">
            <v>Ipomoea</v>
          </cell>
          <cell r="O51" t="str">
            <v>Convolvulaceae</v>
          </cell>
          <cell r="P51" t="str">
            <v>Ipomoea</v>
          </cell>
          <cell r="Q51" t="str">
            <v>abutiloides</v>
          </cell>
          <cell r="R51" t="str">
            <v>Ipomoea abutiloides</v>
          </cell>
        </row>
        <row r="52">
          <cell r="J52">
            <v>52</v>
          </cell>
          <cell r="K52" t="str">
            <v>Fab</v>
          </cell>
          <cell r="L52" t="str">
            <v>Piptadenia_sp_tallo_redondo_LB</v>
          </cell>
          <cell r="O52" t="str">
            <v>Fabaceae</v>
          </cell>
          <cell r="R52" t="str">
            <v xml:space="preserve"> </v>
          </cell>
        </row>
        <row r="53">
          <cell r="J53">
            <v>53</v>
          </cell>
          <cell r="K53" t="str">
            <v>apo</v>
          </cell>
          <cell r="L53" t="str">
            <v>Ipomoea</v>
          </cell>
          <cell r="O53" t="str">
            <v>Convolvulaceae</v>
          </cell>
          <cell r="P53" t="str">
            <v>Ipomoea</v>
          </cell>
          <cell r="Q53" t="str">
            <v>abutiloides</v>
          </cell>
          <cell r="R53" t="str">
            <v>Ipomoea abutiloides</v>
          </cell>
        </row>
        <row r="54">
          <cell r="J54">
            <v>54</v>
          </cell>
          <cell r="K54" t="str">
            <v>apo</v>
          </cell>
          <cell r="L54" t="str">
            <v>Ipomoea</v>
          </cell>
          <cell r="O54" t="str">
            <v>Convolvulaceae</v>
          </cell>
          <cell r="P54" t="str">
            <v>Ipomoea</v>
          </cell>
          <cell r="Q54" t="str">
            <v>abutiloides</v>
          </cell>
          <cell r="R54" t="str">
            <v>Ipomoea abutiloides</v>
          </cell>
        </row>
        <row r="55">
          <cell r="J55">
            <v>55</v>
          </cell>
          <cell r="K55" t="str">
            <v>apo</v>
          </cell>
          <cell r="L55" t="str">
            <v>Ipomoea</v>
          </cell>
          <cell r="O55" t="str">
            <v>Convolvulaceae</v>
          </cell>
          <cell r="P55" t="str">
            <v>Ipomoea</v>
          </cell>
          <cell r="Q55" t="str">
            <v>abutiloides</v>
          </cell>
          <cell r="R55" t="str">
            <v>Ipomoea abutiloides</v>
          </cell>
        </row>
        <row r="56">
          <cell r="J56">
            <v>56</v>
          </cell>
          <cell r="K56" t="str">
            <v>apocy</v>
          </cell>
          <cell r="L56" t="str">
            <v>Ipomoea</v>
          </cell>
          <cell r="O56" t="str">
            <v>Convolvulaceae</v>
          </cell>
          <cell r="P56" t="str">
            <v>Ipomoea</v>
          </cell>
          <cell r="Q56" t="str">
            <v>abutiloides</v>
          </cell>
          <cell r="R56" t="str">
            <v>Ipomoea abutiloides</v>
          </cell>
        </row>
        <row r="57">
          <cell r="J57">
            <v>57</v>
          </cell>
          <cell r="K57" t="str">
            <v>cucurbita</v>
          </cell>
          <cell r="L57" t="str">
            <v>Dioscorea</v>
          </cell>
          <cell r="O57" t="str">
            <v>Dioscoreaceae</v>
          </cell>
          <cell r="P57" t="str">
            <v>Pseudosicydium</v>
          </cell>
          <cell r="Q57" t="str">
            <v>cf. acaranthum</v>
          </cell>
          <cell r="R57" t="str">
            <v>Pseudosicydium cf. acaranthum</v>
          </cell>
        </row>
        <row r="58">
          <cell r="J58">
            <v>58</v>
          </cell>
          <cell r="K58" t="str">
            <v>cucur</v>
          </cell>
          <cell r="L58" t="str">
            <v>Dioscorea</v>
          </cell>
          <cell r="O58" t="str">
            <v>Dioscoreaceae</v>
          </cell>
          <cell r="P58" t="str">
            <v>Pseudosicydium</v>
          </cell>
          <cell r="Q58" t="str">
            <v>cf. acaranthum</v>
          </cell>
          <cell r="R58" t="str">
            <v>Pseudosicydium cf. acaranthum</v>
          </cell>
        </row>
        <row r="59">
          <cell r="J59">
            <v>59</v>
          </cell>
          <cell r="K59" t="str">
            <v>apo</v>
          </cell>
          <cell r="L59" t="str">
            <v>Ipomoea</v>
          </cell>
          <cell r="O59" t="str">
            <v>Convolvulaceae</v>
          </cell>
          <cell r="P59" t="str">
            <v>Ipomoea</v>
          </cell>
          <cell r="Q59" t="str">
            <v>abutiloides</v>
          </cell>
          <cell r="R59" t="str">
            <v>Ipomoea abutiloides</v>
          </cell>
        </row>
        <row r="60">
          <cell r="J60">
            <v>60</v>
          </cell>
          <cell r="K60" t="str">
            <v>fab</v>
          </cell>
          <cell r="L60" t="str">
            <v>Piptadenia_sp_tallo_redondo_LB</v>
          </cell>
          <cell r="O60" t="str">
            <v>Fabaceae</v>
          </cell>
          <cell r="R60" t="str">
            <v xml:space="preserve"> </v>
          </cell>
        </row>
        <row r="61">
          <cell r="J61">
            <v>61</v>
          </cell>
          <cell r="K61" t="str">
            <v>fab</v>
          </cell>
          <cell r="L61" t="str">
            <v>Piptadenia_sp_tallo_redondo_LB</v>
          </cell>
          <cell r="N61" t="str">
            <v>Berthil (piptademia)</v>
          </cell>
          <cell r="O61" t="str">
            <v>Fabaceae</v>
          </cell>
          <cell r="P61" t="str">
            <v>Piptadenia</v>
          </cell>
          <cell r="R61" t="str">
            <v xml:space="preserve">Piptadenia </v>
          </cell>
        </row>
        <row r="62">
          <cell r="J62">
            <v>62</v>
          </cell>
          <cell r="K62" t="str">
            <v>Apo</v>
          </cell>
          <cell r="L62" t="str">
            <v>Ipomoea</v>
          </cell>
          <cell r="O62" t="str">
            <v>Convolvulaceae</v>
          </cell>
          <cell r="P62" t="str">
            <v>Ipomoea</v>
          </cell>
          <cell r="Q62" t="str">
            <v>abutiloides</v>
          </cell>
          <cell r="R62" t="str">
            <v>Ipomoea abutiloides</v>
          </cell>
        </row>
        <row r="63">
          <cell r="J63">
            <v>63</v>
          </cell>
          <cell r="K63" t="str">
            <v>cucurbita</v>
          </cell>
          <cell r="L63" t="str">
            <v>Dioscorea</v>
          </cell>
          <cell r="O63" t="str">
            <v>Dioscoreaceae</v>
          </cell>
          <cell r="P63" t="str">
            <v>Pseudosicydium</v>
          </cell>
          <cell r="Q63" t="str">
            <v>cf. acaranthum</v>
          </cell>
          <cell r="R63" t="str">
            <v>Pseudosicydium cf. acaranthum</v>
          </cell>
        </row>
        <row r="64">
          <cell r="J64">
            <v>64</v>
          </cell>
          <cell r="K64" t="str">
            <v>cucurbita</v>
          </cell>
          <cell r="L64" t="str">
            <v>Dioscorea</v>
          </cell>
          <cell r="O64" t="str">
            <v>Dioscoreaceae</v>
          </cell>
          <cell r="P64" t="str">
            <v>Pseudosicydium</v>
          </cell>
          <cell r="Q64" t="str">
            <v>cf. acaranthum</v>
          </cell>
          <cell r="R64" t="str">
            <v>Pseudosicydium cf. acaranthum</v>
          </cell>
        </row>
        <row r="65">
          <cell r="J65">
            <v>65</v>
          </cell>
          <cell r="K65" t="str">
            <v>apocy</v>
          </cell>
          <cell r="L65" t="str">
            <v>Ipomoea</v>
          </cell>
          <cell r="O65" t="str">
            <v>Convolvulaceae</v>
          </cell>
          <cell r="P65" t="str">
            <v>Ipomoea</v>
          </cell>
          <cell r="Q65" t="str">
            <v>abutiloides</v>
          </cell>
          <cell r="R65" t="str">
            <v>Ipomoea abutiloides</v>
          </cell>
        </row>
        <row r="66">
          <cell r="J66">
            <v>66</v>
          </cell>
          <cell r="K66" t="str">
            <v>cucurbita</v>
          </cell>
          <cell r="L66" t="str">
            <v>Dioscorea</v>
          </cell>
          <cell r="O66" t="str">
            <v>Dioscoreaceae</v>
          </cell>
          <cell r="P66" t="str">
            <v>Pseudosicydium</v>
          </cell>
          <cell r="Q66" t="str">
            <v>cf. acaranthum</v>
          </cell>
          <cell r="R66" t="str">
            <v>Pseudosicydium cf. acaranthum</v>
          </cell>
        </row>
        <row r="67">
          <cell r="J67">
            <v>67</v>
          </cell>
          <cell r="K67" t="str">
            <v>apocyna</v>
          </cell>
          <cell r="L67" t="str">
            <v>Ipomoea</v>
          </cell>
          <cell r="O67" t="str">
            <v>Convolvulaceae</v>
          </cell>
          <cell r="P67" t="str">
            <v>Ipomoea</v>
          </cell>
          <cell r="Q67" t="str">
            <v>abutiloides</v>
          </cell>
          <cell r="R67" t="str">
            <v>Ipomoea abutiloides</v>
          </cell>
        </row>
        <row r="68">
          <cell r="J68">
            <v>68</v>
          </cell>
          <cell r="K68" t="str">
            <v>Sp. Trifol</v>
          </cell>
          <cell r="L68" t="str">
            <v>Cissus_trifol</v>
          </cell>
          <cell r="O68" t="str">
            <v>Vitaceae</v>
          </cell>
          <cell r="P68" t="str">
            <v xml:space="preserve">Cissus </v>
          </cell>
          <cell r="Q68" t="str">
            <v>trifoliata</v>
          </cell>
          <cell r="R68" t="str">
            <v>Cissus  trifoliata</v>
          </cell>
        </row>
        <row r="69">
          <cell r="J69">
            <v>69</v>
          </cell>
          <cell r="K69" t="str">
            <v>trifoliada sp. ?</v>
          </cell>
          <cell r="L69" t="str">
            <v>Cissus_trifol</v>
          </cell>
          <cell r="M69" t="str">
            <v xml:space="preserve"> =118</v>
          </cell>
          <cell r="O69" t="str">
            <v>Vitaceae</v>
          </cell>
          <cell r="P69" t="str">
            <v xml:space="preserve">Cissus </v>
          </cell>
          <cell r="Q69" t="str">
            <v>trifoliata</v>
          </cell>
          <cell r="R69" t="str">
            <v>Cissus  trifoliata</v>
          </cell>
        </row>
        <row r="70">
          <cell r="J70">
            <v>70</v>
          </cell>
          <cell r="K70" t="str">
            <v>apocinaceae</v>
          </cell>
          <cell r="L70" t="str">
            <v>Ipomoea</v>
          </cell>
          <cell r="O70" t="str">
            <v>Convolvulaceae</v>
          </cell>
          <cell r="P70" t="str">
            <v>Ipomoea</v>
          </cell>
          <cell r="Q70" t="str">
            <v>abutiloides</v>
          </cell>
          <cell r="R70" t="str">
            <v>Ipomoea abutiloides</v>
          </cell>
        </row>
        <row r="71">
          <cell r="J71">
            <v>71</v>
          </cell>
          <cell r="K71" t="str">
            <v>apocinaceae</v>
          </cell>
          <cell r="L71" t="str">
            <v>Ipomoea</v>
          </cell>
          <cell r="O71" t="str">
            <v>Convolvulaceae</v>
          </cell>
          <cell r="P71" t="str">
            <v>Ipomoea</v>
          </cell>
          <cell r="Q71" t="str">
            <v>abutiloides</v>
          </cell>
          <cell r="R71" t="str">
            <v>Ipomoea abutiloides</v>
          </cell>
        </row>
        <row r="72">
          <cell r="J72">
            <v>72</v>
          </cell>
          <cell r="K72" t="str">
            <v>apo</v>
          </cell>
          <cell r="L72" t="str">
            <v>Ipomoea</v>
          </cell>
          <cell r="O72" t="str">
            <v>Convolvulaceae</v>
          </cell>
          <cell r="P72" t="str">
            <v>Ipomoea</v>
          </cell>
          <cell r="Q72" t="str">
            <v>abutiloides</v>
          </cell>
          <cell r="R72" t="str">
            <v>Ipomoea abutiloides</v>
          </cell>
        </row>
        <row r="73">
          <cell r="J73">
            <v>73</v>
          </cell>
          <cell r="K73" t="str">
            <v>trifol</v>
          </cell>
          <cell r="L73" t="str">
            <v>Cissus_trifol</v>
          </cell>
          <cell r="M73" t="str">
            <v xml:space="preserve"> =118</v>
          </cell>
          <cell r="O73" t="str">
            <v>Vitaceae</v>
          </cell>
          <cell r="P73" t="str">
            <v xml:space="preserve">Cissus </v>
          </cell>
          <cell r="Q73" t="str">
            <v>trifoliata</v>
          </cell>
          <cell r="R73" t="str">
            <v>Cissus  trifoliata</v>
          </cell>
        </row>
        <row r="74">
          <cell r="J74">
            <v>74</v>
          </cell>
          <cell r="K74" t="str">
            <v>trifol</v>
          </cell>
          <cell r="L74" t="str">
            <v>Ipomoea</v>
          </cell>
          <cell r="O74" t="str">
            <v>Convolvulaceae</v>
          </cell>
          <cell r="P74" t="str">
            <v>Ipomoea</v>
          </cell>
          <cell r="Q74" t="str">
            <v>abutiloides</v>
          </cell>
          <cell r="R74" t="str">
            <v>Ipomoea abutiloides</v>
          </cell>
        </row>
        <row r="75">
          <cell r="J75">
            <v>75</v>
          </cell>
          <cell r="K75" t="str">
            <v>apocy</v>
          </cell>
          <cell r="L75" t="str">
            <v>Ipomoea</v>
          </cell>
          <cell r="M75" t="str">
            <v xml:space="preserve"> =106</v>
          </cell>
          <cell r="O75" t="str">
            <v>Convolvulaceae</v>
          </cell>
          <cell r="P75" t="str">
            <v>Ipomoea</v>
          </cell>
          <cell r="Q75" t="str">
            <v>abutiloides</v>
          </cell>
          <cell r="R75" t="str">
            <v>Ipomoea abutiloides</v>
          </cell>
        </row>
        <row r="76">
          <cell r="J76">
            <v>76</v>
          </cell>
          <cell r="K76" t="str">
            <v>cucurb</v>
          </cell>
          <cell r="L76" t="str">
            <v>Dioscorea</v>
          </cell>
          <cell r="O76" t="str">
            <v>Dioscoreaceae</v>
          </cell>
          <cell r="P76" t="str">
            <v>Pseudosicydium</v>
          </cell>
          <cell r="Q76" t="str">
            <v>cf. acaranthum</v>
          </cell>
          <cell r="R76" t="str">
            <v>Pseudosicydium cf. acaranthum</v>
          </cell>
        </row>
        <row r="77">
          <cell r="J77">
            <v>77</v>
          </cell>
          <cell r="K77" t="str">
            <v>apo 1</v>
          </cell>
          <cell r="L77" t="str">
            <v>apocyna_100</v>
          </cell>
          <cell r="M77" t="str">
            <v xml:space="preserve"> =77</v>
          </cell>
          <cell r="N77" t="str">
            <v>Berthil (Apocynaceae, Prestonia)</v>
          </cell>
          <cell r="O77" t="str">
            <v>Apocynaceae</v>
          </cell>
          <cell r="P77" t="str">
            <v>Prestonia</v>
          </cell>
          <cell r="Q77" t="str">
            <v>cf. rotundifolia</v>
          </cell>
          <cell r="R77" t="str">
            <v>Prestonia cf. rotundifolia</v>
          </cell>
        </row>
        <row r="78">
          <cell r="J78">
            <v>78</v>
          </cell>
          <cell r="K78" t="str">
            <v>apocy 1</v>
          </cell>
          <cell r="L78" t="str">
            <v>apocyna_100</v>
          </cell>
          <cell r="M78" t="str">
            <v xml:space="preserve"> =77</v>
          </cell>
          <cell r="O78" t="str">
            <v>Apocynaceae</v>
          </cell>
          <cell r="P78" t="str">
            <v>Prestonia</v>
          </cell>
          <cell r="Q78" t="str">
            <v>cf. rotundifolia</v>
          </cell>
          <cell r="R78" t="str">
            <v>Prestonia cf. rotundifolia</v>
          </cell>
        </row>
        <row r="79">
          <cell r="J79">
            <v>79</v>
          </cell>
          <cell r="K79" t="str">
            <v>trifol</v>
          </cell>
          <cell r="L79" t="str">
            <v>Cissus_trifol</v>
          </cell>
          <cell r="O79" t="str">
            <v>Vitaceae</v>
          </cell>
          <cell r="P79" t="str">
            <v xml:space="preserve">Cissus </v>
          </cell>
          <cell r="Q79" t="str">
            <v>trifoliata</v>
          </cell>
          <cell r="R79" t="str">
            <v>Cissus  trifoliata</v>
          </cell>
        </row>
        <row r="80">
          <cell r="J80">
            <v>80</v>
          </cell>
          <cell r="K80" t="str">
            <v>Berberis</v>
          </cell>
          <cell r="L80" t="str">
            <v>Bougainvillea</v>
          </cell>
          <cell r="O80" t="str">
            <v>Nyctaginaceae</v>
          </cell>
          <cell r="P80" t="str">
            <v>Bougainvillea</v>
          </cell>
          <cell r="Q80" t="str">
            <v>peruviana</v>
          </cell>
          <cell r="R80" t="str">
            <v>Bougainvillea peruviana</v>
          </cell>
        </row>
        <row r="81">
          <cell r="J81">
            <v>81</v>
          </cell>
          <cell r="K81" t="str">
            <v>Berberis</v>
          </cell>
          <cell r="L81" t="str">
            <v>Bougainvillea</v>
          </cell>
          <cell r="O81" t="str">
            <v>Nyctaginaceae</v>
          </cell>
          <cell r="P81" t="str">
            <v>Bougainvillea</v>
          </cell>
          <cell r="Q81" t="str">
            <v>peruviana</v>
          </cell>
          <cell r="R81" t="str">
            <v>Bougainvillea peruviana</v>
          </cell>
        </row>
        <row r="82">
          <cell r="J82">
            <v>82</v>
          </cell>
          <cell r="K82" t="str">
            <v>Berberis</v>
          </cell>
          <cell r="L82" t="str">
            <v>Bougainvillea</v>
          </cell>
          <cell r="O82" t="str">
            <v>Nyctaginaceae</v>
          </cell>
          <cell r="P82" t="str">
            <v>Bougainvillea</v>
          </cell>
          <cell r="Q82" t="str">
            <v>peruviana</v>
          </cell>
          <cell r="R82" t="str">
            <v>Bougainvillea peruviana</v>
          </cell>
        </row>
        <row r="83">
          <cell r="J83">
            <v>83</v>
          </cell>
          <cell r="K83" t="str">
            <v>Apocynacea corazon</v>
          </cell>
          <cell r="L83" t="str">
            <v>Ipomoea</v>
          </cell>
          <cell r="M83" t="str">
            <v xml:space="preserve"> =70</v>
          </cell>
          <cell r="O83" t="str">
            <v>Convolvulaceae</v>
          </cell>
          <cell r="P83" t="str">
            <v>Ipomoea</v>
          </cell>
          <cell r="Q83" t="str">
            <v>abutiloides</v>
          </cell>
          <cell r="R83" t="str">
            <v>Ipomoea abutiloides</v>
          </cell>
        </row>
        <row r="84">
          <cell r="J84">
            <v>84</v>
          </cell>
          <cell r="K84" t="str">
            <v>Apocynacea corazon</v>
          </cell>
          <cell r="L84" t="str">
            <v>Ipomoea</v>
          </cell>
          <cell r="M84" t="str">
            <v xml:space="preserve"> =70, =106</v>
          </cell>
          <cell r="O84" t="str">
            <v>Convolvulaceae</v>
          </cell>
          <cell r="P84" t="str">
            <v>Ipomoea</v>
          </cell>
          <cell r="Q84" t="str">
            <v>abutiloides</v>
          </cell>
          <cell r="R84" t="str">
            <v>Ipomoea abutiloides</v>
          </cell>
        </row>
        <row r="85">
          <cell r="J85">
            <v>85</v>
          </cell>
          <cell r="K85" t="str">
            <v>Apocynacea corazon</v>
          </cell>
          <cell r="L85" t="str">
            <v>Ipomoea</v>
          </cell>
          <cell r="M85" t="str">
            <v xml:space="preserve"> =70</v>
          </cell>
          <cell r="O85" t="str">
            <v>Convolvulaceae</v>
          </cell>
          <cell r="P85" t="str">
            <v>Ipomoea</v>
          </cell>
          <cell r="Q85" t="str">
            <v>abutiloides</v>
          </cell>
          <cell r="R85" t="str">
            <v>Ipomoea abutiloides</v>
          </cell>
        </row>
        <row r="86">
          <cell r="J86">
            <v>86</v>
          </cell>
          <cell r="K86" t="str">
            <v>Apocynacea corazon</v>
          </cell>
          <cell r="L86" t="str">
            <v>Ipomoea</v>
          </cell>
          <cell r="M86" t="str">
            <v xml:space="preserve"> =70</v>
          </cell>
          <cell r="O86" t="str">
            <v>Convolvulaceae</v>
          </cell>
          <cell r="P86" t="str">
            <v>Ipomoea</v>
          </cell>
          <cell r="Q86" t="str">
            <v>abutiloides</v>
          </cell>
          <cell r="R86" t="str">
            <v>Ipomoea abutiloides</v>
          </cell>
        </row>
        <row r="87">
          <cell r="J87">
            <v>87</v>
          </cell>
          <cell r="K87" t="str">
            <v>Apocynacea corazon</v>
          </cell>
          <cell r="L87" t="str">
            <v>Ipomoea</v>
          </cell>
          <cell r="M87" t="str">
            <v xml:space="preserve"> =70, =106</v>
          </cell>
          <cell r="O87" t="str">
            <v>Convolvulaceae</v>
          </cell>
          <cell r="P87" t="str">
            <v>Ipomoea</v>
          </cell>
          <cell r="Q87" t="str">
            <v>abutiloides</v>
          </cell>
          <cell r="R87" t="str">
            <v>Ipomoea abutiloides</v>
          </cell>
        </row>
        <row r="88">
          <cell r="J88">
            <v>88</v>
          </cell>
          <cell r="K88" t="str">
            <v>cucurbita</v>
          </cell>
          <cell r="L88" t="str">
            <v>Dioscorea</v>
          </cell>
          <cell r="O88" t="str">
            <v>Dioscoreaceae</v>
          </cell>
          <cell r="P88" t="str">
            <v>Pseudosicydium</v>
          </cell>
          <cell r="Q88" t="str">
            <v>cf. acaranthum</v>
          </cell>
          <cell r="R88" t="str">
            <v>Pseudosicydium cf. acaranthum</v>
          </cell>
        </row>
        <row r="89">
          <cell r="J89">
            <v>89</v>
          </cell>
          <cell r="K89" t="str">
            <v>cucurbita</v>
          </cell>
          <cell r="L89" t="str">
            <v>Dioscorea</v>
          </cell>
          <cell r="O89" t="str">
            <v>Dioscoreaceae</v>
          </cell>
          <cell r="P89" t="str">
            <v>Pseudosicydium</v>
          </cell>
          <cell r="Q89" t="str">
            <v>cf. acaranthum</v>
          </cell>
          <cell r="R89" t="str">
            <v>Pseudosicydium cf. acaranthum</v>
          </cell>
        </row>
        <row r="90">
          <cell r="J90">
            <v>90</v>
          </cell>
          <cell r="K90" t="str">
            <v>apocyna_tallo</v>
          </cell>
          <cell r="L90" t="str">
            <v>apocyna_tallo</v>
          </cell>
          <cell r="O90" t="str">
            <v>Apocynaceae</v>
          </cell>
          <cell r="R90" t="str">
            <v xml:space="preserve"> </v>
          </cell>
        </row>
        <row r="91">
          <cell r="J91">
            <v>91</v>
          </cell>
          <cell r="K91" t="str">
            <v>Berberis</v>
          </cell>
          <cell r="L91" t="str">
            <v>Bougainvillea</v>
          </cell>
          <cell r="O91" t="str">
            <v>Nyctaginaceae</v>
          </cell>
          <cell r="P91" t="str">
            <v>Bougainvillea</v>
          </cell>
          <cell r="Q91" t="str">
            <v>peruviana</v>
          </cell>
          <cell r="R91" t="str">
            <v>Bougainvillea peruviana</v>
          </cell>
        </row>
        <row r="92">
          <cell r="J92">
            <v>92</v>
          </cell>
          <cell r="K92" t="str">
            <v>Berberis</v>
          </cell>
          <cell r="L92" t="str">
            <v>Bougainvillea</v>
          </cell>
          <cell r="O92" t="str">
            <v>Nyctaginaceae</v>
          </cell>
          <cell r="P92" t="str">
            <v>Bougainvillea</v>
          </cell>
          <cell r="Q92" t="str">
            <v>peruviana</v>
          </cell>
          <cell r="R92" t="str">
            <v>Bougainvillea peruviana</v>
          </cell>
        </row>
        <row r="93">
          <cell r="J93">
            <v>93</v>
          </cell>
          <cell r="K93" t="str">
            <v>Berberis</v>
          </cell>
          <cell r="L93" t="str">
            <v>Bougainvillea</v>
          </cell>
          <cell r="O93" t="str">
            <v>Nyctaginaceae</v>
          </cell>
          <cell r="P93" t="str">
            <v>Bougainvillea</v>
          </cell>
          <cell r="Q93" t="str">
            <v>peruviana</v>
          </cell>
          <cell r="R93" t="str">
            <v>Bougainvillea peruviana</v>
          </cell>
        </row>
        <row r="94">
          <cell r="J94">
            <v>94</v>
          </cell>
          <cell r="K94" t="str">
            <v>apocyna</v>
          </cell>
          <cell r="L94" t="str">
            <v>Ipomoea</v>
          </cell>
          <cell r="O94" t="str">
            <v>Convolvulaceae</v>
          </cell>
          <cell r="P94" t="str">
            <v>Ipomoea</v>
          </cell>
          <cell r="Q94" t="str">
            <v>abutiloides</v>
          </cell>
          <cell r="R94" t="str">
            <v>Ipomoea abutiloides</v>
          </cell>
        </row>
        <row r="95">
          <cell r="J95">
            <v>95</v>
          </cell>
          <cell r="K95" t="str">
            <v>apocyna</v>
          </cell>
          <cell r="L95" t="str">
            <v>Ipomoea</v>
          </cell>
          <cell r="O95" t="str">
            <v>Convolvulaceae</v>
          </cell>
          <cell r="P95" t="str">
            <v>Ipomoea</v>
          </cell>
          <cell r="Q95" t="str">
            <v>abutiloides</v>
          </cell>
          <cell r="R95" t="str">
            <v>Ipomoea abutiloides</v>
          </cell>
        </row>
        <row r="96">
          <cell r="J96">
            <v>96</v>
          </cell>
          <cell r="K96" t="str">
            <v>apocyna</v>
          </cell>
          <cell r="L96" t="str">
            <v>Ipomoea</v>
          </cell>
          <cell r="O96" t="str">
            <v>Convolvulaceae</v>
          </cell>
          <cell r="P96" t="str">
            <v>Ipomoea</v>
          </cell>
          <cell r="Q96" t="str">
            <v>abutiloides</v>
          </cell>
          <cell r="R96" t="str">
            <v>Ipomoea abutiloides</v>
          </cell>
        </row>
        <row r="97">
          <cell r="J97">
            <v>97</v>
          </cell>
          <cell r="K97" t="str">
            <v>apocyna</v>
          </cell>
          <cell r="L97" t="str">
            <v>Ipomoea</v>
          </cell>
          <cell r="M97" t="str">
            <v xml:space="preserve"> =106</v>
          </cell>
          <cell r="O97" t="str">
            <v>Convolvulaceae</v>
          </cell>
          <cell r="P97" t="str">
            <v>Ipomoea</v>
          </cell>
          <cell r="Q97" t="str">
            <v>abutiloides</v>
          </cell>
          <cell r="R97" t="str">
            <v>Ipomoea abutiloides</v>
          </cell>
        </row>
        <row r="98">
          <cell r="J98">
            <v>98</v>
          </cell>
          <cell r="K98" t="str">
            <v>apocyna</v>
          </cell>
          <cell r="L98" t="str">
            <v>Ipomoea</v>
          </cell>
          <cell r="O98" t="str">
            <v>Convolvulaceae</v>
          </cell>
          <cell r="P98" t="str">
            <v>Ipomoea</v>
          </cell>
          <cell r="Q98" t="str">
            <v>abutiloides</v>
          </cell>
          <cell r="R98" t="str">
            <v>Ipomoea abutiloides</v>
          </cell>
        </row>
        <row r="99">
          <cell r="J99">
            <v>99</v>
          </cell>
          <cell r="K99" t="str">
            <v>apocyna</v>
          </cell>
          <cell r="L99" t="str">
            <v>Ipomoea</v>
          </cell>
          <cell r="O99" t="str">
            <v>Convolvulaceae</v>
          </cell>
          <cell r="P99" t="str">
            <v>Ipomoea</v>
          </cell>
          <cell r="Q99" t="str">
            <v>abutiloides</v>
          </cell>
          <cell r="R99" t="str">
            <v>Ipomoea abutiloides</v>
          </cell>
        </row>
        <row r="100">
          <cell r="J100">
            <v>100</v>
          </cell>
          <cell r="K100" t="str">
            <v>apocyna 1</v>
          </cell>
          <cell r="L100" t="str">
            <v>apocyna_102</v>
          </cell>
          <cell r="M100" t="str">
            <v xml:space="preserve"> =77</v>
          </cell>
          <cell r="O100" t="str">
            <v>Apocynaceae</v>
          </cell>
          <cell r="P100" t="str">
            <v>Prestonia</v>
          </cell>
          <cell r="Q100" t="str">
            <v>cf. rotundifolia</v>
          </cell>
          <cell r="R100" t="str">
            <v>Prestonia cf. rotundifolia</v>
          </cell>
        </row>
        <row r="101">
          <cell r="J101">
            <v>101</v>
          </cell>
          <cell r="K101" t="str">
            <v>apocyna 1</v>
          </cell>
          <cell r="L101" t="str">
            <v>apocyna_102</v>
          </cell>
          <cell r="M101" t="str">
            <v xml:space="preserve"> =77</v>
          </cell>
          <cell r="O101" t="str">
            <v>Apocynaceae</v>
          </cell>
          <cell r="P101" t="str">
            <v>Prestonia</v>
          </cell>
          <cell r="Q101" t="str">
            <v>cf. rotundifolia</v>
          </cell>
          <cell r="R101" t="str">
            <v>Prestonia cf. rotundifolia</v>
          </cell>
        </row>
        <row r="102">
          <cell r="J102">
            <v>102</v>
          </cell>
          <cell r="K102" t="str">
            <v>apocyna 1</v>
          </cell>
          <cell r="L102" t="str">
            <v>apocyna_102</v>
          </cell>
          <cell r="M102" t="str">
            <v xml:space="preserve"> =77</v>
          </cell>
          <cell r="O102" t="str">
            <v>Apocynaceae</v>
          </cell>
          <cell r="P102" t="str">
            <v>Prestonia</v>
          </cell>
          <cell r="Q102" t="str">
            <v>cf. rotundifolia</v>
          </cell>
          <cell r="R102" t="str">
            <v>Prestonia cf. rotundifolia</v>
          </cell>
        </row>
        <row r="103">
          <cell r="J103">
            <v>103</v>
          </cell>
          <cell r="K103" t="str">
            <v>apocyna 1</v>
          </cell>
          <cell r="L103" t="str">
            <v>apocyna_102</v>
          </cell>
          <cell r="M103" t="str">
            <v xml:space="preserve"> =77</v>
          </cell>
          <cell r="O103" t="str">
            <v>Apocynaceae</v>
          </cell>
          <cell r="P103" t="str">
            <v>Prestonia</v>
          </cell>
          <cell r="Q103" t="str">
            <v>cf. rotundifolia</v>
          </cell>
          <cell r="R103" t="str">
            <v>Prestonia cf. rotundifolia</v>
          </cell>
        </row>
        <row r="104">
          <cell r="J104">
            <v>104</v>
          </cell>
          <cell r="K104" t="str">
            <v>apocyna corazon</v>
          </cell>
          <cell r="L104" t="str">
            <v>Ipomoea</v>
          </cell>
          <cell r="M104" t="str">
            <v xml:space="preserve"> =70, =106</v>
          </cell>
          <cell r="O104" t="str">
            <v>Convolvulaceae</v>
          </cell>
          <cell r="P104" t="str">
            <v>Ipomoea</v>
          </cell>
          <cell r="Q104" t="str">
            <v>abutiloides</v>
          </cell>
          <cell r="R104" t="str">
            <v>Ipomoea abutiloides</v>
          </cell>
        </row>
        <row r="105">
          <cell r="J105">
            <v>105</v>
          </cell>
          <cell r="K105" t="str">
            <v>apocyna corazon</v>
          </cell>
          <cell r="L105" t="str">
            <v>Ipomoea</v>
          </cell>
          <cell r="M105" t="str">
            <v xml:space="preserve"> =70, =106</v>
          </cell>
          <cell r="O105" t="str">
            <v>Convolvulaceae</v>
          </cell>
          <cell r="P105" t="str">
            <v>Ipomoea</v>
          </cell>
          <cell r="Q105" t="str">
            <v>abutiloides</v>
          </cell>
          <cell r="R105" t="str">
            <v>Ipomoea abutiloides</v>
          </cell>
        </row>
        <row r="106">
          <cell r="J106">
            <v>106</v>
          </cell>
          <cell r="K106" t="str">
            <v>apocyna corazon</v>
          </cell>
          <cell r="L106" t="str">
            <v>Ipomoea</v>
          </cell>
          <cell r="M106" t="str">
            <v xml:space="preserve"> =70, =106</v>
          </cell>
          <cell r="O106" t="str">
            <v>Convolvulaceae</v>
          </cell>
          <cell r="P106" t="str">
            <v>Ipomoea</v>
          </cell>
          <cell r="Q106" t="str">
            <v>abutiloides</v>
          </cell>
          <cell r="R106" t="str">
            <v>Ipomoea abutiloides</v>
          </cell>
        </row>
        <row r="107">
          <cell r="J107">
            <v>107</v>
          </cell>
          <cell r="K107" t="str">
            <v>Cucurbita</v>
          </cell>
          <cell r="L107" t="str">
            <v>Dioscorea</v>
          </cell>
          <cell r="M107" t="str">
            <v xml:space="preserve"> =107</v>
          </cell>
          <cell r="O107" t="str">
            <v>Dioscoreaceae</v>
          </cell>
          <cell r="P107" t="str">
            <v>Pseudosicydium</v>
          </cell>
          <cell r="Q107" t="str">
            <v>cf. acaranthum</v>
          </cell>
          <cell r="R107" t="str">
            <v>Pseudosicydium cf. acaranthum</v>
          </cell>
        </row>
        <row r="108">
          <cell r="J108">
            <v>108</v>
          </cell>
          <cell r="K108" t="str">
            <v>apocyna corazon</v>
          </cell>
          <cell r="L108" t="str">
            <v>Ipomoea</v>
          </cell>
          <cell r="M108" t="str">
            <v xml:space="preserve"> =70, =106</v>
          </cell>
          <cell r="O108" t="str">
            <v>Convolvulaceae</v>
          </cell>
          <cell r="P108" t="str">
            <v>Ipomoea</v>
          </cell>
          <cell r="Q108" t="str">
            <v>abutiloides</v>
          </cell>
          <cell r="R108" t="str">
            <v>Ipomoea abutiloides</v>
          </cell>
        </row>
        <row r="109">
          <cell r="J109">
            <v>109</v>
          </cell>
          <cell r="K109" t="str">
            <v>apocy_corazon</v>
          </cell>
          <cell r="L109" t="str">
            <v>Ipomoea</v>
          </cell>
          <cell r="M109" t="str">
            <v xml:space="preserve"> =70, =106</v>
          </cell>
          <cell r="O109" t="str">
            <v>Convolvulaceae</v>
          </cell>
          <cell r="P109" t="str">
            <v>Ipomoea</v>
          </cell>
          <cell r="Q109" t="str">
            <v>abutiloides</v>
          </cell>
          <cell r="R109" t="str">
            <v>Ipomoea abutiloides</v>
          </cell>
        </row>
        <row r="110">
          <cell r="J110">
            <v>110</v>
          </cell>
          <cell r="K110" t="str">
            <v>apocy_corazon</v>
          </cell>
          <cell r="L110" t="str">
            <v>Ipomoea</v>
          </cell>
          <cell r="M110" t="str">
            <v xml:space="preserve"> =70, =106</v>
          </cell>
          <cell r="O110" t="str">
            <v>Convolvulaceae</v>
          </cell>
          <cell r="P110" t="str">
            <v>Ipomoea</v>
          </cell>
          <cell r="Q110" t="str">
            <v>abutiloides</v>
          </cell>
          <cell r="R110" t="str">
            <v>Ipomoea abutiloides</v>
          </cell>
        </row>
        <row r="111">
          <cell r="J111">
            <v>111</v>
          </cell>
          <cell r="K111" t="str">
            <v>Trifol</v>
          </cell>
          <cell r="L111" t="str">
            <v>Cissus_trifol</v>
          </cell>
          <cell r="O111" t="str">
            <v>Vitaceae</v>
          </cell>
          <cell r="P111" t="str">
            <v xml:space="preserve">Cissus </v>
          </cell>
          <cell r="Q111" t="str">
            <v>trifoliata</v>
          </cell>
          <cell r="R111" t="str">
            <v>Cissus  trifoliata</v>
          </cell>
        </row>
        <row r="112">
          <cell r="J112">
            <v>112</v>
          </cell>
          <cell r="K112" t="str">
            <v>cucur</v>
          </cell>
          <cell r="L112" t="str">
            <v>Dioscorea</v>
          </cell>
          <cell r="O112" t="str">
            <v>Dioscoreaceae</v>
          </cell>
          <cell r="P112" t="str">
            <v>Pseudosicydium</v>
          </cell>
          <cell r="Q112" t="str">
            <v>cf. acaranthum</v>
          </cell>
          <cell r="R112" t="str">
            <v>Pseudosicydium cf. acaranthum</v>
          </cell>
        </row>
        <row r="113">
          <cell r="J113">
            <v>113</v>
          </cell>
          <cell r="K113" t="str">
            <v>apocyna corazon</v>
          </cell>
          <cell r="L113" t="str">
            <v>Ipomoea</v>
          </cell>
          <cell r="M113" t="str">
            <v xml:space="preserve"> =106</v>
          </cell>
          <cell r="O113" t="str">
            <v>Convolvulaceae</v>
          </cell>
          <cell r="P113" t="str">
            <v>Ipomoea</v>
          </cell>
          <cell r="Q113" t="str">
            <v>abutiloides</v>
          </cell>
          <cell r="R113" t="str">
            <v>Ipomoea abutiloides</v>
          </cell>
        </row>
        <row r="114">
          <cell r="J114">
            <v>114</v>
          </cell>
          <cell r="K114" t="str">
            <v>apocyna corazon</v>
          </cell>
          <cell r="L114" t="str">
            <v>Ipomoea</v>
          </cell>
          <cell r="O114" t="str">
            <v>Convolvulaceae</v>
          </cell>
          <cell r="P114" t="str">
            <v>Ipomoea</v>
          </cell>
          <cell r="Q114" t="str">
            <v>abutiloides</v>
          </cell>
          <cell r="R114" t="str">
            <v>Ipomoea abutiloides</v>
          </cell>
        </row>
        <row r="115">
          <cell r="J115">
            <v>115</v>
          </cell>
          <cell r="K115" t="str">
            <v>apocyna corazon</v>
          </cell>
          <cell r="L115" t="str">
            <v>Ipomoea</v>
          </cell>
          <cell r="O115" t="str">
            <v>Convolvulaceae</v>
          </cell>
          <cell r="P115" t="str">
            <v>Ipomoea</v>
          </cell>
          <cell r="Q115" t="str">
            <v>abutiloides</v>
          </cell>
          <cell r="R115" t="str">
            <v>Ipomoea abutiloides</v>
          </cell>
        </row>
        <row r="116">
          <cell r="J116">
            <v>116</v>
          </cell>
          <cell r="K116" t="str">
            <v>apocyna_apice</v>
          </cell>
          <cell r="L116" t="str">
            <v>Ipomoea</v>
          </cell>
          <cell r="O116" t="str">
            <v>Convolvulaceae</v>
          </cell>
          <cell r="P116" t="str">
            <v>Ipomoea</v>
          </cell>
          <cell r="Q116" t="str">
            <v>abutiloides</v>
          </cell>
          <cell r="R116" t="str">
            <v>Ipomoea abutiloides</v>
          </cell>
        </row>
        <row r="117">
          <cell r="J117">
            <v>117</v>
          </cell>
          <cell r="K117" t="str">
            <v>cucurbita</v>
          </cell>
          <cell r="L117" t="str">
            <v>Dioscorea</v>
          </cell>
          <cell r="M117" t="str">
            <v xml:space="preserve"> =107</v>
          </cell>
          <cell r="O117" t="str">
            <v>Dioscoreaceae</v>
          </cell>
          <cell r="P117" t="str">
            <v>Pseudosicydium</v>
          </cell>
          <cell r="Q117" t="str">
            <v>cf. acaranthum</v>
          </cell>
          <cell r="R117" t="str">
            <v>Pseudosicydium cf. acaranthum</v>
          </cell>
        </row>
        <row r="118">
          <cell r="J118">
            <v>118</v>
          </cell>
          <cell r="K118" t="str">
            <v>trifol</v>
          </cell>
          <cell r="L118" t="str">
            <v>Cissus_trifol</v>
          </cell>
          <cell r="M118" t="str">
            <v xml:space="preserve"> =118</v>
          </cell>
          <cell r="O118" t="str">
            <v>Vitaceae</v>
          </cell>
          <cell r="P118" t="str">
            <v xml:space="preserve">Cissus </v>
          </cell>
          <cell r="Q118" t="str">
            <v>trifoliata</v>
          </cell>
          <cell r="R118" t="str">
            <v>Cissus  trifoliata</v>
          </cell>
        </row>
        <row r="119">
          <cell r="J119">
            <v>119</v>
          </cell>
          <cell r="K119" t="str">
            <v>apocy_corazon</v>
          </cell>
          <cell r="L119" t="str">
            <v>Ipomoea</v>
          </cell>
          <cell r="O119" t="str">
            <v>Convolvulaceae</v>
          </cell>
          <cell r="P119" t="str">
            <v>Ipomoea</v>
          </cell>
          <cell r="Q119" t="str">
            <v>abutiloides</v>
          </cell>
          <cell r="R119" t="str">
            <v>Ipomoea abutiloides</v>
          </cell>
        </row>
        <row r="120">
          <cell r="J120">
            <v>120</v>
          </cell>
          <cell r="K120" t="str">
            <v>apocy_corazon</v>
          </cell>
          <cell r="L120" t="str">
            <v>Ipomoea</v>
          </cell>
          <cell r="O120" t="str">
            <v>Convolvulaceae</v>
          </cell>
          <cell r="P120" t="str">
            <v>Ipomoea</v>
          </cell>
          <cell r="Q120" t="str">
            <v>abutiloides</v>
          </cell>
          <cell r="R120" t="str">
            <v>Ipomoea abutiloides</v>
          </cell>
        </row>
        <row r="121">
          <cell r="J121">
            <v>121</v>
          </cell>
          <cell r="K121" t="str">
            <v>apocyna_apice</v>
          </cell>
          <cell r="L121" t="str">
            <v>Ipomoea</v>
          </cell>
          <cell r="O121" t="str">
            <v>Convolvulaceae</v>
          </cell>
          <cell r="P121" t="str">
            <v>Ipomoea</v>
          </cell>
          <cell r="Q121" t="str">
            <v>abutiloides</v>
          </cell>
          <cell r="R121" t="str">
            <v>Ipomoea abutiloides</v>
          </cell>
        </row>
        <row r="122">
          <cell r="J122">
            <v>122</v>
          </cell>
          <cell r="K122" t="str">
            <v>apocy_corazon</v>
          </cell>
          <cell r="L122" t="str">
            <v>Ipomoea</v>
          </cell>
          <cell r="O122" t="str">
            <v>Convolvulaceae</v>
          </cell>
          <cell r="P122" t="str">
            <v>Ipomoea</v>
          </cell>
          <cell r="Q122" t="str">
            <v>abutiloides</v>
          </cell>
          <cell r="R122" t="str">
            <v>Ipomoea abutiloides</v>
          </cell>
        </row>
        <row r="123">
          <cell r="J123">
            <v>123</v>
          </cell>
          <cell r="K123" t="str">
            <v>apocy_corazon</v>
          </cell>
          <cell r="L123" t="str">
            <v>Ipomoea</v>
          </cell>
          <cell r="O123" t="str">
            <v>Convolvulaceae</v>
          </cell>
          <cell r="P123" t="str">
            <v>Ipomoea</v>
          </cell>
          <cell r="Q123" t="str">
            <v>abutiloides</v>
          </cell>
          <cell r="R123" t="str">
            <v>Ipomoea abutiloides</v>
          </cell>
        </row>
        <row r="124">
          <cell r="J124">
            <v>124</v>
          </cell>
          <cell r="K124" t="str">
            <v>apocy_corazon</v>
          </cell>
          <cell r="L124" t="str">
            <v>Ipomoea</v>
          </cell>
          <cell r="O124" t="str">
            <v>Convolvulaceae</v>
          </cell>
          <cell r="P124" t="str">
            <v>Ipomoea</v>
          </cell>
          <cell r="Q124" t="str">
            <v>abutiloides</v>
          </cell>
          <cell r="R124" t="str">
            <v>Ipomoea abutiloides</v>
          </cell>
        </row>
        <row r="125">
          <cell r="J125">
            <v>125</v>
          </cell>
          <cell r="K125" t="str">
            <v>apocy_corazon</v>
          </cell>
          <cell r="L125" t="str">
            <v>Ipomoea</v>
          </cell>
          <cell r="O125" t="str">
            <v>Convolvulaceae</v>
          </cell>
          <cell r="P125" t="str">
            <v>Ipomoea</v>
          </cell>
          <cell r="Q125" t="str">
            <v>abutiloides</v>
          </cell>
          <cell r="R125" t="str">
            <v>Ipomoea abutiloides</v>
          </cell>
        </row>
        <row r="126">
          <cell r="J126">
            <v>126</v>
          </cell>
          <cell r="K126" t="str">
            <v>apocyna_apice</v>
          </cell>
          <cell r="L126" t="str">
            <v>Ipomoea</v>
          </cell>
          <cell r="O126" t="str">
            <v>Convolvulaceae</v>
          </cell>
          <cell r="P126" t="str">
            <v>Ipomoea</v>
          </cell>
          <cell r="Q126" t="str">
            <v>abutiloides</v>
          </cell>
          <cell r="R126" t="str">
            <v>Ipomoea abutiloides</v>
          </cell>
        </row>
        <row r="127">
          <cell r="J127">
            <v>127</v>
          </cell>
          <cell r="K127" t="str">
            <v>apocyna_apice</v>
          </cell>
          <cell r="L127" t="str">
            <v>Ipomoea</v>
          </cell>
          <cell r="O127" t="str">
            <v>Convolvulaceae</v>
          </cell>
          <cell r="P127" t="str">
            <v>Ipomoea</v>
          </cell>
          <cell r="Q127" t="str">
            <v>abutiloides</v>
          </cell>
          <cell r="R127" t="str">
            <v>Ipomoea abutiloides</v>
          </cell>
        </row>
        <row r="128">
          <cell r="J128">
            <v>128</v>
          </cell>
          <cell r="K128" t="str">
            <v>apocyna_apice</v>
          </cell>
          <cell r="L128" t="str">
            <v>Ipomoea</v>
          </cell>
          <cell r="O128" t="str">
            <v>Convolvulaceae</v>
          </cell>
          <cell r="P128" t="str">
            <v>Ipomoea</v>
          </cell>
          <cell r="Q128" t="str">
            <v>abutiloides</v>
          </cell>
          <cell r="R128" t="str">
            <v>Ipomoea abutiloides</v>
          </cell>
        </row>
        <row r="129">
          <cell r="J129">
            <v>129</v>
          </cell>
          <cell r="K129" t="str">
            <v>apocyna_apice</v>
          </cell>
          <cell r="L129" t="str">
            <v>Ipomoea</v>
          </cell>
          <cell r="O129" t="str">
            <v>Convolvulaceae</v>
          </cell>
          <cell r="P129" t="str">
            <v>Ipomoea</v>
          </cell>
          <cell r="Q129" t="str">
            <v>abutiloides</v>
          </cell>
          <cell r="R129" t="str">
            <v>Ipomoea abutiloides</v>
          </cell>
        </row>
        <row r="130">
          <cell r="J130">
            <v>130</v>
          </cell>
          <cell r="K130" t="str">
            <v>apocyna_apice</v>
          </cell>
          <cell r="L130" t="str">
            <v>Ipomoea</v>
          </cell>
          <cell r="O130" t="str">
            <v>Convolvulaceae</v>
          </cell>
          <cell r="P130" t="str">
            <v>Ipomoea</v>
          </cell>
          <cell r="Q130" t="str">
            <v>abutiloides</v>
          </cell>
          <cell r="R130" t="str">
            <v>Ipomoea abutiloides</v>
          </cell>
        </row>
        <row r="131">
          <cell r="J131">
            <v>131</v>
          </cell>
          <cell r="K131" t="str">
            <v>apocyna_apice</v>
          </cell>
          <cell r="L131" t="str">
            <v>Ipomoea</v>
          </cell>
          <cell r="O131" t="str">
            <v>Convolvulaceae</v>
          </cell>
          <cell r="P131" t="str">
            <v>Ipomoea</v>
          </cell>
          <cell r="Q131" t="str">
            <v>abutiloides</v>
          </cell>
          <cell r="R131" t="str">
            <v>Ipomoea abutiloides</v>
          </cell>
        </row>
        <row r="132">
          <cell r="J132">
            <v>132</v>
          </cell>
          <cell r="K132" t="str">
            <v>apocyna_apice</v>
          </cell>
          <cell r="L132" t="str">
            <v>Ipomoea</v>
          </cell>
          <cell r="O132" t="str">
            <v>Convolvulaceae</v>
          </cell>
          <cell r="P132" t="str">
            <v>Ipomoea</v>
          </cell>
          <cell r="Q132" t="str">
            <v>abutiloides</v>
          </cell>
          <cell r="R132" t="str">
            <v>Ipomoea abutiloides</v>
          </cell>
        </row>
        <row r="133">
          <cell r="J133">
            <v>133</v>
          </cell>
          <cell r="K133" t="str">
            <v>apocyna_apice</v>
          </cell>
          <cell r="L133" t="str">
            <v>Ipomoea</v>
          </cell>
          <cell r="O133" t="str">
            <v>Convolvulaceae</v>
          </cell>
          <cell r="P133" t="str">
            <v>Ipomoea</v>
          </cell>
          <cell r="Q133" t="str">
            <v>abutiloides</v>
          </cell>
          <cell r="R133" t="str">
            <v>Ipomoea abutiloides</v>
          </cell>
        </row>
        <row r="134">
          <cell r="J134">
            <v>134</v>
          </cell>
          <cell r="K134" t="str">
            <v>apo 1</v>
          </cell>
          <cell r="L134" t="str">
            <v>apocyna_100</v>
          </cell>
          <cell r="M134" t="str">
            <v xml:space="preserve"> =77</v>
          </cell>
          <cell r="O134" t="str">
            <v>Apocynaceae</v>
          </cell>
          <cell r="P134" t="str">
            <v>Prestonia</v>
          </cell>
          <cell r="Q134" t="str">
            <v>cf. rotundifolia</v>
          </cell>
          <cell r="R134" t="str">
            <v>Prestonia cf. rotundifolia</v>
          </cell>
        </row>
        <row r="135">
          <cell r="J135">
            <v>135</v>
          </cell>
          <cell r="K135" t="str">
            <v>apo_cordado</v>
          </cell>
          <cell r="L135" t="str">
            <v>Ipomoea</v>
          </cell>
          <cell r="O135" t="str">
            <v>Convolvulaceae</v>
          </cell>
          <cell r="P135" t="str">
            <v>Ipomoea</v>
          </cell>
          <cell r="Q135" t="str">
            <v>abutiloides</v>
          </cell>
          <cell r="R135" t="str">
            <v>Ipomoea abutiloides</v>
          </cell>
        </row>
        <row r="136">
          <cell r="J136">
            <v>136</v>
          </cell>
          <cell r="K136" t="str">
            <v>apo_cordado</v>
          </cell>
          <cell r="L136" t="str">
            <v>Ipomoea</v>
          </cell>
          <cell r="O136" t="str">
            <v>Convolvulaceae</v>
          </cell>
          <cell r="P136" t="str">
            <v>Ipomoea</v>
          </cell>
          <cell r="Q136" t="str">
            <v>abutiloides</v>
          </cell>
          <cell r="R136" t="str">
            <v>Ipomoea abutiloides</v>
          </cell>
        </row>
        <row r="137">
          <cell r="J137">
            <v>137</v>
          </cell>
          <cell r="K137" t="str">
            <v>apo_cordado</v>
          </cell>
          <cell r="L137" t="str">
            <v>Ipomoea</v>
          </cell>
          <cell r="M137" t="str">
            <v xml:space="preserve"> =137</v>
          </cell>
          <cell r="O137" t="str">
            <v>Convolvulaceae</v>
          </cell>
          <cell r="P137" t="str">
            <v>Ipomoea</v>
          </cell>
          <cell r="Q137" t="str">
            <v>abutiloides</v>
          </cell>
          <cell r="R137" t="str">
            <v>Ipomoea abutiloides</v>
          </cell>
        </row>
        <row r="138">
          <cell r="J138">
            <v>138</v>
          </cell>
          <cell r="K138" t="str">
            <v>apocyna_apice</v>
          </cell>
          <cell r="L138" t="str">
            <v>Ipomoea</v>
          </cell>
          <cell r="O138" t="str">
            <v>Convolvulaceae</v>
          </cell>
          <cell r="P138" t="str">
            <v>Ipomoea</v>
          </cell>
          <cell r="Q138" t="str">
            <v>abutiloides</v>
          </cell>
          <cell r="R138" t="str">
            <v>Ipomoea abutiloides</v>
          </cell>
        </row>
        <row r="139">
          <cell r="J139">
            <v>139</v>
          </cell>
          <cell r="K139" t="str">
            <v>apocyna_apice</v>
          </cell>
          <cell r="L139" t="str">
            <v>Ipomoea</v>
          </cell>
          <cell r="O139" t="str">
            <v>Convolvulaceae</v>
          </cell>
          <cell r="P139" t="str">
            <v>Ipomoea</v>
          </cell>
          <cell r="Q139" t="str">
            <v>abutiloides</v>
          </cell>
          <cell r="R139" t="str">
            <v>Ipomoea abutiloides</v>
          </cell>
        </row>
        <row r="140">
          <cell r="J140">
            <v>140</v>
          </cell>
          <cell r="K140" t="str">
            <v>apocyna_apice</v>
          </cell>
          <cell r="L140" t="str">
            <v>Ipomoea</v>
          </cell>
          <cell r="O140" t="str">
            <v>Convolvulaceae</v>
          </cell>
          <cell r="P140" t="str">
            <v>Ipomoea</v>
          </cell>
          <cell r="Q140" t="str">
            <v>abutiloides</v>
          </cell>
          <cell r="R140" t="str">
            <v>Ipomoea abutiloides</v>
          </cell>
        </row>
        <row r="141">
          <cell r="J141">
            <v>141</v>
          </cell>
          <cell r="K141" t="str">
            <v>apocyna_apice</v>
          </cell>
          <cell r="L141" t="str">
            <v>Ipomoea</v>
          </cell>
          <cell r="O141" t="str">
            <v>Convolvulaceae</v>
          </cell>
          <cell r="P141" t="str">
            <v>Ipomoea</v>
          </cell>
          <cell r="Q141" t="str">
            <v>abutiloides</v>
          </cell>
          <cell r="R141" t="str">
            <v>Ipomoea abutiloides</v>
          </cell>
        </row>
        <row r="142">
          <cell r="J142">
            <v>142</v>
          </cell>
          <cell r="K142" t="str">
            <v>apocyna_apice</v>
          </cell>
          <cell r="L142" t="str">
            <v>Ipomoea</v>
          </cell>
          <cell r="O142" t="str">
            <v>Convolvulaceae</v>
          </cell>
          <cell r="P142" t="str">
            <v>Ipomoea</v>
          </cell>
          <cell r="Q142" t="str">
            <v>abutiloides</v>
          </cell>
          <cell r="R142" t="str">
            <v>Ipomoea abutiloides</v>
          </cell>
        </row>
        <row r="143">
          <cell r="J143">
            <v>143</v>
          </cell>
          <cell r="K143" t="str">
            <v>trifol</v>
          </cell>
          <cell r="L143" t="str">
            <v>Cissus_trifol</v>
          </cell>
          <cell r="O143" t="str">
            <v>Vitaceae</v>
          </cell>
          <cell r="P143" t="str">
            <v xml:space="preserve">Cissus </v>
          </cell>
          <cell r="Q143" t="str">
            <v>trifoliata</v>
          </cell>
          <cell r="R143" t="str">
            <v>Cissus  trifoliata</v>
          </cell>
        </row>
        <row r="144">
          <cell r="J144">
            <v>144</v>
          </cell>
          <cell r="K144" t="str">
            <v>apo_cordado</v>
          </cell>
          <cell r="L144" t="str">
            <v>Ipomoea</v>
          </cell>
          <cell r="O144" t="str">
            <v>Convolvulaceae</v>
          </cell>
          <cell r="P144" t="str">
            <v>Ipomoea</v>
          </cell>
          <cell r="Q144" t="str">
            <v>abutiloides</v>
          </cell>
          <cell r="R144" t="str">
            <v>Ipomoea abutiloides</v>
          </cell>
        </row>
        <row r="145">
          <cell r="J145">
            <v>145</v>
          </cell>
          <cell r="K145" t="str">
            <v>apo</v>
          </cell>
          <cell r="L145" t="str">
            <v>Ipomoea</v>
          </cell>
          <cell r="O145" t="str">
            <v>Convolvulaceae</v>
          </cell>
          <cell r="P145" t="str">
            <v>Ipomoea</v>
          </cell>
          <cell r="Q145" t="str">
            <v>abutiloides</v>
          </cell>
          <cell r="R145" t="str">
            <v>Ipomoea abutiloides</v>
          </cell>
        </row>
        <row r="146">
          <cell r="J146">
            <v>146</v>
          </cell>
          <cell r="K146" t="str">
            <v>trifol</v>
          </cell>
          <cell r="L146" t="str">
            <v>Cissus_trifol</v>
          </cell>
          <cell r="O146" t="str">
            <v>Vitaceae</v>
          </cell>
          <cell r="P146" t="str">
            <v xml:space="preserve">Cissus </v>
          </cell>
          <cell r="Q146" t="str">
            <v>trifoliata</v>
          </cell>
          <cell r="R146" t="str">
            <v>Cissus  trifoliata</v>
          </cell>
        </row>
        <row r="147">
          <cell r="J147">
            <v>147</v>
          </cell>
          <cell r="K147" t="str">
            <v>apo_cordado</v>
          </cell>
          <cell r="L147" t="str">
            <v>Ipomoea</v>
          </cell>
          <cell r="O147" t="str">
            <v>Convolvulaceae</v>
          </cell>
          <cell r="P147" t="str">
            <v>Ipomoea</v>
          </cell>
          <cell r="Q147" t="str">
            <v>abutiloides</v>
          </cell>
          <cell r="R147" t="str">
            <v>Ipomoea abutiloides</v>
          </cell>
        </row>
        <row r="148">
          <cell r="J148">
            <v>148</v>
          </cell>
          <cell r="K148" t="str">
            <v>apo_cordado</v>
          </cell>
          <cell r="L148" t="str">
            <v>Ipomoea</v>
          </cell>
          <cell r="O148" t="str">
            <v>Convolvulaceae</v>
          </cell>
          <cell r="P148" t="str">
            <v>Ipomoea</v>
          </cell>
          <cell r="Q148" t="str">
            <v>abutiloides</v>
          </cell>
          <cell r="R148" t="str">
            <v>Ipomoea abutiloides</v>
          </cell>
        </row>
        <row r="149">
          <cell r="J149">
            <v>149</v>
          </cell>
          <cell r="K149" t="str">
            <v>Berberis</v>
          </cell>
          <cell r="L149" t="str">
            <v>Bougainvillea</v>
          </cell>
          <cell r="O149" t="str">
            <v>Nyctaginaceae</v>
          </cell>
          <cell r="P149" t="str">
            <v>Bougainvillea</v>
          </cell>
          <cell r="Q149" t="str">
            <v>peruviana</v>
          </cell>
          <cell r="R149" t="str">
            <v>Bougainvillea peruviana</v>
          </cell>
        </row>
        <row r="150">
          <cell r="J150">
            <v>150</v>
          </cell>
          <cell r="K150" t="str">
            <v>Berberis</v>
          </cell>
          <cell r="L150" t="str">
            <v>Bougainvillea</v>
          </cell>
          <cell r="O150" t="str">
            <v>Nyctaginaceae</v>
          </cell>
          <cell r="P150" t="str">
            <v>Bougainvillea</v>
          </cell>
          <cell r="Q150" t="str">
            <v>peruviana</v>
          </cell>
          <cell r="R150" t="str">
            <v>Bougainvillea peruviana</v>
          </cell>
        </row>
        <row r="151">
          <cell r="J151">
            <v>151</v>
          </cell>
          <cell r="K151" t="str">
            <v>Berberis</v>
          </cell>
          <cell r="L151" t="str">
            <v>Bougainvillea</v>
          </cell>
          <cell r="O151" t="str">
            <v>Nyctaginaceae</v>
          </cell>
          <cell r="P151" t="str">
            <v>Bougainvillea</v>
          </cell>
          <cell r="Q151" t="str">
            <v>peruviana</v>
          </cell>
          <cell r="R151" t="str">
            <v>Bougainvillea peruviana</v>
          </cell>
        </row>
        <row r="152">
          <cell r="J152">
            <v>152</v>
          </cell>
          <cell r="K152" t="str">
            <v>Berberis</v>
          </cell>
          <cell r="L152" t="str">
            <v>Bougainvillea</v>
          </cell>
          <cell r="O152" t="str">
            <v>Nyctaginaceae</v>
          </cell>
          <cell r="P152" t="str">
            <v>Bougainvillea</v>
          </cell>
          <cell r="Q152" t="str">
            <v>peruviana</v>
          </cell>
          <cell r="R152" t="str">
            <v>Bougainvillea peruviana</v>
          </cell>
        </row>
        <row r="153">
          <cell r="J153">
            <v>153</v>
          </cell>
          <cell r="K153" t="str">
            <v>apo_cordado</v>
          </cell>
          <cell r="L153" t="str">
            <v>Ipomoea</v>
          </cell>
          <cell r="O153" t="str">
            <v>Convolvulaceae</v>
          </cell>
          <cell r="P153" t="str">
            <v>Ipomoea</v>
          </cell>
          <cell r="Q153" t="str">
            <v>abutiloides</v>
          </cell>
          <cell r="R153" t="str">
            <v>Ipomoea abutiloides</v>
          </cell>
        </row>
        <row r="154">
          <cell r="J154">
            <v>154</v>
          </cell>
          <cell r="K154" t="str">
            <v>trifol</v>
          </cell>
          <cell r="L154" t="str">
            <v>Sapindaceae_otra</v>
          </cell>
          <cell r="O154" t="str">
            <v>Sapindaceae</v>
          </cell>
          <cell r="R154" t="str">
            <v xml:space="preserve"> </v>
          </cell>
        </row>
        <row r="155">
          <cell r="J155">
            <v>155</v>
          </cell>
          <cell r="K155" t="str">
            <v>apo_cordado</v>
          </cell>
          <cell r="L155" t="str">
            <v>Ipomoea</v>
          </cell>
          <cell r="O155" t="str">
            <v>Convolvulaceae</v>
          </cell>
          <cell r="P155" t="str">
            <v>Ipomoea</v>
          </cell>
          <cell r="Q155" t="str">
            <v>abutiloides</v>
          </cell>
          <cell r="R155" t="str">
            <v>Ipomoea abutiloides</v>
          </cell>
        </row>
        <row r="156">
          <cell r="J156">
            <v>156</v>
          </cell>
          <cell r="K156" t="str">
            <v>trifol</v>
          </cell>
          <cell r="L156" t="str">
            <v>Cissus_trifol</v>
          </cell>
          <cell r="O156" t="str">
            <v>Vitaceae</v>
          </cell>
          <cell r="P156" t="str">
            <v xml:space="preserve">Cissus </v>
          </cell>
          <cell r="Q156" t="str">
            <v>trifoliata</v>
          </cell>
          <cell r="R156" t="str">
            <v>Cissus  trifoliata</v>
          </cell>
        </row>
        <row r="157">
          <cell r="J157">
            <v>157</v>
          </cell>
          <cell r="K157" t="str">
            <v>cucurbita</v>
          </cell>
          <cell r="L157" t="str">
            <v>Dioscorea</v>
          </cell>
          <cell r="O157" t="str">
            <v>Dioscoreaceae</v>
          </cell>
          <cell r="P157" t="str">
            <v>Pseudosicydium</v>
          </cell>
          <cell r="Q157" t="str">
            <v>cf. acaranthum</v>
          </cell>
          <cell r="R157" t="str">
            <v>Pseudosicydium cf. acaranthum</v>
          </cell>
        </row>
        <row r="158">
          <cell r="J158">
            <v>158</v>
          </cell>
          <cell r="K158" t="str">
            <v>trifol</v>
          </cell>
          <cell r="L158" t="str">
            <v>Cissus_trifol</v>
          </cell>
          <cell r="O158" t="str">
            <v>Vitaceae</v>
          </cell>
          <cell r="P158" t="str">
            <v xml:space="preserve">Cissus </v>
          </cell>
          <cell r="Q158" t="str">
            <v>trifoliata</v>
          </cell>
          <cell r="R158" t="str">
            <v>Cissus  trifoliata</v>
          </cell>
        </row>
        <row r="159">
          <cell r="J159">
            <v>159</v>
          </cell>
          <cell r="K159" t="str">
            <v>cucur</v>
          </cell>
          <cell r="L159" t="str">
            <v>Dioscorea</v>
          </cell>
          <cell r="O159" t="str">
            <v>Dioscoreaceae</v>
          </cell>
          <cell r="P159" t="str">
            <v>Pseudosicydium</v>
          </cell>
          <cell r="Q159" t="str">
            <v>cf. acaranthum</v>
          </cell>
          <cell r="R159" t="str">
            <v>Pseudosicydium cf. acaranthum</v>
          </cell>
        </row>
        <row r="160">
          <cell r="J160">
            <v>160</v>
          </cell>
          <cell r="K160" t="str">
            <v>Berberis</v>
          </cell>
          <cell r="L160" t="str">
            <v>Bougainvillea</v>
          </cell>
          <cell r="O160" t="str">
            <v>Nyctaginaceae</v>
          </cell>
          <cell r="P160" t="str">
            <v>Bougainvillea</v>
          </cell>
          <cell r="Q160" t="str">
            <v>peruviana</v>
          </cell>
          <cell r="R160" t="str">
            <v>Bougainvillea peruviana</v>
          </cell>
        </row>
        <row r="161">
          <cell r="J161">
            <v>161</v>
          </cell>
          <cell r="K161" t="str">
            <v>apocy_corazon</v>
          </cell>
          <cell r="L161" t="str">
            <v>Ipomoea</v>
          </cell>
          <cell r="O161" t="str">
            <v>Convolvulaceae</v>
          </cell>
          <cell r="P161" t="str">
            <v>Ipomoea</v>
          </cell>
          <cell r="Q161" t="str">
            <v>abutiloides</v>
          </cell>
          <cell r="R161" t="str">
            <v>Ipomoea abutiloides</v>
          </cell>
        </row>
        <row r="162">
          <cell r="J162">
            <v>162</v>
          </cell>
          <cell r="K162" t="str">
            <v>apocy_corazon</v>
          </cell>
          <cell r="L162" t="str">
            <v>Ipomoea</v>
          </cell>
          <cell r="O162" t="str">
            <v>Convolvulaceae</v>
          </cell>
          <cell r="P162" t="str">
            <v>Ipomoea</v>
          </cell>
          <cell r="Q162" t="str">
            <v>abutiloides</v>
          </cell>
          <cell r="R162" t="str">
            <v>Ipomoea abutiloides</v>
          </cell>
        </row>
        <row r="163">
          <cell r="J163">
            <v>163</v>
          </cell>
          <cell r="K163" t="str">
            <v>fab</v>
          </cell>
          <cell r="L163" t="str">
            <v>Piptadenia_sp_tallo_redondo_LB</v>
          </cell>
          <cell r="O163" t="str">
            <v>Fabaceae</v>
          </cell>
          <cell r="R163" t="str">
            <v xml:space="preserve"> </v>
          </cell>
        </row>
        <row r="164">
          <cell r="J164">
            <v>164</v>
          </cell>
          <cell r="K164" t="str">
            <v>cucurbita??</v>
          </cell>
          <cell r="L164" t="str">
            <v>Big_166</v>
          </cell>
          <cell r="M164" t="str">
            <v xml:space="preserve"> =166</v>
          </cell>
          <cell r="O164" t="str">
            <v>Bignoniaceae</v>
          </cell>
          <cell r="R164" t="str">
            <v xml:space="preserve"> </v>
          </cell>
        </row>
        <row r="165">
          <cell r="J165">
            <v>165</v>
          </cell>
          <cell r="K165" t="str">
            <v>cucurbita??</v>
          </cell>
          <cell r="L165" t="str">
            <v>Big_166</v>
          </cell>
          <cell r="M165" t="str">
            <v xml:space="preserve"> =166</v>
          </cell>
          <cell r="O165" t="str">
            <v>Bignoniaceae</v>
          </cell>
          <cell r="R165" t="str">
            <v xml:space="preserve"> </v>
          </cell>
        </row>
        <row r="166">
          <cell r="J166">
            <v>166</v>
          </cell>
          <cell r="K166" t="str">
            <v>cucurbita??</v>
          </cell>
          <cell r="L166" t="str">
            <v>Big_166</v>
          </cell>
          <cell r="M166" t="str">
            <v xml:space="preserve"> =166</v>
          </cell>
          <cell r="N166" t="str">
            <v>Berthil (Bignoniaceae)</v>
          </cell>
          <cell r="O166" t="str">
            <v>Bignoniaceae</v>
          </cell>
          <cell r="R166" t="str">
            <v xml:space="preserve"> </v>
          </cell>
        </row>
        <row r="167">
          <cell r="J167">
            <v>167</v>
          </cell>
          <cell r="K167" t="str">
            <v>apocy_corazon</v>
          </cell>
          <cell r="L167" t="str">
            <v>Ipomoea</v>
          </cell>
          <cell r="M167" t="str">
            <v xml:space="preserve"> =137</v>
          </cell>
          <cell r="O167" t="str">
            <v>Convolvulaceae</v>
          </cell>
          <cell r="P167" t="str">
            <v>Ipomoea</v>
          </cell>
          <cell r="Q167" t="str">
            <v>abutiloides</v>
          </cell>
          <cell r="R167" t="str">
            <v>Ipomoea abutiloides</v>
          </cell>
        </row>
        <row r="168">
          <cell r="J168">
            <v>168</v>
          </cell>
          <cell r="K168" t="str">
            <v>apocy_corazon</v>
          </cell>
          <cell r="L168" t="str">
            <v>Ipomoea</v>
          </cell>
          <cell r="O168" t="str">
            <v>Convolvulaceae</v>
          </cell>
          <cell r="P168" t="str">
            <v>Ipomoea</v>
          </cell>
          <cell r="Q168" t="str">
            <v>abutiloides</v>
          </cell>
          <cell r="R168" t="str">
            <v>Ipomoea abutiloides</v>
          </cell>
        </row>
        <row r="169">
          <cell r="J169">
            <v>169</v>
          </cell>
          <cell r="K169" t="str">
            <v>apocy_corazon</v>
          </cell>
          <cell r="L169" t="str">
            <v>Ipomoea</v>
          </cell>
          <cell r="O169" t="str">
            <v>Convolvulaceae</v>
          </cell>
          <cell r="P169" t="str">
            <v>Ipomoea</v>
          </cell>
          <cell r="Q169" t="str">
            <v>abutiloides</v>
          </cell>
          <cell r="R169" t="str">
            <v>Ipomoea abutiloides</v>
          </cell>
        </row>
        <row r="170">
          <cell r="J170">
            <v>170</v>
          </cell>
          <cell r="K170" t="str">
            <v>apocy_corazon</v>
          </cell>
          <cell r="L170" t="str">
            <v>Ipomoea</v>
          </cell>
          <cell r="O170" t="str">
            <v>Convolvulaceae</v>
          </cell>
          <cell r="P170" t="str">
            <v>Ipomoea</v>
          </cell>
          <cell r="Q170" t="str">
            <v>abutiloides</v>
          </cell>
          <cell r="R170" t="str">
            <v>Ipomoea abutiloides</v>
          </cell>
        </row>
        <row r="171">
          <cell r="J171">
            <v>171</v>
          </cell>
          <cell r="K171" t="str">
            <v>apocy_corazon</v>
          </cell>
          <cell r="L171" t="str">
            <v>Ipomoea</v>
          </cell>
          <cell r="O171" t="str">
            <v>Convolvulaceae</v>
          </cell>
          <cell r="P171" t="str">
            <v>Ipomoea</v>
          </cell>
          <cell r="Q171" t="str">
            <v>abutiloides</v>
          </cell>
          <cell r="R171" t="str">
            <v>Ipomoea abutiloides</v>
          </cell>
        </row>
        <row r="172">
          <cell r="J172">
            <v>172</v>
          </cell>
          <cell r="K172" t="str">
            <v>apocy_corazon</v>
          </cell>
          <cell r="L172" t="str">
            <v>Ipomoea</v>
          </cell>
          <cell r="O172" t="str">
            <v>Convolvulaceae</v>
          </cell>
          <cell r="P172" t="str">
            <v>Ipomoea</v>
          </cell>
          <cell r="Q172" t="str">
            <v>abutiloides</v>
          </cell>
          <cell r="R172" t="str">
            <v>Ipomoea abutiloides</v>
          </cell>
        </row>
        <row r="173">
          <cell r="J173">
            <v>173</v>
          </cell>
          <cell r="K173" t="str">
            <v>apocy_corazon</v>
          </cell>
          <cell r="L173" t="str">
            <v>Ipomoea</v>
          </cell>
          <cell r="O173" t="str">
            <v>Convolvulaceae</v>
          </cell>
          <cell r="P173" t="str">
            <v>Ipomoea</v>
          </cell>
          <cell r="Q173" t="str">
            <v>abutiloides</v>
          </cell>
          <cell r="R173" t="str">
            <v>Ipomoea abutiloides</v>
          </cell>
        </row>
        <row r="174">
          <cell r="J174">
            <v>174</v>
          </cell>
          <cell r="K174" t="str">
            <v>apocy_corazon</v>
          </cell>
          <cell r="L174" t="str">
            <v>Ipomoea</v>
          </cell>
          <cell r="O174" t="str">
            <v>Convolvulaceae</v>
          </cell>
          <cell r="P174" t="str">
            <v>Ipomoea</v>
          </cell>
          <cell r="Q174" t="str">
            <v>abutiloides</v>
          </cell>
          <cell r="R174" t="str">
            <v>Ipomoea abutiloides</v>
          </cell>
        </row>
        <row r="175">
          <cell r="J175">
            <v>175</v>
          </cell>
          <cell r="K175" t="str">
            <v>apocy_corazon</v>
          </cell>
          <cell r="L175" t="str">
            <v>Ipomoea</v>
          </cell>
          <cell r="O175" t="str">
            <v>Convolvulaceae</v>
          </cell>
          <cell r="P175" t="str">
            <v>Ipomoea</v>
          </cell>
          <cell r="Q175" t="str">
            <v>abutiloides</v>
          </cell>
          <cell r="R175" t="str">
            <v>Ipomoea abutiloides</v>
          </cell>
        </row>
        <row r="176">
          <cell r="J176">
            <v>176</v>
          </cell>
          <cell r="K176" t="str">
            <v>apocy_corazon</v>
          </cell>
          <cell r="L176" t="str">
            <v>Ipomoea</v>
          </cell>
          <cell r="O176" t="str">
            <v>Convolvulaceae</v>
          </cell>
          <cell r="P176" t="str">
            <v>Ipomoea</v>
          </cell>
          <cell r="Q176" t="str">
            <v>abutiloides</v>
          </cell>
          <cell r="R176" t="str">
            <v>Ipomoea abutiloides</v>
          </cell>
        </row>
        <row r="177">
          <cell r="J177">
            <v>177</v>
          </cell>
          <cell r="K177" t="str">
            <v>trifol</v>
          </cell>
          <cell r="L177" t="str">
            <v>Cissus_trifol</v>
          </cell>
          <cell r="O177" t="str">
            <v>Vitaceae</v>
          </cell>
          <cell r="P177" t="str">
            <v xml:space="preserve">Cissus </v>
          </cell>
          <cell r="Q177" t="str">
            <v>trifoliata</v>
          </cell>
          <cell r="R177" t="str">
            <v>Cissus  trifoliata</v>
          </cell>
        </row>
        <row r="178">
          <cell r="J178">
            <v>178</v>
          </cell>
          <cell r="K178" t="str">
            <v>Trifol</v>
          </cell>
          <cell r="L178" t="str">
            <v>Cissus_trifol</v>
          </cell>
          <cell r="O178" t="str">
            <v>Vitaceae</v>
          </cell>
          <cell r="P178" t="str">
            <v xml:space="preserve">Cissus </v>
          </cell>
          <cell r="Q178" t="str">
            <v>trifoliata</v>
          </cell>
          <cell r="R178" t="str">
            <v>Cissus  trifoliata</v>
          </cell>
        </row>
        <row r="179">
          <cell r="J179">
            <v>179</v>
          </cell>
          <cell r="K179" t="str">
            <v>apo_rama</v>
          </cell>
          <cell r="L179" t="str">
            <v>apo_rama</v>
          </cell>
          <cell r="O179" t="str">
            <v>Apocynaceae</v>
          </cell>
          <cell r="R179" t="str">
            <v xml:space="preserve"> </v>
          </cell>
        </row>
        <row r="180">
          <cell r="J180">
            <v>180</v>
          </cell>
          <cell r="K180" t="str">
            <v>apocy_corazon</v>
          </cell>
          <cell r="L180" t="str">
            <v>Ipomoea</v>
          </cell>
          <cell r="O180" t="str">
            <v>Convolvulaceae</v>
          </cell>
          <cell r="P180" t="str">
            <v>Ipomoea</v>
          </cell>
          <cell r="Q180" t="str">
            <v>abutiloides</v>
          </cell>
          <cell r="R180" t="str">
            <v>Ipomoea abutiloides</v>
          </cell>
        </row>
        <row r="181">
          <cell r="J181">
            <v>181</v>
          </cell>
          <cell r="K181" t="str">
            <v>apo_cordado</v>
          </cell>
          <cell r="L181" t="str">
            <v>Ipomoea</v>
          </cell>
          <cell r="O181" t="str">
            <v>Convolvulaceae</v>
          </cell>
          <cell r="P181" t="str">
            <v>Ipomoea</v>
          </cell>
          <cell r="Q181" t="str">
            <v>abutiloides</v>
          </cell>
          <cell r="R181" t="str">
            <v>Ipomoea abutiloides</v>
          </cell>
        </row>
        <row r="182">
          <cell r="J182">
            <v>182</v>
          </cell>
          <cell r="K182" t="str">
            <v>apo_cordado</v>
          </cell>
          <cell r="L182" t="str">
            <v>Ipomoea</v>
          </cell>
          <cell r="O182" t="str">
            <v>Convolvulaceae</v>
          </cell>
          <cell r="P182" t="str">
            <v>Ipomoea</v>
          </cell>
          <cell r="Q182" t="str">
            <v>abutiloides</v>
          </cell>
          <cell r="R182" t="str">
            <v>Ipomoea abutiloides</v>
          </cell>
        </row>
        <row r="183">
          <cell r="J183">
            <v>183</v>
          </cell>
          <cell r="K183" t="str">
            <v>apo_rama</v>
          </cell>
          <cell r="L183" t="str">
            <v>Ipomoea</v>
          </cell>
          <cell r="O183" t="str">
            <v>Convolvulaceae</v>
          </cell>
          <cell r="P183" t="str">
            <v>Ipomoea</v>
          </cell>
          <cell r="Q183" t="str">
            <v>abutiloides</v>
          </cell>
          <cell r="R183" t="str">
            <v>Ipomoea abutiloides</v>
          </cell>
        </row>
        <row r="184">
          <cell r="J184">
            <v>184</v>
          </cell>
          <cell r="K184" t="str">
            <v>apocyna_rama</v>
          </cell>
          <cell r="L184" t="str">
            <v>Ipomoea</v>
          </cell>
          <cell r="O184" t="str">
            <v>Convolvulaceae</v>
          </cell>
          <cell r="P184" t="str">
            <v>Ipomoea</v>
          </cell>
          <cell r="Q184" t="str">
            <v>abutiloides</v>
          </cell>
          <cell r="R184" t="str">
            <v>Ipomoea abutiloides</v>
          </cell>
        </row>
        <row r="185">
          <cell r="J185">
            <v>185</v>
          </cell>
          <cell r="K185" t="str">
            <v>Apocinaceae_corazon</v>
          </cell>
          <cell r="L185" t="str">
            <v>Ipomoea</v>
          </cell>
          <cell r="M185" t="str">
            <v xml:space="preserve"> =162</v>
          </cell>
          <cell r="O185" t="str">
            <v>Convolvulaceae</v>
          </cell>
          <cell r="P185" t="str">
            <v>Ipomoea</v>
          </cell>
          <cell r="Q185" t="str">
            <v>abutiloides</v>
          </cell>
          <cell r="R185" t="str">
            <v>Ipomoea abutiloides</v>
          </cell>
        </row>
        <row r="186">
          <cell r="J186">
            <v>186</v>
          </cell>
          <cell r="K186" t="str">
            <v>Apocinaceae_corazon</v>
          </cell>
          <cell r="L186" t="str">
            <v>Ipomoea</v>
          </cell>
          <cell r="O186" t="str">
            <v>Convolvulaceae</v>
          </cell>
          <cell r="P186" t="str">
            <v>Ipomoea</v>
          </cell>
          <cell r="Q186" t="str">
            <v>abutiloides</v>
          </cell>
          <cell r="R186" t="str">
            <v>Ipomoea abutiloides</v>
          </cell>
        </row>
        <row r="187">
          <cell r="J187">
            <v>187</v>
          </cell>
          <cell r="K187" t="str">
            <v>Apocinaceae_corazon</v>
          </cell>
          <cell r="L187" t="str">
            <v>Ipomoea</v>
          </cell>
          <cell r="O187" t="str">
            <v>Convolvulaceae</v>
          </cell>
          <cell r="P187" t="str">
            <v>Ipomoea</v>
          </cell>
          <cell r="Q187" t="str">
            <v>abutiloides</v>
          </cell>
          <cell r="R187" t="str">
            <v>Ipomoea abutiloides</v>
          </cell>
        </row>
        <row r="188">
          <cell r="J188">
            <v>188</v>
          </cell>
          <cell r="K188" t="str">
            <v>Apocinaceae_corazon</v>
          </cell>
          <cell r="L188" t="str">
            <v>Ipomoea</v>
          </cell>
          <cell r="O188" t="str">
            <v>Convolvulaceae</v>
          </cell>
          <cell r="P188" t="str">
            <v>Ipomoea</v>
          </cell>
          <cell r="Q188" t="str">
            <v>abutiloides</v>
          </cell>
          <cell r="R188" t="str">
            <v>Ipomoea abutiloides</v>
          </cell>
        </row>
        <row r="189">
          <cell r="J189">
            <v>189</v>
          </cell>
          <cell r="K189" t="str">
            <v>Apocinaceae_corazon</v>
          </cell>
          <cell r="L189" t="str">
            <v>Ipomoea</v>
          </cell>
          <cell r="O189" t="str">
            <v>Convolvulaceae</v>
          </cell>
          <cell r="P189" t="str">
            <v>Ipomoea</v>
          </cell>
          <cell r="Q189" t="str">
            <v>abutiloides</v>
          </cell>
          <cell r="R189" t="str">
            <v>Ipomoea abutiloides</v>
          </cell>
        </row>
        <row r="190">
          <cell r="J190">
            <v>190</v>
          </cell>
          <cell r="K190" t="str">
            <v>Apocinaceae_corazon</v>
          </cell>
          <cell r="L190" t="str">
            <v>Ipomoea</v>
          </cell>
          <cell r="O190" t="str">
            <v>Convolvulaceae</v>
          </cell>
          <cell r="P190" t="str">
            <v>Ipomoea</v>
          </cell>
          <cell r="Q190" t="str">
            <v>abutiloides</v>
          </cell>
          <cell r="R190" t="str">
            <v>Ipomoea abutiloides</v>
          </cell>
        </row>
        <row r="191">
          <cell r="J191">
            <v>191</v>
          </cell>
          <cell r="K191" t="str">
            <v>Apocinaceae_corazon</v>
          </cell>
          <cell r="L191" t="str">
            <v>Ipomoea</v>
          </cell>
          <cell r="O191" t="str">
            <v>Convolvulaceae</v>
          </cell>
          <cell r="P191" t="str">
            <v>Ipomoea</v>
          </cell>
          <cell r="Q191" t="str">
            <v>abutiloides</v>
          </cell>
          <cell r="R191" t="str">
            <v>Ipomoea abutiloides</v>
          </cell>
        </row>
        <row r="192">
          <cell r="J192">
            <v>192</v>
          </cell>
          <cell r="K192" t="str">
            <v>Apocinaceae_corazon</v>
          </cell>
          <cell r="L192" t="str">
            <v>Ipomoea</v>
          </cell>
          <cell r="O192" t="str">
            <v>Convolvulaceae</v>
          </cell>
          <cell r="P192" t="str">
            <v>Ipomoea</v>
          </cell>
          <cell r="Q192" t="str">
            <v>abutiloides</v>
          </cell>
          <cell r="R192" t="str">
            <v>Ipomoea abutiloides</v>
          </cell>
        </row>
        <row r="193">
          <cell r="J193">
            <v>193</v>
          </cell>
          <cell r="K193" t="str">
            <v>Apocinaceae_corazon</v>
          </cell>
          <cell r="L193" t="str">
            <v>Ipomoea</v>
          </cell>
          <cell r="O193" t="str">
            <v>Convolvulaceae</v>
          </cell>
          <cell r="P193" t="str">
            <v>Ipomoea</v>
          </cell>
          <cell r="Q193" t="str">
            <v>abutiloides</v>
          </cell>
          <cell r="R193" t="str">
            <v>Ipomoea abutiloides</v>
          </cell>
        </row>
        <row r="194">
          <cell r="J194">
            <v>194</v>
          </cell>
          <cell r="K194" t="str">
            <v>Apocinaceae_corazon</v>
          </cell>
          <cell r="L194" t="str">
            <v>Ipomoea</v>
          </cell>
          <cell r="O194" t="str">
            <v>Convolvulaceae</v>
          </cell>
          <cell r="P194" t="str">
            <v>Ipomoea</v>
          </cell>
          <cell r="Q194" t="str">
            <v>abutiloides</v>
          </cell>
          <cell r="R194" t="str">
            <v>Ipomoea abutiloides</v>
          </cell>
        </row>
        <row r="195">
          <cell r="J195">
            <v>195</v>
          </cell>
          <cell r="K195" t="str">
            <v>apocy_corazon</v>
          </cell>
          <cell r="L195" t="str">
            <v>Ipomoea</v>
          </cell>
          <cell r="M195" t="str">
            <v xml:space="preserve"> =162</v>
          </cell>
          <cell r="O195" t="str">
            <v>Convolvulaceae</v>
          </cell>
          <cell r="P195" t="str">
            <v>Ipomoea</v>
          </cell>
          <cell r="Q195" t="str">
            <v>abutiloides</v>
          </cell>
          <cell r="R195" t="str">
            <v>Ipomoea abutiloides</v>
          </cell>
        </row>
        <row r="196">
          <cell r="J196">
            <v>196</v>
          </cell>
          <cell r="K196" t="str">
            <v>trifol</v>
          </cell>
          <cell r="L196" t="str">
            <v>Cissus_trifol</v>
          </cell>
          <cell r="O196" t="str">
            <v>Vitaceae</v>
          </cell>
          <cell r="P196" t="str">
            <v xml:space="preserve">Cissus </v>
          </cell>
          <cell r="Q196" t="str">
            <v>trifoliata</v>
          </cell>
          <cell r="R196" t="str">
            <v>Cissus  trifoliata</v>
          </cell>
        </row>
        <row r="197">
          <cell r="J197">
            <v>197</v>
          </cell>
          <cell r="K197" t="str">
            <v>apocyna</v>
          </cell>
          <cell r="L197" t="str">
            <v>Ipomoea</v>
          </cell>
          <cell r="M197" t="str">
            <v xml:space="preserve"> =162</v>
          </cell>
          <cell r="O197" t="str">
            <v>Convolvulaceae</v>
          </cell>
          <cell r="P197" t="str">
            <v>Ipomoea</v>
          </cell>
          <cell r="Q197" t="str">
            <v>abutiloides</v>
          </cell>
          <cell r="R197" t="str">
            <v>Ipomoea abutiloides</v>
          </cell>
        </row>
        <row r="198">
          <cell r="J198">
            <v>198</v>
          </cell>
          <cell r="K198" t="str">
            <v>apocy_corazon</v>
          </cell>
          <cell r="L198" t="str">
            <v>Ipomoea</v>
          </cell>
          <cell r="M198" t="str">
            <v xml:space="preserve"> =162</v>
          </cell>
          <cell r="O198" t="str">
            <v>Convolvulaceae</v>
          </cell>
          <cell r="P198" t="str">
            <v>Ipomoea</v>
          </cell>
          <cell r="Q198" t="str">
            <v>abutiloides</v>
          </cell>
          <cell r="R198" t="str">
            <v>Ipomoea abutiloides</v>
          </cell>
        </row>
        <row r="199">
          <cell r="J199">
            <v>199</v>
          </cell>
          <cell r="K199" t="str">
            <v>cucurbita</v>
          </cell>
          <cell r="L199" t="str">
            <v>Dioscorea</v>
          </cell>
          <cell r="O199" t="str">
            <v>Dioscoreaceae</v>
          </cell>
          <cell r="P199" t="str">
            <v>Pseudosicydium</v>
          </cell>
          <cell r="Q199" t="str">
            <v>cf. acaranthum</v>
          </cell>
          <cell r="R199" t="str">
            <v>Pseudosicydium cf. acaranthum</v>
          </cell>
        </row>
        <row r="200">
          <cell r="J200">
            <v>200</v>
          </cell>
          <cell r="K200" t="str">
            <v>apocy_corazon</v>
          </cell>
          <cell r="L200" t="str">
            <v>Ipomoea</v>
          </cell>
          <cell r="M200" t="str">
            <v xml:space="preserve"> =162</v>
          </cell>
          <cell r="O200" t="str">
            <v>Convolvulaceae</v>
          </cell>
          <cell r="P200" t="str">
            <v>Ipomoea</v>
          </cell>
          <cell r="Q200" t="str">
            <v>abutiloides</v>
          </cell>
          <cell r="R200" t="str">
            <v>Ipomoea abutiloides</v>
          </cell>
        </row>
        <row r="201">
          <cell r="J201">
            <v>201</v>
          </cell>
          <cell r="K201" t="str">
            <v>apocy_corazon</v>
          </cell>
          <cell r="L201" t="str">
            <v>Ipomoea</v>
          </cell>
          <cell r="M201" t="str">
            <v xml:space="preserve"> =162</v>
          </cell>
          <cell r="O201" t="str">
            <v>Convolvulaceae</v>
          </cell>
          <cell r="P201" t="str">
            <v>Ipomoea</v>
          </cell>
          <cell r="Q201" t="str">
            <v>abutiloides</v>
          </cell>
          <cell r="R201" t="str">
            <v>Ipomoea abutiloides</v>
          </cell>
        </row>
        <row r="202">
          <cell r="J202">
            <v>202</v>
          </cell>
          <cell r="K202" t="str">
            <v>fab sp.1.</v>
          </cell>
          <cell r="L202" t="str">
            <v>fab_202</v>
          </cell>
          <cell r="N202" t="str">
            <v>Berthil (no es Fabaceae)</v>
          </cell>
          <cell r="O202" t="str">
            <v>Fabaceae</v>
          </cell>
          <cell r="R202" t="str">
            <v xml:space="preserve"> </v>
          </cell>
        </row>
        <row r="203">
          <cell r="J203">
            <v>203</v>
          </cell>
          <cell r="K203" t="str">
            <v>trifol</v>
          </cell>
          <cell r="L203" t="str">
            <v>Cissus_trifol</v>
          </cell>
          <cell r="M203" t="str">
            <v xml:space="preserve"> =162</v>
          </cell>
          <cell r="O203" t="str">
            <v>Vitaceae</v>
          </cell>
          <cell r="P203" t="str">
            <v xml:space="preserve">Cissus </v>
          </cell>
          <cell r="Q203" t="str">
            <v>trifoliata</v>
          </cell>
          <cell r="R203" t="str">
            <v>Cissus  trifoliata</v>
          </cell>
        </row>
        <row r="204">
          <cell r="J204">
            <v>204</v>
          </cell>
          <cell r="K204" t="str">
            <v>apo_cordado</v>
          </cell>
          <cell r="L204" t="str">
            <v>Ipomoea</v>
          </cell>
          <cell r="M204" t="str">
            <v xml:space="preserve"> =162</v>
          </cell>
          <cell r="O204" t="str">
            <v>Convolvulaceae</v>
          </cell>
          <cell r="P204" t="str">
            <v>Ipomoea</v>
          </cell>
          <cell r="Q204" t="str">
            <v>abutiloides</v>
          </cell>
          <cell r="R204" t="str">
            <v>Ipomoea abutiloides</v>
          </cell>
        </row>
        <row r="205">
          <cell r="J205">
            <v>205</v>
          </cell>
          <cell r="K205" t="str">
            <v>trifol</v>
          </cell>
          <cell r="L205" t="str">
            <v>Cissus_trifol</v>
          </cell>
          <cell r="O205" t="str">
            <v>Vitaceae</v>
          </cell>
          <cell r="P205" t="str">
            <v xml:space="preserve">Cissus </v>
          </cell>
          <cell r="Q205" t="str">
            <v>trifoliata</v>
          </cell>
          <cell r="R205" t="str">
            <v>Cissus  trifoliata</v>
          </cell>
        </row>
        <row r="206">
          <cell r="J206">
            <v>206</v>
          </cell>
          <cell r="K206" t="str">
            <v>apo_cordado</v>
          </cell>
          <cell r="L206" t="str">
            <v>Ipomoea</v>
          </cell>
          <cell r="M206" t="str">
            <v xml:space="preserve"> =162</v>
          </cell>
          <cell r="O206" t="str">
            <v>Convolvulaceae</v>
          </cell>
          <cell r="P206" t="str">
            <v>Ipomoea</v>
          </cell>
          <cell r="Q206" t="str">
            <v>abutiloides</v>
          </cell>
          <cell r="R206" t="str">
            <v>Ipomoea abutiloides</v>
          </cell>
        </row>
        <row r="207">
          <cell r="J207">
            <v>207</v>
          </cell>
          <cell r="K207" t="str">
            <v>apo_cordado</v>
          </cell>
          <cell r="L207" t="str">
            <v>Ipomoea</v>
          </cell>
          <cell r="M207" t="str">
            <v xml:space="preserve"> =162</v>
          </cell>
          <cell r="O207" t="str">
            <v>Convolvulaceae</v>
          </cell>
          <cell r="P207" t="str">
            <v>Ipomoea</v>
          </cell>
          <cell r="Q207" t="str">
            <v>abutiloides</v>
          </cell>
          <cell r="R207" t="str">
            <v>Ipomoea abutiloides</v>
          </cell>
        </row>
        <row r="208">
          <cell r="J208">
            <v>208</v>
          </cell>
          <cell r="K208" t="str">
            <v>trifol</v>
          </cell>
          <cell r="L208" t="str">
            <v>Ipomoea</v>
          </cell>
          <cell r="O208" t="str">
            <v>Convolvulaceae</v>
          </cell>
          <cell r="P208" t="str">
            <v>Ipomoea</v>
          </cell>
          <cell r="Q208" t="str">
            <v>abutiloides</v>
          </cell>
          <cell r="R208" t="str">
            <v>Ipomoea abutiloides</v>
          </cell>
        </row>
        <row r="209">
          <cell r="J209">
            <v>209</v>
          </cell>
          <cell r="K209" t="str">
            <v>apocy_corazon</v>
          </cell>
          <cell r="L209" t="str">
            <v>Ipomoea</v>
          </cell>
          <cell r="M209" t="str">
            <v xml:space="preserve"> =162</v>
          </cell>
          <cell r="O209" t="str">
            <v>Convolvulaceae</v>
          </cell>
          <cell r="P209" t="str">
            <v>Ipomoea</v>
          </cell>
          <cell r="Q209" t="str">
            <v>abutiloides</v>
          </cell>
          <cell r="R209" t="str">
            <v>Ipomoea abutiloides</v>
          </cell>
        </row>
        <row r="210">
          <cell r="J210">
            <v>210</v>
          </cell>
          <cell r="K210" t="str">
            <v>trifol</v>
          </cell>
          <cell r="L210" t="str">
            <v>Cissus_trifol</v>
          </cell>
          <cell r="O210" t="str">
            <v>Vitaceae</v>
          </cell>
          <cell r="P210" t="str">
            <v xml:space="preserve">Cissus </v>
          </cell>
          <cell r="Q210" t="str">
            <v>trifoliata</v>
          </cell>
          <cell r="R210" t="str">
            <v>Cissus  trifoliata</v>
          </cell>
        </row>
        <row r="211">
          <cell r="J211">
            <v>211</v>
          </cell>
          <cell r="K211" t="str">
            <v>apocy corazon</v>
          </cell>
          <cell r="L211" t="str">
            <v>Ipomoea</v>
          </cell>
          <cell r="M211" t="str">
            <v xml:space="preserve"> =162</v>
          </cell>
          <cell r="O211" t="str">
            <v>Convolvulaceae</v>
          </cell>
          <cell r="P211" t="str">
            <v>Ipomoea</v>
          </cell>
          <cell r="Q211" t="str">
            <v>abutiloides</v>
          </cell>
          <cell r="R211" t="str">
            <v>Ipomoea abutiloides</v>
          </cell>
        </row>
        <row r="212">
          <cell r="J212">
            <v>212</v>
          </cell>
          <cell r="K212" t="str">
            <v>trifol</v>
          </cell>
          <cell r="L212" t="str">
            <v>Cissus_trifol</v>
          </cell>
          <cell r="O212" t="str">
            <v>Vitaceae</v>
          </cell>
          <cell r="P212" t="str">
            <v xml:space="preserve">Cissus </v>
          </cell>
          <cell r="Q212" t="str">
            <v>trifoliata</v>
          </cell>
          <cell r="R212" t="str">
            <v>Cissus  trifoliata</v>
          </cell>
        </row>
        <row r="213">
          <cell r="J213">
            <v>213</v>
          </cell>
          <cell r="K213" t="str">
            <v>apocy corazon s</v>
          </cell>
          <cell r="L213" t="str">
            <v>Ipomoea</v>
          </cell>
          <cell r="M213" t="str">
            <v xml:space="preserve"> =162</v>
          </cell>
          <cell r="O213" t="str">
            <v>Convolvulaceae</v>
          </cell>
          <cell r="P213" t="str">
            <v>Ipomoea</v>
          </cell>
          <cell r="Q213" t="str">
            <v>abutiloides</v>
          </cell>
          <cell r="R213" t="str">
            <v>Ipomoea abutiloides</v>
          </cell>
        </row>
        <row r="214">
          <cell r="J214">
            <v>214</v>
          </cell>
          <cell r="K214" t="str">
            <v>apocy corazon s</v>
          </cell>
          <cell r="L214" t="str">
            <v>Ipomoea</v>
          </cell>
          <cell r="M214" t="str">
            <v xml:space="preserve"> =162</v>
          </cell>
          <cell r="O214" t="str">
            <v>Convolvulaceae</v>
          </cell>
          <cell r="P214" t="str">
            <v>Ipomoea</v>
          </cell>
          <cell r="Q214" t="str">
            <v>abutiloides</v>
          </cell>
          <cell r="R214" t="str">
            <v>Ipomoea abutiloides</v>
          </cell>
        </row>
        <row r="215">
          <cell r="J215">
            <v>215</v>
          </cell>
          <cell r="K215" t="str">
            <v>apocy corazon s</v>
          </cell>
          <cell r="L215" t="str">
            <v>Ipomoea</v>
          </cell>
          <cell r="M215" t="str">
            <v xml:space="preserve"> =162</v>
          </cell>
          <cell r="O215" t="str">
            <v>Convolvulaceae</v>
          </cell>
          <cell r="P215" t="str">
            <v>Ipomoea</v>
          </cell>
          <cell r="Q215" t="str">
            <v>abutiloides</v>
          </cell>
          <cell r="R215" t="str">
            <v>Ipomoea abutiloides</v>
          </cell>
        </row>
        <row r="216">
          <cell r="J216">
            <v>216</v>
          </cell>
          <cell r="K216" t="str">
            <v>trifol</v>
          </cell>
          <cell r="L216" t="str">
            <v>Ipomoea</v>
          </cell>
          <cell r="O216" t="str">
            <v>Convolvulaceae</v>
          </cell>
          <cell r="P216" t="str">
            <v>Ipomoea</v>
          </cell>
          <cell r="Q216" t="str">
            <v>abutiloides</v>
          </cell>
          <cell r="R216" t="str">
            <v>Ipomoea abutiloides</v>
          </cell>
        </row>
        <row r="217">
          <cell r="J217">
            <v>217</v>
          </cell>
          <cell r="K217" t="str">
            <v>trifol</v>
          </cell>
          <cell r="L217" t="str">
            <v>Cissus_trifol</v>
          </cell>
          <cell r="O217" t="str">
            <v>Vitaceae</v>
          </cell>
          <cell r="P217" t="str">
            <v xml:space="preserve">Cissus </v>
          </cell>
          <cell r="Q217" t="str">
            <v>trifoliata</v>
          </cell>
          <cell r="R217" t="str">
            <v>Cissus  trifoliata</v>
          </cell>
        </row>
        <row r="218">
          <cell r="J218">
            <v>218</v>
          </cell>
          <cell r="K218" t="str">
            <v>Berberis</v>
          </cell>
          <cell r="L218" t="str">
            <v>Bougainvillea</v>
          </cell>
          <cell r="O218" t="str">
            <v>Nyctaginaceae</v>
          </cell>
          <cell r="P218" t="str">
            <v>Bougainvillea</v>
          </cell>
          <cell r="Q218" t="str">
            <v>peruviana</v>
          </cell>
          <cell r="R218" t="str">
            <v>Bougainvillea peruviana</v>
          </cell>
        </row>
        <row r="219">
          <cell r="J219">
            <v>219</v>
          </cell>
          <cell r="K219" t="str">
            <v>cucurbita</v>
          </cell>
          <cell r="L219" t="str">
            <v>Dioscorea</v>
          </cell>
          <cell r="O219" t="str">
            <v>Dioscoreaceae</v>
          </cell>
          <cell r="P219" t="str">
            <v>Pseudosicydium</v>
          </cell>
          <cell r="Q219" t="str">
            <v>cf. acaranthum</v>
          </cell>
          <cell r="R219" t="str">
            <v>Pseudosicydium cf. acaranthum</v>
          </cell>
        </row>
        <row r="220">
          <cell r="J220">
            <v>220</v>
          </cell>
          <cell r="K220" t="str">
            <v>apo_cordado</v>
          </cell>
          <cell r="L220" t="str">
            <v>Ipomoea</v>
          </cell>
          <cell r="M220" t="str">
            <v xml:space="preserve"> =162</v>
          </cell>
          <cell r="O220" t="str">
            <v>Convolvulaceae</v>
          </cell>
          <cell r="P220" t="str">
            <v>Ipomoea</v>
          </cell>
          <cell r="Q220" t="str">
            <v>abutiloides</v>
          </cell>
          <cell r="R220" t="str">
            <v>Ipomoea abutiloides</v>
          </cell>
        </row>
        <row r="221">
          <cell r="J221">
            <v>221</v>
          </cell>
          <cell r="K221" t="str">
            <v>faba</v>
          </cell>
          <cell r="L221" t="str">
            <v>Piptadenia_sp_tallo_redondo_LB</v>
          </cell>
          <cell r="O221" t="str">
            <v>Fabaceae</v>
          </cell>
          <cell r="P221" t="str">
            <v>Piptadenia</v>
          </cell>
          <cell r="R221" t="str">
            <v xml:space="preserve">Piptadenia </v>
          </cell>
        </row>
        <row r="222">
          <cell r="J222">
            <v>222</v>
          </cell>
          <cell r="K222" t="str">
            <v>apocy_corazon</v>
          </cell>
          <cell r="L222" t="str">
            <v>Ipomoea</v>
          </cell>
          <cell r="M222" t="str">
            <v xml:space="preserve"> =162</v>
          </cell>
          <cell r="O222" t="str">
            <v>Convolvulaceae</v>
          </cell>
          <cell r="P222" t="str">
            <v>Ipomoea</v>
          </cell>
          <cell r="Q222" t="str">
            <v>abutiloides</v>
          </cell>
          <cell r="R222" t="str">
            <v>Ipomoea abutiloides</v>
          </cell>
        </row>
        <row r="223">
          <cell r="J223">
            <v>223</v>
          </cell>
          <cell r="K223" t="str">
            <v>trifol</v>
          </cell>
          <cell r="L223" t="str">
            <v>Cissus_trifol</v>
          </cell>
          <cell r="O223" t="str">
            <v>Vitaceae</v>
          </cell>
          <cell r="P223" t="str">
            <v xml:space="preserve">Cissus </v>
          </cell>
          <cell r="Q223" t="str">
            <v>trifoliata</v>
          </cell>
          <cell r="R223" t="str">
            <v>Cissus  trifoliata</v>
          </cell>
        </row>
        <row r="224">
          <cell r="J224">
            <v>224</v>
          </cell>
          <cell r="K224" t="str">
            <v>apocynaceae corazon</v>
          </cell>
          <cell r="L224" t="str">
            <v>Ipomoea</v>
          </cell>
          <cell r="M224" t="str">
            <v xml:space="preserve"> =70, =162</v>
          </cell>
          <cell r="O224" t="str">
            <v>Convolvulaceae</v>
          </cell>
          <cell r="P224" t="str">
            <v>Ipomoea</v>
          </cell>
          <cell r="Q224" t="str">
            <v>abutiloides</v>
          </cell>
          <cell r="R224" t="str">
            <v>Ipomoea abutiloides</v>
          </cell>
        </row>
        <row r="225">
          <cell r="J225">
            <v>225</v>
          </cell>
          <cell r="K225" t="str">
            <v>apocynaceae corazon</v>
          </cell>
          <cell r="L225" t="str">
            <v>Ipomoea</v>
          </cell>
          <cell r="M225" t="str">
            <v xml:space="preserve"> =70, =162</v>
          </cell>
          <cell r="O225" t="str">
            <v>Convolvulaceae</v>
          </cell>
          <cell r="P225" t="str">
            <v>Ipomoea</v>
          </cell>
          <cell r="Q225" t="str">
            <v>abutiloides</v>
          </cell>
          <cell r="R225" t="str">
            <v>Ipomoea abutiloides</v>
          </cell>
        </row>
        <row r="226">
          <cell r="J226">
            <v>226</v>
          </cell>
          <cell r="K226" t="str">
            <v>apocynaceae corazon</v>
          </cell>
          <cell r="L226" t="str">
            <v>Ipomoea</v>
          </cell>
          <cell r="M226" t="str">
            <v xml:space="preserve"> =70, =162</v>
          </cell>
          <cell r="O226" t="str">
            <v>Convolvulaceae</v>
          </cell>
          <cell r="P226" t="str">
            <v>Ipomoea</v>
          </cell>
          <cell r="Q226" t="str">
            <v>abutiloides</v>
          </cell>
          <cell r="R226" t="str">
            <v>Ipomoea abutiloides</v>
          </cell>
        </row>
        <row r="227">
          <cell r="J227">
            <v>227</v>
          </cell>
          <cell r="K227" t="str">
            <v>apocynaceae corazon</v>
          </cell>
          <cell r="L227" t="str">
            <v>Ipomoea</v>
          </cell>
          <cell r="M227" t="str">
            <v xml:space="preserve"> =70, =162</v>
          </cell>
          <cell r="O227" t="str">
            <v>Convolvulaceae</v>
          </cell>
          <cell r="P227" t="str">
            <v>Ipomoea</v>
          </cell>
          <cell r="Q227" t="str">
            <v>abutiloides</v>
          </cell>
          <cell r="R227" t="str">
            <v>Ipomoea abutiloides</v>
          </cell>
        </row>
        <row r="228">
          <cell r="J228">
            <v>228</v>
          </cell>
          <cell r="K228" t="str">
            <v>apocynaceae corazon</v>
          </cell>
          <cell r="L228" t="str">
            <v>Ipomoea</v>
          </cell>
          <cell r="M228" t="str">
            <v xml:space="preserve"> =70, =162</v>
          </cell>
          <cell r="O228" t="str">
            <v>Convolvulaceae</v>
          </cell>
          <cell r="P228" t="str">
            <v>Ipomoea</v>
          </cell>
          <cell r="Q228" t="str">
            <v>abutiloides</v>
          </cell>
          <cell r="R228" t="str">
            <v>Ipomoea abutiloides</v>
          </cell>
        </row>
        <row r="229">
          <cell r="J229">
            <v>229</v>
          </cell>
          <cell r="K229" t="str">
            <v>apocynaceae corazon</v>
          </cell>
          <cell r="L229" t="str">
            <v>Ipomoea</v>
          </cell>
          <cell r="M229" t="str">
            <v xml:space="preserve"> =70, =162</v>
          </cell>
          <cell r="O229" t="str">
            <v>Convolvulaceae</v>
          </cell>
          <cell r="P229" t="str">
            <v>Ipomoea</v>
          </cell>
          <cell r="Q229" t="str">
            <v>abutiloides</v>
          </cell>
          <cell r="R229" t="str">
            <v>Ipomoea abutiloides</v>
          </cell>
        </row>
        <row r="230">
          <cell r="J230">
            <v>230</v>
          </cell>
          <cell r="K230" t="str">
            <v>cucurbita</v>
          </cell>
          <cell r="L230" t="str">
            <v>Dioscorea</v>
          </cell>
          <cell r="O230" t="str">
            <v>Dioscoreaceae</v>
          </cell>
          <cell r="P230" t="str">
            <v>Pseudosicydium</v>
          </cell>
          <cell r="Q230" t="str">
            <v>cf. acaranthum</v>
          </cell>
          <cell r="R230" t="str">
            <v>Pseudosicydium cf. acaranthum</v>
          </cell>
        </row>
        <row r="231">
          <cell r="J231">
            <v>231</v>
          </cell>
          <cell r="K231" t="str">
            <v>apocynaceae corazon</v>
          </cell>
          <cell r="L231" t="str">
            <v>Ipomoea</v>
          </cell>
          <cell r="M231" t="str">
            <v xml:space="preserve"> =162</v>
          </cell>
          <cell r="O231" t="str">
            <v>Convolvulaceae</v>
          </cell>
          <cell r="P231" t="str">
            <v>Ipomoea</v>
          </cell>
          <cell r="Q231" t="str">
            <v>abutiloides</v>
          </cell>
          <cell r="R231" t="str">
            <v>Ipomoea abutiloides</v>
          </cell>
        </row>
        <row r="232">
          <cell r="J232">
            <v>232</v>
          </cell>
          <cell r="K232" t="str">
            <v>apocynaceae corazon</v>
          </cell>
          <cell r="L232" t="str">
            <v>Ipomoea</v>
          </cell>
          <cell r="M232" t="str">
            <v xml:space="preserve"> =162</v>
          </cell>
          <cell r="O232" t="str">
            <v>Convolvulaceae</v>
          </cell>
          <cell r="P232" t="str">
            <v>Ipomoea</v>
          </cell>
          <cell r="Q232" t="str">
            <v>abutiloides</v>
          </cell>
          <cell r="R232" t="str">
            <v>Ipomoea abutiloides</v>
          </cell>
        </row>
        <row r="233">
          <cell r="J233">
            <v>233</v>
          </cell>
          <cell r="K233" t="str">
            <v>apocyna corazon</v>
          </cell>
          <cell r="L233" t="str">
            <v>Ipomoea</v>
          </cell>
          <cell r="M233" t="str">
            <v xml:space="preserve"> =162</v>
          </cell>
          <cell r="O233" t="str">
            <v>Convolvulaceae</v>
          </cell>
          <cell r="P233" t="str">
            <v>Ipomoea</v>
          </cell>
          <cell r="Q233" t="str">
            <v>abutiloides</v>
          </cell>
          <cell r="R233" t="str">
            <v>Ipomoea abutiloides</v>
          </cell>
        </row>
        <row r="234">
          <cell r="J234">
            <v>234</v>
          </cell>
          <cell r="K234" t="str">
            <v>apocyna_corazon</v>
          </cell>
          <cell r="L234" t="str">
            <v>Ipomoea</v>
          </cell>
          <cell r="M234" t="str">
            <v xml:space="preserve"> =162</v>
          </cell>
          <cell r="O234" t="str">
            <v>Convolvulaceae</v>
          </cell>
          <cell r="P234" t="str">
            <v>Ipomoea</v>
          </cell>
          <cell r="Q234" t="str">
            <v>abutiloides</v>
          </cell>
          <cell r="R234" t="str">
            <v>Ipomoea abutiloides</v>
          </cell>
        </row>
        <row r="235">
          <cell r="J235">
            <v>235</v>
          </cell>
          <cell r="K235" t="str">
            <v>cucurbita</v>
          </cell>
          <cell r="L235" t="str">
            <v>Dioscorea</v>
          </cell>
          <cell r="O235" t="str">
            <v>Dioscoreaceae</v>
          </cell>
          <cell r="P235" t="str">
            <v>Pseudosicydium</v>
          </cell>
          <cell r="Q235" t="str">
            <v>cf. acaranthum</v>
          </cell>
          <cell r="R235" t="str">
            <v>Pseudosicydium cf. acaranthum</v>
          </cell>
        </row>
        <row r="236">
          <cell r="J236">
            <v>236</v>
          </cell>
          <cell r="K236" t="str">
            <v>cucurbitaceae</v>
          </cell>
          <cell r="L236" t="str">
            <v>Dioscorea</v>
          </cell>
          <cell r="O236" t="str">
            <v>Dioscoreaceae</v>
          </cell>
          <cell r="P236" t="str">
            <v>Pseudosicydium</v>
          </cell>
          <cell r="Q236" t="str">
            <v>cf. acaranthum</v>
          </cell>
          <cell r="R236" t="str">
            <v>Pseudosicydium cf. acaranthum</v>
          </cell>
        </row>
        <row r="237">
          <cell r="J237">
            <v>237</v>
          </cell>
          <cell r="K237" t="str">
            <v>cucurbitaceae</v>
          </cell>
          <cell r="L237" t="str">
            <v>Dioscorea</v>
          </cell>
          <cell r="O237" t="str">
            <v>Dioscoreaceae</v>
          </cell>
          <cell r="P237" t="str">
            <v>Pseudosicydium</v>
          </cell>
          <cell r="Q237" t="str">
            <v>cf. acaranthum</v>
          </cell>
          <cell r="R237" t="str">
            <v>Pseudosicydium cf. acaranthum</v>
          </cell>
        </row>
        <row r="238">
          <cell r="J238">
            <v>238</v>
          </cell>
          <cell r="K238" t="str">
            <v>cucurbitaceae</v>
          </cell>
          <cell r="L238" t="str">
            <v>Dioscorea</v>
          </cell>
          <cell r="O238" t="str">
            <v>Dioscoreaceae</v>
          </cell>
          <cell r="P238" t="str">
            <v>Pseudosicydium</v>
          </cell>
          <cell r="Q238" t="str">
            <v>cf. acaranthum</v>
          </cell>
          <cell r="R238" t="str">
            <v>Pseudosicydium cf. acaranthum</v>
          </cell>
        </row>
        <row r="239">
          <cell r="J239">
            <v>239</v>
          </cell>
          <cell r="K239" t="str">
            <v>cucurbitaceae</v>
          </cell>
          <cell r="L239" t="str">
            <v>Dioscorea</v>
          </cell>
          <cell r="O239" t="str">
            <v>Dioscoreaceae</v>
          </cell>
          <cell r="P239" t="str">
            <v>Pseudosicydium</v>
          </cell>
          <cell r="Q239" t="str">
            <v>cf. acaranthum</v>
          </cell>
          <cell r="R239" t="str">
            <v>Pseudosicydium cf. acaranthum</v>
          </cell>
        </row>
        <row r="240">
          <cell r="J240">
            <v>240</v>
          </cell>
          <cell r="K240" t="str">
            <v>trifol</v>
          </cell>
          <cell r="L240" t="str">
            <v>Cissus_trifol</v>
          </cell>
          <cell r="O240" t="str">
            <v>Vitaceae</v>
          </cell>
          <cell r="P240" t="str">
            <v xml:space="preserve">Cissus </v>
          </cell>
          <cell r="Q240" t="str">
            <v>trifoliata</v>
          </cell>
          <cell r="R240" t="str">
            <v>Cissus  trifoliata</v>
          </cell>
        </row>
        <row r="241">
          <cell r="J241">
            <v>241</v>
          </cell>
          <cell r="K241" t="str">
            <v>cucurbita</v>
          </cell>
          <cell r="L241" t="str">
            <v>Dioscorea</v>
          </cell>
          <cell r="O241" t="str">
            <v>Dioscoreaceae</v>
          </cell>
          <cell r="P241" t="str">
            <v>Pseudosicydium</v>
          </cell>
          <cell r="Q241" t="str">
            <v>cf. acaranthum</v>
          </cell>
          <cell r="R241" t="str">
            <v>Pseudosicydium cf. acaranthum</v>
          </cell>
        </row>
        <row r="242">
          <cell r="J242">
            <v>242</v>
          </cell>
          <cell r="K242" t="str">
            <v>cucurbita</v>
          </cell>
          <cell r="L242" t="str">
            <v>Dioscorea</v>
          </cell>
          <cell r="O242" t="str">
            <v>Dioscoreaceae</v>
          </cell>
          <cell r="P242" t="str">
            <v>Pseudosicydium</v>
          </cell>
          <cell r="Q242" t="str">
            <v>cf. acaranthum</v>
          </cell>
          <cell r="R242" t="str">
            <v>Pseudosicydium cf. acaranthum</v>
          </cell>
        </row>
        <row r="243">
          <cell r="J243">
            <v>243</v>
          </cell>
          <cell r="K243" t="str">
            <v>apocyna corazon</v>
          </cell>
          <cell r="L243" t="str">
            <v>Ipomoea</v>
          </cell>
          <cell r="O243" t="str">
            <v>Convolvulaceae</v>
          </cell>
          <cell r="P243" t="str">
            <v>Ipomoea</v>
          </cell>
          <cell r="Q243" t="str">
            <v>abutiloides</v>
          </cell>
          <cell r="R243" t="str">
            <v>Ipomoea abutiloides</v>
          </cell>
        </row>
        <row r="244">
          <cell r="J244">
            <v>244</v>
          </cell>
          <cell r="K244" t="str">
            <v>apocyna corazon</v>
          </cell>
          <cell r="L244" t="str">
            <v>Ipomoea</v>
          </cell>
          <cell r="O244" t="str">
            <v>Convolvulaceae</v>
          </cell>
          <cell r="P244" t="str">
            <v>Ipomoea</v>
          </cell>
          <cell r="Q244" t="str">
            <v>abutiloides</v>
          </cell>
          <cell r="R244" t="str">
            <v>Ipomoea abutiloides</v>
          </cell>
        </row>
        <row r="245">
          <cell r="J245">
            <v>245</v>
          </cell>
          <cell r="K245" t="str">
            <v>apocyna corazon</v>
          </cell>
          <cell r="L245" t="str">
            <v>Ipomoea</v>
          </cell>
          <cell r="O245" t="str">
            <v>Convolvulaceae</v>
          </cell>
          <cell r="P245" t="str">
            <v>Ipomoea</v>
          </cell>
          <cell r="Q245" t="str">
            <v>abutiloides</v>
          </cell>
          <cell r="R245" t="str">
            <v>Ipomoea abutiloides</v>
          </cell>
        </row>
        <row r="246">
          <cell r="J246">
            <v>246</v>
          </cell>
          <cell r="K246" t="str">
            <v>apocyna corazon</v>
          </cell>
          <cell r="L246" t="str">
            <v>Ipomoea</v>
          </cell>
          <cell r="O246" t="str">
            <v>Convolvulaceae</v>
          </cell>
          <cell r="P246" t="str">
            <v>Ipomoea</v>
          </cell>
          <cell r="Q246" t="str">
            <v>abutiloides</v>
          </cell>
          <cell r="R246" t="str">
            <v>Ipomoea abutiloides</v>
          </cell>
        </row>
        <row r="247">
          <cell r="J247">
            <v>247</v>
          </cell>
          <cell r="K247" t="str">
            <v>apocyna corazon</v>
          </cell>
          <cell r="L247" t="str">
            <v>Ipomoea</v>
          </cell>
          <cell r="O247" t="str">
            <v>Convolvulaceae</v>
          </cell>
          <cell r="P247" t="str">
            <v>Ipomoea</v>
          </cell>
          <cell r="Q247" t="str">
            <v>abutiloides</v>
          </cell>
          <cell r="R247" t="str">
            <v>Ipomoea abutiloides</v>
          </cell>
        </row>
        <row r="248">
          <cell r="J248">
            <v>248</v>
          </cell>
          <cell r="K248" t="str">
            <v>apocyna corazon</v>
          </cell>
          <cell r="L248" t="str">
            <v>Ipomoea</v>
          </cell>
          <cell r="O248" t="str">
            <v>Convolvulaceae</v>
          </cell>
          <cell r="P248" t="str">
            <v>Ipomoea</v>
          </cell>
          <cell r="Q248" t="str">
            <v>abutiloides</v>
          </cell>
          <cell r="R248" t="str">
            <v>Ipomoea abutiloides</v>
          </cell>
        </row>
        <row r="249">
          <cell r="J249">
            <v>249</v>
          </cell>
          <cell r="K249" t="str">
            <v>apocyna corazon</v>
          </cell>
          <cell r="L249" t="str">
            <v>Ipomoea</v>
          </cell>
          <cell r="O249" t="str">
            <v>Convolvulaceae</v>
          </cell>
          <cell r="P249" t="str">
            <v>Ipomoea</v>
          </cell>
          <cell r="Q249" t="str">
            <v>abutiloides</v>
          </cell>
          <cell r="R249" t="str">
            <v>Ipomoea abutiloides</v>
          </cell>
        </row>
        <row r="250">
          <cell r="J250">
            <v>250</v>
          </cell>
          <cell r="K250" t="str">
            <v>apocyna corazon</v>
          </cell>
          <cell r="L250" t="str">
            <v>Ipomoea</v>
          </cell>
          <cell r="O250" t="str">
            <v>Convolvulaceae</v>
          </cell>
          <cell r="P250" t="str">
            <v>Ipomoea</v>
          </cell>
          <cell r="Q250" t="str">
            <v>abutiloides</v>
          </cell>
          <cell r="R250" t="str">
            <v>Ipomoea abutiloides</v>
          </cell>
        </row>
        <row r="251">
          <cell r="J251">
            <v>251</v>
          </cell>
          <cell r="K251" t="str">
            <v>cucurbita</v>
          </cell>
          <cell r="L251" t="str">
            <v>Dioscorea</v>
          </cell>
          <cell r="O251" t="str">
            <v>Dioscoreaceae</v>
          </cell>
          <cell r="P251" t="str">
            <v>Pseudosicydium</v>
          </cell>
          <cell r="Q251" t="str">
            <v>cf. acaranthum</v>
          </cell>
          <cell r="R251" t="str">
            <v>Pseudosicydium cf. acaranthum</v>
          </cell>
        </row>
        <row r="252">
          <cell r="J252">
            <v>252</v>
          </cell>
          <cell r="K252" t="str">
            <v>apocyna corazon</v>
          </cell>
          <cell r="L252" t="str">
            <v>Ipomoea</v>
          </cell>
          <cell r="O252" t="str">
            <v>Convolvulaceae</v>
          </cell>
          <cell r="P252" t="str">
            <v>Ipomoea</v>
          </cell>
          <cell r="Q252" t="str">
            <v>abutiloides</v>
          </cell>
          <cell r="R252" t="str">
            <v>Ipomoea abutiloides</v>
          </cell>
        </row>
        <row r="253">
          <cell r="J253">
            <v>253</v>
          </cell>
          <cell r="K253" t="str">
            <v>apocyna corazon</v>
          </cell>
          <cell r="L253" t="str">
            <v>Ipomoea</v>
          </cell>
          <cell r="O253" t="str">
            <v>Convolvulaceae</v>
          </cell>
          <cell r="P253" t="str">
            <v>Ipomoea</v>
          </cell>
          <cell r="Q253" t="str">
            <v>abutiloides</v>
          </cell>
          <cell r="R253" t="str">
            <v>Ipomoea abutiloides</v>
          </cell>
        </row>
        <row r="254">
          <cell r="J254">
            <v>254</v>
          </cell>
          <cell r="K254" t="str">
            <v>apocyna corazon</v>
          </cell>
          <cell r="L254" t="str">
            <v>Ipomoea</v>
          </cell>
          <cell r="O254" t="str">
            <v>Convolvulaceae</v>
          </cell>
          <cell r="P254" t="str">
            <v>Ipomoea</v>
          </cell>
          <cell r="Q254" t="str">
            <v>abutiloides</v>
          </cell>
          <cell r="R254" t="str">
            <v>Ipomoea abutiloides</v>
          </cell>
        </row>
        <row r="255">
          <cell r="J255">
            <v>255</v>
          </cell>
          <cell r="K255" t="str">
            <v>apocyna corazon</v>
          </cell>
          <cell r="L255" t="str">
            <v>Ipomoea</v>
          </cell>
          <cell r="O255" t="str">
            <v>Convolvulaceae</v>
          </cell>
          <cell r="P255" t="str">
            <v>Ipomoea</v>
          </cell>
          <cell r="Q255" t="str">
            <v>abutiloides</v>
          </cell>
          <cell r="R255" t="str">
            <v>Ipomoea abutiloides</v>
          </cell>
        </row>
        <row r="256">
          <cell r="J256">
            <v>256</v>
          </cell>
          <cell r="K256" t="str">
            <v>apo sp. 2</v>
          </cell>
          <cell r="L256" t="str">
            <v>apo_sp_2</v>
          </cell>
          <cell r="M256" t="str">
            <v xml:space="preserve"> =256</v>
          </cell>
          <cell r="N256" t="str">
            <v>Berthil (Apocynaceae)</v>
          </cell>
          <cell r="O256" t="str">
            <v>Apocynaceae</v>
          </cell>
          <cell r="R256" t="str">
            <v xml:space="preserve"> </v>
          </cell>
        </row>
        <row r="257">
          <cell r="J257">
            <v>257</v>
          </cell>
          <cell r="K257" t="str">
            <v>apocyna corazon</v>
          </cell>
          <cell r="L257" t="str">
            <v>Ipomoea</v>
          </cell>
          <cell r="O257" t="str">
            <v>Convolvulaceae</v>
          </cell>
          <cell r="P257" t="str">
            <v>Ipomoea</v>
          </cell>
          <cell r="Q257" t="str">
            <v>abutiloides</v>
          </cell>
          <cell r="R257" t="str">
            <v>Ipomoea abutiloides</v>
          </cell>
        </row>
        <row r="258">
          <cell r="J258">
            <v>258</v>
          </cell>
          <cell r="K258" t="str">
            <v>apocyna corazon</v>
          </cell>
          <cell r="L258" t="str">
            <v>Ipomoea</v>
          </cell>
          <cell r="O258" t="str">
            <v>Convolvulaceae</v>
          </cell>
          <cell r="P258" t="str">
            <v>Ipomoea</v>
          </cell>
          <cell r="Q258" t="str">
            <v>abutiloides</v>
          </cell>
          <cell r="R258" t="str">
            <v>Ipomoea abutiloides</v>
          </cell>
        </row>
        <row r="259">
          <cell r="J259">
            <v>259</v>
          </cell>
          <cell r="K259" t="str">
            <v>apocy corazon</v>
          </cell>
          <cell r="L259" t="str">
            <v>Ipomoea</v>
          </cell>
          <cell r="M259" t="str">
            <v xml:space="preserve"> =162</v>
          </cell>
          <cell r="O259" t="str">
            <v>Convolvulaceae</v>
          </cell>
          <cell r="P259" t="str">
            <v>Ipomoea</v>
          </cell>
          <cell r="Q259" t="str">
            <v>abutiloides</v>
          </cell>
          <cell r="R259" t="str">
            <v>Ipomoea abutiloides</v>
          </cell>
        </row>
        <row r="260">
          <cell r="J260">
            <v>260</v>
          </cell>
          <cell r="K260" t="str">
            <v>apo sp. 2</v>
          </cell>
          <cell r="L260" t="str">
            <v>apo_sp_2</v>
          </cell>
          <cell r="M260" t="str">
            <v xml:space="preserve"> =256</v>
          </cell>
          <cell r="O260" t="str">
            <v>Apocynaceae</v>
          </cell>
          <cell r="R260" t="str">
            <v xml:space="preserve"> </v>
          </cell>
        </row>
        <row r="261">
          <cell r="J261">
            <v>261</v>
          </cell>
          <cell r="K261" t="str">
            <v>Berberis</v>
          </cell>
          <cell r="L261" t="str">
            <v>Bougainvillea</v>
          </cell>
          <cell r="O261" t="str">
            <v>Nyctaginaceae</v>
          </cell>
          <cell r="P261" t="str">
            <v>Bougainvillea</v>
          </cell>
          <cell r="Q261" t="str">
            <v>peruviana</v>
          </cell>
          <cell r="R261" t="str">
            <v>Bougainvillea peruviana</v>
          </cell>
        </row>
        <row r="262">
          <cell r="J262">
            <v>262</v>
          </cell>
          <cell r="K262" t="str">
            <v>trifol</v>
          </cell>
          <cell r="L262" t="str">
            <v>Cissus_286_simple</v>
          </cell>
          <cell r="O262" t="str">
            <v>Vitaceae</v>
          </cell>
          <cell r="P262" t="str">
            <v>Cissus</v>
          </cell>
          <cell r="Q262" t="str">
            <v>sicyoides</v>
          </cell>
          <cell r="R262" t="str">
            <v>Cissus sicyoides</v>
          </cell>
        </row>
        <row r="263">
          <cell r="J263">
            <v>263</v>
          </cell>
          <cell r="K263" t="str">
            <v>cucurbita</v>
          </cell>
          <cell r="L263" t="str">
            <v>Dioscorea</v>
          </cell>
          <cell r="O263" t="str">
            <v>Dioscoreaceae</v>
          </cell>
          <cell r="P263" t="str">
            <v>Pseudosicydium</v>
          </cell>
          <cell r="Q263" t="str">
            <v>cf. acaranthum</v>
          </cell>
          <cell r="R263" t="str">
            <v>Pseudosicydium cf. acaranthum</v>
          </cell>
        </row>
        <row r="264">
          <cell r="J264">
            <v>264</v>
          </cell>
          <cell r="K264" t="str">
            <v>apocy_corazon</v>
          </cell>
          <cell r="L264" t="str">
            <v>Ipomoea</v>
          </cell>
          <cell r="O264" t="str">
            <v>Convolvulaceae</v>
          </cell>
          <cell r="P264" t="str">
            <v>Ipomoea</v>
          </cell>
          <cell r="Q264" t="str">
            <v>abutiloides</v>
          </cell>
          <cell r="R264" t="str">
            <v>Ipomoea abutiloides</v>
          </cell>
        </row>
        <row r="265">
          <cell r="J265">
            <v>265</v>
          </cell>
          <cell r="K265" t="str">
            <v>apocy_corazon</v>
          </cell>
          <cell r="L265" t="str">
            <v>Ipomoea</v>
          </cell>
          <cell r="O265" t="str">
            <v>Convolvulaceae</v>
          </cell>
          <cell r="P265" t="str">
            <v>Ipomoea</v>
          </cell>
          <cell r="Q265" t="str">
            <v>abutiloides</v>
          </cell>
          <cell r="R265" t="str">
            <v>Ipomoea abutiloides</v>
          </cell>
        </row>
        <row r="266">
          <cell r="J266">
            <v>266</v>
          </cell>
          <cell r="K266" t="str">
            <v>apo sp. 2</v>
          </cell>
          <cell r="L266" t="str">
            <v>apo_sp_2</v>
          </cell>
          <cell r="M266" t="str">
            <v xml:space="preserve"> =256</v>
          </cell>
          <cell r="O266" t="str">
            <v>Apocynaceae</v>
          </cell>
          <cell r="R266" t="str">
            <v xml:space="preserve"> </v>
          </cell>
        </row>
        <row r="267">
          <cell r="J267">
            <v>267</v>
          </cell>
          <cell r="K267" t="str">
            <v>apocyna_apice</v>
          </cell>
          <cell r="L267" t="str">
            <v>Ipomoea</v>
          </cell>
          <cell r="O267" t="str">
            <v>Convolvulaceae</v>
          </cell>
          <cell r="P267" t="str">
            <v>Ipomoea</v>
          </cell>
          <cell r="Q267" t="str">
            <v>abutiloides</v>
          </cell>
          <cell r="R267" t="str">
            <v>Ipomoea abutiloides</v>
          </cell>
        </row>
        <row r="268">
          <cell r="J268">
            <v>268</v>
          </cell>
          <cell r="K268" t="str">
            <v>apocyna_apice</v>
          </cell>
          <cell r="L268" t="str">
            <v>Ipomoea</v>
          </cell>
          <cell r="O268" t="str">
            <v>Convolvulaceae</v>
          </cell>
          <cell r="P268" t="str">
            <v>Ipomoea</v>
          </cell>
          <cell r="Q268" t="str">
            <v>abutiloides</v>
          </cell>
          <cell r="R268" t="str">
            <v>Ipomoea abutiloides</v>
          </cell>
        </row>
        <row r="269">
          <cell r="J269">
            <v>269</v>
          </cell>
          <cell r="K269" t="str">
            <v>apocyna_apice</v>
          </cell>
          <cell r="L269" t="str">
            <v>Ipomoea</v>
          </cell>
          <cell r="O269" t="str">
            <v>Convolvulaceae</v>
          </cell>
          <cell r="P269" t="str">
            <v>Ipomoea</v>
          </cell>
          <cell r="Q269" t="str">
            <v>abutiloides</v>
          </cell>
          <cell r="R269" t="str">
            <v>Ipomoea abutiloides</v>
          </cell>
        </row>
        <row r="270">
          <cell r="J270">
            <v>270</v>
          </cell>
          <cell r="K270" t="str">
            <v>cucurbita</v>
          </cell>
          <cell r="L270" t="str">
            <v>Dioscorea</v>
          </cell>
          <cell r="O270" t="str">
            <v>Dioscoreaceae</v>
          </cell>
          <cell r="P270" t="str">
            <v>Pseudosicydium</v>
          </cell>
          <cell r="Q270" t="str">
            <v>cf. acaranthum</v>
          </cell>
          <cell r="R270" t="str">
            <v>Pseudosicydium cf. acaranthum</v>
          </cell>
        </row>
        <row r="271">
          <cell r="J271">
            <v>271</v>
          </cell>
          <cell r="K271" t="str">
            <v>cucurbita</v>
          </cell>
          <cell r="L271" t="str">
            <v>Dioscorea</v>
          </cell>
          <cell r="O271" t="str">
            <v>Dioscoreaceae</v>
          </cell>
          <cell r="P271" t="str">
            <v>Pseudosicydium</v>
          </cell>
          <cell r="Q271" t="str">
            <v>cf. acaranthum</v>
          </cell>
          <cell r="R271" t="str">
            <v>Pseudosicydium cf. acaranthum</v>
          </cell>
        </row>
        <row r="272">
          <cell r="J272">
            <v>272</v>
          </cell>
          <cell r="K272" t="str">
            <v>apocy sp. 2</v>
          </cell>
          <cell r="L272" t="str">
            <v>apo_sp_2</v>
          </cell>
          <cell r="M272" t="str">
            <v xml:space="preserve"> =256</v>
          </cell>
          <cell r="O272" t="str">
            <v>Apocynaceae</v>
          </cell>
          <cell r="R272" t="str">
            <v xml:space="preserve"> </v>
          </cell>
        </row>
        <row r="273">
          <cell r="J273">
            <v>273</v>
          </cell>
          <cell r="K273" t="str">
            <v>apocy sp. 2</v>
          </cell>
          <cell r="L273" t="str">
            <v>apo_sp_2</v>
          </cell>
          <cell r="M273" t="str">
            <v xml:space="preserve"> =256</v>
          </cell>
          <cell r="O273" t="str">
            <v>Apocynaceae</v>
          </cell>
          <cell r="R273" t="str">
            <v xml:space="preserve"> </v>
          </cell>
        </row>
        <row r="274">
          <cell r="J274">
            <v>274</v>
          </cell>
          <cell r="K274" t="str">
            <v>Apocyna sp.</v>
          </cell>
          <cell r="L274" t="str">
            <v>Ipomoea</v>
          </cell>
          <cell r="O274" t="str">
            <v>Convolvulaceae</v>
          </cell>
          <cell r="P274" t="str">
            <v>Ipomoea</v>
          </cell>
          <cell r="Q274" t="str">
            <v>abutiloides</v>
          </cell>
          <cell r="R274" t="str">
            <v>Ipomoea abutiloides</v>
          </cell>
        </row>
        <row r="275">
          <cell r="J275">
            <v>275</v>
          </cell>
          <cell r="K275" t="str">
            <v>Apocyna sp.</v>
          </cell>
          <cell r="L275" t="str">
            <v>Ipomoea</v>
          </cell>
          <cell r="O275" t="str">
            <v>Convolvulaceae</v>
          </cell>
          <cell r="P275" t="str">
            <v>Ipomoea</v>
          </cell>
          <cell r="Q275" t="str">
            <v>abutiloides</v>
          </cell>
          <cell r="R275" t="str">
            <v>Ipomoea abutiloides</v>
          </cell>
        </row>
        <row r="276">
          <cell r="J276">
            <v>276</v>
          </cell>
          <cell r="K276" t="str">
            <v>Apocyna sp.</v>
          </cell>
          <cell r="L276" t="str">
            <v>Ipomoea</v>
          </cell>
          <cell r="O276" t="str">
            <v>Convolvulaceae</v>
          </cell>
          <cell r="P276" t="str">
            <v>Ipomoea</v>
          </cell>
          <cell r="Q276" t="str">
            <v>abutiloides</v>
          </cell>
          <cell r="R276" t="str">
            <v>Ipomoea abutiloides</v>
          </cell>
        </row>
        <row r="277">
          <cell r="J277">
            <v>277</v>
          </cell>
          <cell r="K277" t="str">
            <v>Apocyna sp.</v>
          </cell>
          <cell r="L277" t="str">
            <v>Ipomoea</v>
          </cell>
          <cell r="O277" t="str">
            <v>Convolvulaceae</v>
          </cell>
          <cell r="P277" t="str">
            <v>Ipomoea</v>
          </cell>
          <cell r="Q277" t="str">
            <v>abutiloides</v>
          </cell>
          <cell r="R277" t="str">
            <v>Ipomoea abutiloides</v>
          </cell>
        </row>
        <row r="278">
          <cell r="J278">
            <v>278</v>
          </cell>
          <cell r="K278" t="str">
            <v>cucurbita</v>
          </cell>
          <cell r="L278" t="str">
            <v>Dioscorea</v>
          </cell>
          <cell r="O278" t="str">
            <v>Dioscoreaceae</v>
          </cell>
          <cell r="P278" t="str">
            <v>Pseudosicydium</v>
          </cell>
          <cell r="Q278" t="str">
            <v>cf. acaranthum</v>
          </cell>
          <cell r="R278" t="str">
            <v>Pseudosicydium cf. acaranthum</v>
          </cell>
        </row>
        <row r="279">
          <cell r="J279">
            <v>279</v>
          </cell>
          <cell r="K279" t="str">
            <v>apocyna_apice</v>
          </cell>
          <cell r="L279" t="str">
            <v>Ipomoea</v>
          </cell>
          <cell r="O279" t="str">
            <v>Convolvulaceae</v>
          </cell>
          <cell r="P279" t="str">
            <v>Ipomoea</v>
          </cell>
          <cell r="Q279" t="str">
            <v>abutiloides</v>
          </cell>
          <cell r="R279" t="str">
            <v>Ipomoea abutiloides</v>
          </cell>
        </row>
        <row r="280">
          <cell r="J280">
            <v>280</v>
          </cell>
          <cell r="K280" t="str">
            <v>apocyna_apice</v>
          </cell>
          <cell r="L280" t="str">
            <v>Ipomoea</v>
          </cell>
          <cell r="O280" t="str">
            <v>Convolvulaceae</v>
          </cell>
          <cell r="P280" t="str">
            <v>Ipomoea</v>
          </cell>
          <cell r="Q280" t="str">
            <v>abutiloides</v>
          </cell>
          <cell r="R280" t="str">
            <v>Ipomoea abutiloides</v>
          </cell>
        </row>
        <row r="281">
          <cell r="J281">
            <v>281</v>
          </cell>
          <cell r="K281" t="str">
            <v>apocyna_apice</v>
          </cell>
          <cell r="L281" t="str">
            <v>Ipomoea</v>
          </cell>
          <cell r="O281" t="str">
            <v>Convolvulaceae</v>
          </cell>
          <cell r="P281" t="str">
            <v>Ipomoea</v>
          </cell>
          <cell r="Q281" t="str">
            <v>abutiloides</v>
          </cell>
          <cell r="R281" t="str">
            <v>Ipomoea abutiloides</v>
          </cell>
        </row>
        <row r="282">
          <cell r="J282">
            <v>282</v>
          </cell>
          <cell r="K282" t="str">
            <v>apocy sp. 2</v>
          </cell>
          <cell r="L282" t="str">
            <v>apo_sp_2</v>
          </cell>
          <cell r="M282" t="str">
            <v xml:space="preserve"> =256</v>
          </cell>
          <cell r="O282" t="str">
            <v>Apocynaceae</v>
          </cell>
          <cell r="R282" t="str">
            <v xml:space="preserve"> </v>
          </cell>
        </row>
        <row r="283">
          <cell r="J283">
            <v>283</v>
          </cell>
          <cell r="K283" t="str">
            <v>apocy_corazon</v>
          </cell>
          <cell r="L283" t="str">
            <v>Ipomoea</v>
          </cell>
          <cell r="O283" t="str">
            <v>Convolvulaceae</v>
          </cell>
          <cell r="P283" t="str">
            <v>Ipomoea</v>
          </cell>
          <cell r="Q283" t="str">
            <v>abutiloides</v>
          </cell>
          <cell r="R283" t="str">
            <v>Ipomoea abutiloides</v>
          </cell>
        </row>
        <row r="284">
          <cell r="J284">
            <v>284</v>
          </cell>
          <cell r="K284" t="str">
            <v>Fab-impar</v>
          </cell>
          <cell r="L284" t="str">
            <v>Fab_284</v>
          </cell>
          <cell r="M284" t="str">
            <v xml:space="preserve"> =284</v>
          </cell>
          <cell r="N284" t="str">
            <v>Berthil (Fabaceae, Dalbergia??)</v>
          </cell>
          <cell r="O284" t="str">
            <v>Fabaceae</v>
          </cell>
          <cell r="P284" t="str">
            <v>0_cf. Dalbergia</v>
          </cell>
          <cell r="R284" t="str">
            <v xml:space="preserve">0_cf. Dalbergia </v>
          </cell>
        </row>
        <row r="285">
          <cell r="J285">
            <v>285</v>
          </cell>
          <cell r="K285" t="str">
            <v>Fab-impar</v>
          </cell>
          <cell r="L285" t="str">
            <v>Fab_284</v>
          </cell>
          <cell r="M285" t="str">
            <v xml:space="preserve"> =284</v>
          </cell>
          <cell r="O285" t="str">
            <v>Fabaceae</v>
          </cell>
          <cell r="P285" t="str">
            <v>0_cf. Dalbergia</v>
          </cell>
          <cell r="R285" t="str">
            <v xml:space="preserve">0_cf. Dalbergia </v>
          </cell>
        </row>
        <row r="286">
          <cell r="J286">
            <v>286</v>
          </cell>
          <cell r="K286" t="str">
            <v>Sp. Corazon</v>
          </cell>
          <cell r="L286" t="str">
            <v>Cissus_286_simple</v>
          </cell>
          <cell r="M286" t="str">
            <v xml:space="preserve"> =286</v>
          </cell>
          <cell r="N286" t="str">
            <v>Check Berthil (=286, 328, 379, 334), este numero segun Berthil es Vittis</v>
          </cell>
          <cell r="O286" t="str">
            <v>Vitaceae</v>
          </cell>
          <cell r="P286" t="str">
            <v>Cissus</v>
          </cell>
          <cell r="Q286" t="str">
            <v>sicyoides</v>
          </cell>
          <cell r="R286" t="str">
            <v>Cissus sicyoides</v>
          </cell>
        </row>
        <row r="287">
          <cell r="J287">
            <v>287</v>
          </cell>
          <cell r="K287" t="str">
            <v>Fab-impar</v>
          </cell>
          <cell r="L287" t="str">
            <v>Fab_284</v>
          </cell>
          <cell r="M287" t="str">
            <v xml:space="preserve"> =284</v>
          </cell>
          <cell r="O287" t="str">
            <v>Fabaceae</v>
          </cell>
          <cell r="P287" t="str">
            <v>0_cf. Dalbergia</v>
          </cell>
          <cell r="R287" t="str">
            <v xml:space="preserve">0_cf. Dalbergia </v>
          </cell>
        </row>
        <row r="288">
          <cell r="J288">
            <v>288</v>
          </cell>
          <cell r="K288" t="str">
            <v>Sp. Corazon</v>
          </cell>
          <cell r="L288" t="str">
            <v>Cissus_286_simple</v>
          </cell>
          <cell r="M288" t="str">
            <v xml:space="preserve"> =286</v>
          </cell>
          <cell r="O288" t="str">
            <v>Vitaceae</v>
          </cell>
          <cell r="P288" t="str">
            <v>Cissus</v>
          </cell>
          <cell r="Q288" t="str">
            <v>sicyoides</v>
          </cell>
          <cell r="R288" t="str">
            <v>Cissus sicyoides</v>
          </cell>
        </row>
        <row r="289">
          <cell r="J289">
            <v>289</v>
          </cell>
          <cell r="K289" t="str">
            <v>sp. 1</v>
          </cell>
          <cell r="L289" t="str">
            <v>Dioscorea</v>
          </cell>
          <cell r="M289" t="str">
            <v xml:space="preserve"> =289</v>
          </cell>
          <cell r="O289" t="str">
            <v>Dioscoreaceae</v>
          </cell>
          <cell r="R289" t="str">
            <v xml:space="preserve"> </v>
          </cell>
        </row>
        <row r="290">
          <cell r="J290">
            <v>290</v>
          </cell>
          <cell r="K290" t="str">
            <v>sp. 1</v>
          </cell>
          <cell r="L290" t="str">
            <v>Dioscorea</v>
          </cell>
          <cell r="M290" t="str">
            <v xml:space="preserve"> =289</v>
          </cell>
          <cell r="O290" t="str">
            <v>Dioscoreaceae</v>
          </cell>
          <cell r="R290" t="str">
            <v xml:space="preserve"> </v>
          </cell>
        </row>
        <row r="291">
          <cell r="J291">
            <v>291</v>
          </cell>
          <cell r="K291" t="str">
            <v>sp. 1</v>
          </cell>
          <cell r="L291" t="str">
            <v>Dioscorea</v>
          </cell>
          <cell r="M291" t="str">
            <v xml:space="preserve"> =289</v>
          </cell>
          <cell r="O291" t="str">
            <v>Dioscoreaceae</v>
          </cell>
          <cell r="R291" t="str">
            <v xml:space="preserve"> </v>
          </cell>
        </row>
        <row r="292">
          <cell r="J292">
            <v>292</v>
          </cell>
          <cell r="K292" t="str">
            <v>sp. 1</v>
          </cell>
          <cell r="L292" t="str">
            <v>Dioscorea</v>
          </cell>
          <cell r="M292" t="str">
            <v xml:space="preserve"> =289</v>
          </cell>
          <cell r="O292" t="str">
            <v>Dioscoreaceae</v>
          </cell>
          <cell r="R292" t="str">
            <v xml:space="preserve"> </v>
          </cell>
        </row>
        <row r="293">
          <cell r="J293">
            <v>293</v>
          </cell>
          <cell r="K293" t="str">
            <v>Sp. Corazon</v>
          </cell>
          <cell r="L293" t="str">
            <v>Cissus_286_simple</v>
          </cell>
          <cell r="M293" t="str">
            <v xml:space="preserve"> =286</v>
          </cell>
          <cell r="O293" t="str">
            <v>Vitaceae</v>
          </cell>
          <cell r="P293" t="str">
            <v>Cissus</v>
          </cell>
          <cell r="Q293" t="str">
            <v>sicyoides</v>
          </cell>
          <cell r="R293" t="str">
            <v>Cissus sicyoides</v>
          </cell>
        </row>
        <row r="294">
          <cell r="J294">
            <v>294</v>
          </cell>
          <cell r="K294" t="str">
            <v>sp. 1</v>
          </cell>
          <cell r="L294" t="str">
            <v>Dioscorea</v>
          </cell>
          <cell r="M294" t="str">
            <v xml:space="preserve"> =289</v>
          </cell>
          <cell r="O294" t="str">
            <v>Dioscoreaceae</v>
          </cell>
          <cell r="R294" t="str">
            <v xml:space="preserve"> </v>
          </cell>
        </row>
        <row r="295">
          <cell r="J295">
            <v>298</v>
          </cell>
          <cell r="K295" t="str">
            <v>dura trifol</v>
          </cell>
          <cell r="L295" t="str">
            <v>Cissus_trifol</v>
          </cell>
          <cell r="N295" t="str">
            <v>Berthil (Vittaceae, cissus)</v>
          </cell>
          <cell r="O295" t="str">
            <v>Vitaceae</v>
          </cell>
          <cell r="P295" t="str">
            <v xml:space="preserve">Cissus </v>
          </cell>
          <cell r="Q295" t="str">
            <v>trifoliata</v>
          </cell>
          <cell r="R295" t="str">
            <v>Cissus  trifoliata</v>
          </cell>
        </row>
        <row r="296">
          <cell r="J296">
            <v>299</v>
          </cell>
          <cell r="K296" t="str">
            <v>sp. 2 triangulo</v>
          </cell>
          <cell r="L296" t="str">
            <v>Sapindaceae_triangulo</v>
          </cell>
          <cell r="M296" t="str">
            <v xml:space="preserve"> =299</v>
          </cell>
          <cell r="N296" t="str">
            <v>Berthil (Sapindaeae)</v>
          </cell>
          <cell r="O296" t="str">
            <v>Sapindaceae</v>
          </cell>
          <cell r="R296" t="str">
            <v xml:space="preserve"> </v>
          </cell>
        </row>
        <row r="297">
          <cell r="J297">
            <v>300</v>
          </cell>
          <cell r="K297" t="str">
            <v>dura trifol</v>
          </cell>
          <cell r="L297" t="str">
            <v>Cissus_trifol</v>
          </cell>
          <cell r="O297" t="str">
            <v>Vitaceae</v>
          </cell>
          <cell r="P297" t="str">
            <v xml:space="preserve">Cissus </v>
          </cell>
          <cell r="Q297" t="str">
            <v>trifoliata</v>
          </cell>
          <cell r="R297" t="str">
            <v>Cissus  trifoliata</v>
          </cell>
        </row>
        <row r="298">
          <cell r="J298">
            <v>301</v>
          </cell>
          <cell r="K298" t="str">
            <v>sapo peluda rara</v>
          </cell>
          <cell r="L298" t="str">
            <v>Apoc_303</v>
          </cell>
          <cell r="M298" t="str">
            <v xml:space="preserve"> =303</v>
          </cell>
          <cell r="O298" t="str">
            <v>Apocynaceae</v>
          </cell>
          <cell r="P298" t="str">
            <v>Macroscepis</v>
          </cell>
          <cell r="Q298" t="str">
            <v>hirsuta</v>
          </cell>
          <cell r="R298" t="str">
            <v>Macroscepis hirsuta</v>
          </cell>
        </row>
        <row r="299">
          <cell r="J299">
            <v>303</v>
          </cell>
          <cell r="K299" t="str">
            <v>sapo peluda rara</v>
          </cell>
          <cell r="L299" t="str">
            <v>Apoc_303</v>
          </cell>
          <cell r="M299" t="str">
            <v xml:space="preserve"> =303</v>
          </cell>
          <cell r="N299" t="str">
            <v>Berthil (Apocynaceae, Matalea cf.)</v>
          </cell>
          <cell r="O299" t="str">
            <v>Apocynaceae</v>
          </cell>
          <cell r="P299" t="str">
            <v>Macroscepis</v>
          </cell>
          <cell r="Q299" t="str">
            <v>hirsuta</v>
          </cell>
          <cell r="R299" t="str">
            <v>Macroscepis hirsuta</v>
          </cell>
        </row>
        <row r="300">
          <cell r="J300">
            <v>304</v>
          </cell>
          <cell r="K300" t="str">
            <v>dura trifol</v>
          </cell>
          <cell r="L300" t="str">
            <v>Cissus_trifol</v>
          </cell>
          <cell r="O300" t="str">
            <v>Vitaceae</v>
          </cell>
          <cell r="P300" t="str">
            <v xml:space="preserve">Cissus </v>
          </cell>
          <cell r="Q300" t="str">
            <v>trifoliata</v>
          </cell>
          <cell r="R300" t="str">
            <v>Cissus  trifoliata</v>
          </cell>
        </row>
        <row r="301">
          <cell r="J301">
            <v>305</v>
          </cell>
          <cell r="K301" t="str">
            <v>Fab-impar</v>
          </cell>
          <cell r="L301" t="str">
            <v>Fab_284</v>
          </cell>
          <cell r="M301" t="str">
            <v xml:space="preserve"> =284</v>
          </cell>
          <cell r="O301" t="str">
            <v>Fabaceae</v>
          </cell>
          <cell r="P301" t="str">
            <v>0_cf. Dalbergia</v>
          </cell>
          <cell r="R301" t="str">
            <v xml:space="preserve">0_cf. Dalbergia </v>
          </cell>
        </row>
        <row r="302">
          <cell r="J302">
            <v>306</v>
          </cell>
          <cell r="K302" t="str">
            <v>Fab-impar</v>
          </cell>
          <cell r="L302" t="str">
            <v>Fab_284</v>
          </cell>
          <cell r="M302" t="str">
            <v xml:space="preserve"> =284</v>
          </cell>
          <cell r="O302" t="str">
            <v>Fabaceae</v>
          </cell>
          <cell r="P302" t="str">
            <v>0_cf. Dalbergia</v>
          </cell>
          <cell r="R302" t="str">
            <v xml:space="preserve">0_cf. Dalbergia </v>
          </cell>
        </row>
        <row r="303">
          <cell r="J303">
            <v>307</v>
          </cell>
          <cell r="K303" t="str">
            <v>rugoso</v>
          </cell>
          <cell r="L303" t="str">
            <v>Bougainvillea</v>
          </cell>
          <cell r="M303" t="str">
            <v xml:space="preserve"> =307</v>
          </cell>
          <cell r="O303" t="str">
            <v>Nyctaginaceae</v>
          </cell>
          <cell r="P303" t="str">
            <v>Bougainvillea</v>
          </cell>
          <cell r="Q303" t="str">
            <v>peruviana</v>
          </cell>
          <cell r="R303" t="str">
            <v>Bougainvillea peruviana</v>
          </cell>
        </row>
        <row r="304">
          <cell r="J304">
            <v>316</v>
          </cell>
          <cell r="K304" t="str">
            <v>Fab-impar</v>
          </cell>
          <cell r="L304" t="str">
            <v>Euphorbiaceae</v>
          </cell>
          <cell r="M304" t="str">
            <v xml:space="preserve"> =328</v>
          </cell>
          <cell r="O304" t="str">
            <v>Euphorbiaceae</v>
          </cell>
          <cell r="R304" t="str">
            <v xml:space="preserve"> </v>
          </cell>
        </row>
        <row r="305">
          <cell r="J305">
            <v>317</v>
          </cell>
          <cell r="K305" t="str">
            <v>trifol</v>
          </cell>
          <cell r="L305" t="str">
            <v>Cissus_trifol</v>
          </cell>
          <cell r="O305" t="str">
            <v>Vitaceae</v>
          </cell>
          <cell r="P305" t="str">
            <v xml:space="preserve">Cissus </v>
          </cell>
          <cell r="Q305" t="str">
            <v>trifoliata</v>
          </cell>
          <cell r="R305" t="str">
            <v>Cissus  trifoliata</v>
          </cell>
        </row>
        <row r="306">
          <cell r="J306">
            <v>318</v>
          </cell>
          <cell r="K306" t="str">
            <v>rugoso</v>
          </cell>
          <cell r="L306" t="str">
            <v>Bougainvillea</v>
          </cell>
          <cell r="M306" t="str">
            <v xml:space="preserve"> =307</v>
          </cell>
          <cell r="O306" t="str">
            <v>Nyctaginaceae</v>
          </cell>
          <cell r="P306" t="str">
            <v>Bougainvillea</v>
          </cell>
          <cell r="Q306" t="str">
            <v>peruviana</v>
          </cell>
          <cell r="R306" t="str">
            <v>Bougainvillea peruviana</v>
          </cell>
        </row>
        <row r="307">
          <cell r="J307">
            <v>319</v>
          </cell>
          <cell r="K307" t="str">
            <v>trifol</v>
          </cell>
          <cell r="L307" t="str">
            <v>Cissus_trifol_raiz</v>
          </cell>
          <cell r="O307" t="str">
            <v>Vitaceae</v>
          </cell>
          <cell r="P307" t="str">
            <v xml:space="preserve">Cissus </v>
          </cell>
          <cell r="Q307" t="str">
            <v>trifoliata</v>
          </cell>
          <cell r="R307" t="str">
            <v>Cissus  trifoliata</v>
          </cell>
        </row>
        <row r="308">
          <cell r="J308">
            <v>320</v>
          </cell>
          <cell r="K308" t="str">
            <v>trifol</v>
          </cell>
          <cell r="L308" t="str">
            <v>Cissus_trifol_raiz</v>
          </cell>
          <cell r="O308" t="str">
            <v>Vitaceae</v>
          </cell>
          <cell r="P308" t="str">
            <v xml:space="preserve">Cissus </v>
          </cell>
          <cell r="Q308" t="str">
            <v>trifoliata</v>
          </cell>
          <cell r="R308" t="str">
            <v>Cissus  trifoliata</v>
          </cell>
        </row>
        <row r="309">
          <cell r="J309">
            <v>321</v>
          </cell>
          <cell r="K309" t="str">
            <v>trifol</v>
          </cell>
          <cell r="L309" t="str">
            <v>Cissus_trifol_raiz</v>
          </cell>
          <cell r="O309" t="str">
            <v>Vitaceae</v>
          </cell>
          <cell r="P309" t="str">
            <v xml:space="preserve">Cissus </v>
          </cell>
          <cell r="Q309" t="str">
            <v>trifoliata</v>
          </cell>
          <cell r="R309" t="str">
            <v>Cissus  trifoliata</v>
          </cell>
        </row>
        <row r="310">
          <cell r="J310">
            <v>322</v>
          </cell>
          <cell r="K310" t="str">
            <v>trifol</v>
          </cell>
          <cell r="L310" t="str">
            <v>Cissus_trifol_raiz</v>
          </cell>
          <cell r="O310" t="str">
            <v>Vitaceae</v>
          </cell>
          <cell r="P310" t="str">
            <v xml:space="preserve">Cissus </v>
          </cell>
          <cell r="Q310" t="str">
            <v>trifoliata</v>
          </cell>
          <cell r="R310" t="str">
            <v>Cissus  trifoliata</v>
          </cell>
        </row>
        <row r="311">
          <cell r="J311">
            <v>323</v>
          </cell>
          <cell r="K311" t="str">
            <v>indet 2</v>
          </cell>
          <cell r="L311" t="str">
            <v>Cissus_trifol_raiz</v>
          </cell>
          <cell r="O311" t="str">
            <v>Vitaceae</v>
          </cell>
          <cell r="P311" t="str">
            <v xml:space="preserve">Cissus </v>
          </cell>
          <cell r="Q311" t="str">
            <v>trifoliata</v>
          </cell>
          <cell r="R311" t="str">
            <v>Cissus  trifoliata</v>
          </cell>
        </row>
        <row r="312">
          <cell r="J312">
            <v>324</v>
          </cell>
          <cell r="K312" t="str">
            <v>Trifol</v>
          </cell>
          <cell r="L312" t="str">
            <v>Cissus_trifol</v>
          </cell>
          <cell r="O312" t="str">
            <v>Vitaceae</v>
          </cell>
          <cell r="P312" t="str">
            <v xml:space="preserve">Cissus </v>
          </cell>
          <cell r="Q312" t="str">
            <v>trifoliata</v>
          </cell>
          <cell r="R312" t="str">
            <v>Cissus  trifoliata</v>
          </cell>
        </row>
        <row r="313">
          <cell r="J313">
            <v>325</v>
          </cell>
          <cell r="K313" t="str">
            <v>bougainvillea</v>
          </cell>
          <cell r="L313" t="str">
            <v>Bougainvillea</v>
          </cell>
          <cell r="M313" t="str">
            <v xml:space="preserve"> =325</v>
          </cell>
          <cell r="N313" t="str">
            <v>Berthil (Nyctaginaceae), bouganvillea</v>
          </cell>
          <cell r="O313" t="str">
            <v>Nyctaginaceae</v>
          </cell>
          <cell r="P313" t="str">
            <v>Bougainvillea</v>
          </cell>
          <cell r="Q313" t="str">
            <v>peruviana</v>
          </cell>
          <cell r="R313" t="str">
            <v>Bougainvillea peruviana</v>
          </cell>
        </row>
        <row r="314">
          <cell r="J314">
            <v>326</v>
          </cell>
          <cell r="K314" t="str">
            <v>cucurbita</v>
          </cell>
          <cell r="L314" t="str">
            <v>Cuc_1019</v>
          </cell>
          <cell r="M314" t="str">
            <v xml:space="preserve"> =326</v>
          </cell>
          <cell r="N314" t="str">
            <v>Berthil (Gurania)</v>
          </cell>
          <cell r="O314" t="str">
            <v>Cucurbitaceae</v>
          </cell>
          <cell r="P314" t="str">
            <v>Selysia</v>
          </cell>
          <cell r="Q314" t="str">
            <v>cf. prunifera</v>
          </cell>
          <cell r="R314" t="str">
            <v>Selysia cf. prunifera</v>
          </cell>
        </row>
        <row r="315">
          <cell r="J315">
            <v>327</v>
          </cell>
          <cell r="K315" t="str">
            <v>Fab-impar</v>
          </cell>
          <cell r="L315" t="str">
            <v>Fab_284</v>
          </cell>
          <cell r="M315" t="str">
            <v xml:space="preserve"> =284</v>
          </cell>
          <cell r="O315" t="str">
            <v>Fabaceae</v>
          </cell>
          <cell r="P315" t="str">
            <v>0_cf. Dalbergia</v>
          </cell>
          <cell r="R315" t="str">
            <v xml:space="preserve">0_cf. Dalbergia </v>
          </cell>
        </row>
        <row r="316">
          <cell r="J316">
            <v>328</v>
          </cell>
          <cell r="K316" t="str">
            <v>Euphorbia</v>
          </cell>
          <cell r="L316" t="str">
            <v>Euphorbia_328</v>
          </cell>
          <cell r="M316" t="str">
            <v xml:space="preserve"> =328</v>
          </cell>
          <cell r="N316" t="str">
            <v>Berthil (=286, 328, 379, 334)</v>
          </cell>
          <cell r="O316" t="str">
            <v>Rhamnaceae</v>
          </cell>
          <cell r="P316" t="str">
            <v>Gouania</v>
          </cell>
          <cell r="R316" t="str">
            <v xml:space="preserve">Gouania </v>
          </cell>
        </row>
        <row r="317">
          <cell r="J317">
            <v>329</v>
          </cell>
          <cell r="K317" t="str">
            <v>bougainvillea</v>
          </cell>
          <cell r="L317" t="str">
            <v>Bougainvillea</v>
          </cell>
          <cell r="M317" t="str">
            <v xml:space="preserve"> =325</v>
          </cell>
          <cell r="O317" t="str">
            <v>Nyctaginaceae</v>
          </cell>
          <cell r="P317" t="str">
            <v>Bougainvillea</v>
          </cell>
          <cell r="Q317" t="str">
            <v>peruviana</v>
          </cell>
          <cell r="R317" t="str">
            <v>Bougainvillea peruviana</v>
          </cell>
        </row>
        <row r="318">
          <cell r="J318">
            <v>330</v>
          </cell>
          <cell r="K318" t="str">
            <v>Euphorbia</v>
          </cell>
          <cell r="L318" t="str">
            <v>Euphorbia_328</v>
          </cell>
          <cell r="M318" t="str">
            <v xml:space="preserve"> =328</v>
          </cell>
          <cell r="O318" t="str">
            <v>Rhamnaceae</v>
          </cell>
          <cell r="P318" t="str">
            <v>Gouania</v>
          </cell>
          <cell r="R318" t="str">
            <v xml:space="preserve">Gouania </v>
          </cell>
        </row>
        <row r="319">
          <cell r="J319">
            <v>331</v>
          </cell>
          <cell r="K319" t="str">
            <v>Fab-impar</v>
          </cell>
          <cell r="L319" t="str">
            <v>Fab_284</v>
          </cell>
          <cell r="M319" t="str">
            <v xml:space="preserve"> =284</v>
          </cell>
          <cell r="O319" t="str">
            <v>Fabaceae</v>
          </cell>
          <cell r="P319" t="str">
            <v>0_cf. Dalbergia</v>
          </cell>
          <cell r="R319" t="str">
            <v xml:space="preserve">0_cf. Dalbergia </v>
          </cell>
        </row>
        <row r="320">
          <cell r="J320">
            <v>332</v>
          </cell>
          <cell r="K320" t="str">
            <v>Euphorbia</v>
          </cell>
          <cell r="L320" t="str">
            <v>Euphorbia_328</v>
          </cell>
          <cell r="M320" t="str">
            <v xml:space="preserve"> =522, =328</v>
          </cell>
          <cell r="O320" t="str">
            <v>Rhamnaceae</v>
          </cell>
          <cell r="P320" t="str">
            <v>Gouania</v>
          </cell>
          <cell r="R320" t="str">
            <v xml:space="preserve">Gouania </v>
          </cell>
        </row>
        <row r="321">
          <cell r="J321">
            <v>333</v>
          </cell>
          <cell r="K321" t="str">
            <v>Fab-impar</v>
          </cell>
          <cell r="L321" t="str">
            <v>Fab_284</v>
          </cell>
          <cell r="M321" t="str">
            <v xml:space="preserve"> =284</v>
          </cell>
          <cell r="O321" t="str">
            <v>Fabaceae</v>
          </cell>
          <cell r="P321" t="str">
            <v>0_cf. Dalbergia</v>
          </cell>
          <cell r="R321" t="str">
            <v xml:space="preserve">0_cf. Dalbergia </v>
          </cell>
        </row>
        <row r="322">
          <cell r="J322">
            <v>334</v>
          </cell>
          <cell r="K322" t="str">
            <v>Euphorbia</v>
          </cell>
          <cell r="L322" t="str">
            <v>Euphorbia_328</v>
          </cell>
          <cell r="M322" t="str">
            <v xml:space="preserve"> =522, =328</v>
          </cell>
          <cell r="N322" t="str">
            <v>Berthil (=286, 328, 379, 334)</v>
          </cell>
          <cell r="O322" t="str">
            <v>Rhamnaceae</v>
          </cell>
          <cell r="P322" t="str">
            <v>Gouania</v>
          </cell>
          <cell r="R322" t="str">
            <v xml:space="preserve">Gouania </v>
          </cell>
        </row>
        <row r="323">
          <cell r="J323">
            <v>335</v>
          </cell>
          <cell r="K323" t="str">
            <v>sp. 2 triangulo</v>
          </cell>
          <cell r="L323" t="str">
            <v>Sapindaceae_triangulo</v>
          </cell>
          <cell r="M323" t="str">
            <v xml:space="preserve"> =299</v>
          </cell>
          <cell r="O323" t="str">
            <v>Sapindaceae</v>
          </cell>
          <cell r="R323" t="str">
            <v xml:space="preserve"> </v>
          </cell>
        </row>
        <row r="324">
          <cell r="J324">
            <v>336</v>
          </cell>
          <cell r="K324" t="str">
            <v>Trifol</v>
          </cell>
          <cell r="L324" t="str">
            <v>Cissus_trifol</v>
          </cell>
          <cell r="O324" t="str">
            <v>Vitaceae</v>
          </cell>
          <cell r="P324" t="str">
            <v xml:space="preserve">Cissus </v>
          </cell>
          <cell r="Q324" t="str">
            <v>trifoliata</v>
          </cell>
          <cell r="R324" t="str">
            <v>Cissus  trifoliata</v>
          </cell>
        </row>
        <row r="325">
          <cell r="J325">
            <v>337</v>
          </cell>
          <cell r="K325" t="str">
            <v>fabaceae trilobada</v>
          </cell>
          <cell r="L325" t="str">
            <v>Euphorbia_1</v>
          </cell>
          <cell r="O325" t="str">
            <v>Euphorbiaceae</v>
          </cell>
          <cell r="P325" t="str">
            <v>Dalechampia</v>
          </cell>
          <cell r="R325" t="str">
            <v xml:space="preserve">Dalechampia </v>
          </cell>
        </row>
        <row r="326">
          <cell r="J326">
            <v>338</v>
          </cell>
          <cell r="K326" t="str">
            <v>Euphorbi</v>
          </cell>
          <cell r="L326" t="str">
            <v>Euphorbia_1</v>
          </cell>
          <cell r="O326" t="str">
            <v>Euphorbiaceae</v>
          </cell>
          <cell r="P326" t="str">
            <v>Dalechampia</v>
          </cell>
          <cell r="R326" t="str">
            <v xml:space="preserve">Dalechampia </v>
          </cell>
        </row>
        <row r="327">
          <cell r="J327">
            <v>339</v>
          </cell>
          <cell r="K327" t="str">
            <v>passifloraceae lenticel</v>
          </cell>
          <cell r="L327" t="str">
            <v>Sapindaceae_lenticelas</v>
          </cell>
          <cell r="N327" t="str">
            <v>Berthil (Sapindaceae, cardiospermum)</v>
          </cell>
          <cell r="O327" t="str">
            <v>Sapindaceae</v>
          </cell>
          <cell r="P327" t="str">
            <v>0_cf. Cardiospermum</v>
          </cell>
          <cell r="R327" t="str">
            <v xml:space="preserve">0_cf. Cardiospermum </v>
          </cell>
        </row>
        <row r="328">
          <cell r="J328">
            <v>340</v>
          </cell>
          <cell r="K328" t="str">
            <v>Apo peluda</v>
          </cell>
          <cell r="L328" t="str">
            <v>Apoc_303</v>
          </cell>
          <cell r="M328" t="str">
            <v xml:space="preserve"> =303</v>
          </cell>
          <cell r="O328" t="str">
            <v>Apocynaceae</v>
          </cell>
          <cell r="P328" t="str">
            <v>Macroscepis</v>
          </cell>
          <cell r="Q328" t="str">
            <v>hirsuta</v>
          </cell>
          <cell r="R328" t="str">
            <v>Macroscepis hirsuta</v>
          </cell>
        </row>
        <row r="329">
          <cell r="J329">
            <v>341</v>
          </cell>
          <cell r="K329" t="str">
            <v>sp. Rama roja</v>
          </cell>
          <cell r="L329" t="str">
            <v>Aster_la_386</v>
          </cell>
          <cell r="M329" t="str">
            <v xml:space="preserve"> =351, =295, =341, =386</v>
          </cell>
          <cell r="N329" t="str">
            <v>Berthil (Aster??), =295, 341, 386</v>
          </cell>
          <cell r="O329" t="str">
            <v>Violaceae</v>
          </cell>
          <cell r="P329" t="str">
            <v>Corynostylis</v>
          </cell>
          <cell r="R329" t="str">
            <v xml:space="preserve">Corynostylis </v>
          </cell>
        </row>
        <row r="330">
          <cell r="J330">
            <v>342</v>
          </cell>
          <cell r="K330" t="str">
            <v>cucurbitaceae</v>
          </cell>
          <cell r="L330" t="str">
            <v>Cuc_1</v>
          </cell>
          <cell r="M330" t="str">
            <v xml:space="preserve"> =326</v>
          </cell>
          <cell r="O330" t="str">
            <v>Cucurbitaceae</v>
          </cell>
          <cell r="P330" t="str">
            <v>Selysia</v>
          </cell>
          <cell r="Q330" t="str">
            <v>prunifera</v>
          </cell>
          <cell r="R330" t="str">
            <v>Selysia prunifera</v>
          </cell>
        </row>
        <row r="331">
          <cell r="J331">
            <v>343</v>
          </cell>
          <cell r="K331" t="str">
            <v>sp. Rama roja</v>
          </cell>
          <cell r="L331" t="str">
            <v>Aster_la_386</v>
          </cell>
          <cell r="M331" t="str">
            <v xml:space="preserve"> =351, =295, =341, =386</v>
          </cell>
          <cell r="O331" t="str">
            <v>Violaceae</v>
          </cell>
          <cell r="P331" t="str">
            <v>Corynostylis</v>
          </cell>
          <cell r="R331" t="str">
            <v xml:space="preserve">Corynostylis </v>
          </cell>
        </row>
        <row r="332">
          <cell r="J332">
            <v>344</v>
          </cell>
          <cell r="K332" t="str">
            <v>sp. Rama roja</v>
          </cell>
          <cell r="L332" t="str">
            <v>Aster_la_386</v>
          </cell>
          <cell r="M332" t="str">
            <v xml:space="preserve"> =351, =295, =341, =386</v>
          </cell>
          <cell r="O332" t="str">
            <v>Violaceae</v>
          </cell>
          <cell r="P332" t="str">
            <v>Corynostylis</v>
          </cell>
          <cell r="R332" t="str">
            <v xml:space="preserve">Corynostylis </v>
          </cell>
        </row>
        <row r="333">
          <cell r="J333">
            <v>345</v>
          </cell>
          <cell r="K333" t="str">
            <v>fab</v>
          </cell>
          <cell r="L333" t="str">
            <v>Fab_284</v>
          </cell>
          <cell r="M333" t="str">
            <v xml:space="preserve"> =284</v>
          </cell>
          <cell r="O333" t="str">
            <v>Fabaceae</v>
          </cell>
          <cell r="P333" t="str">
            <v>0_cf. Dalbergia</v>
          </cell>
          <cell r="R333" t="str">
            <v xml:space="preserve">0_cf. Dalbergia </v>
          </cell>
        </row>
        <row r="334">
          <cell r="J334">
            <v>346</v>
          </cell>
          <cell r="K334" t="str">
            <v>sp. Rama roja</v>
          </cell>
          <cell r="L334" t="str">
            <v>Aster_la_386</v>
          </cell>
          <cell r="M334" t="str">
            <v xml:space="preserve"> =295, =341c, 386 ©</v>
          </cell>
          <cell r="O334" t="str">
            <v>Violaceae</v>
          </cell>
          <cell r="P334" t="str">
            <v>Corynostylis</v>
          </cell>
          <cell r="R334" t="str">
            <v xml:space="preserve">Corynostylis </v>
          </cell>
        </row>
        <row r="335">
          <cell r="J335">
            <v>347</v>
          </cell>
          <cell r="K335" t="str">
            <v>sp. Rama roja</v>
          </cell>
          <cell r="L335" t="str">
            <v>Aster_la_386</v>
          </cell>
          <cell r="M335" t="str">
            <v xml:space="preserve"> =351, =295, =341, =386</v>
          </cell>
          <cell r="O335" t="str">
            <v>Violaceae</v>
          </cell>
          <cell r="P335" t="str">
            <v>Corynostylis</v>
          </cell>
          <cell r="R335" t="str">
            <v xml:space="preserve">Corynostylis </v>
          </cell>
        </row>
        <row r="336">
          <cell r="J336">
            <v>348</v>
          </cell>
          <cell r="K336" t="str">
            <v>fab</v>
          </cell>
          <cell r="L336" t="str">
            <v>Fab_284</v>
          </cell>
          <cell r="M336" t="str">
            <v xml:space="preserve"> =284</v>
          </cell>
          <cell r="O336" t="str">
            <v>Fabaceae</v>
          </cell>
          <cell r="P336" t="str">
            <v>0_cf. Dalbergia</v>
          </cell>
          <cell r="R336" t="str">
            <v xml:space="preserve">0_cf. Dalbergia </v>
          </cell>
        </row>
        <row r="337">
          <cell r="J337">
            <v>349</v>
          </cell>
          <cell r="K337" t="str">
            <v>lenticel 3terna</v>
          </cell>
          <cell r="L337" t="str">
            <v>lenticel_349</v>
          </cell>
          <cell r="M337" t="str">
            <v xml:space="preserve"> =349</v>
          </cell>
          <cell r="R337" t="str">
            <v xml:space="preserve"> </v>
          </cell>
        </row>
        <row r="338">
          <cell r="J338">
            <v>350</v>
          </cell>
          <cell r="K338" t="str">
            <v>sp. Rama roja</v>
          </cell>
          <cell r="L338" t="str">
            <v>Aster_la_386</v>
          </cell>
          <cell r="M338" t="str">
            <v xml:space="preserve"> =351, =295, =341, =386</v>
          </cell>
          <cell r="O338" t="str">
            <v>Violaceae</v>
          </cell>
          <cell r="P338" t="str">
            <v>Corynostylis</v>
          </cell>
          <cell r="R338" t="str">
            <v xml:space="preserve">Corynostylis </v>
          </cell>
        </row>
        <row r="339">
          <cell r="J339">
            <v>351</v>
          </cell>
          <cell r="K339" t="str">
            <v>sp. Rama roja</v>
          </cell>
          <cell r="L339" t="str">
            <v>Aster_la_386</v>
          </cell>
          <cell r="M339" t="str">
            <v xml:space="preserve"> =351, =295, =341, =386</v>
          </cell>
          <cell r="O339" t="str">
            <v>Violaceae</v>
          </cell>
          <cell r="P339" t="str">
            <v>Corynostylis</v>
          </cell>
          <cell r="R339" t="str">
            <v xml:space="preserve">Corynostylis </v>
          </cell>
        </row>
        <row r="340">
          <cell r="J340">
            <v>352</v>
          </cell>
          <cell r="K340" t="str">
            <v>sp. Rama roja</v>
          </cell>
          <cell r="L340" t="str">
            <v>Aster_la_386</v>
          </cell>
          <cell r="M340" t="str">
            <v xml:space="preserve"> =351, =295, =341, =386</v>
          </cell>
          <cell r="O340" t="str">
            <v>Violaceae</v>
          </cell>
          <cell r="P340" t="str">
            <v>Corynostylis</v>
          </cell>
          <cell r="R340" t="str">
            <v xml:space="preserve">Corynostylis </v>
          </cell>
        </row>
        <row r="341">
          <cell r="J341">
            <v>353</v>
          </cell>
          <cell r="K341" t="str">
            <v>fab</v>
          </cell>
          <cell r="L341" t="str">
            <v>Aster_la_386</v>
          </cell>
          <cell r="M341" t="str">
            <v xml:space="preserve"> =351, =295, =341, =386</v>
          </cell>
          <cell r="O341" t="str">
            <v>Violaceae</v>
          </cell>
          <cell r="P341" t="str">
            <v>Corynostylis</v>
          </cell>
          <cell r="R341" t="str">
            <v xml:space="preserve">Corynostylis </v>
          </cell>
        </row>
        <row r="342">
          <cell r="J342">
            <v>354</v>
          </cell>
          <cell r="K342" t="str">
            <v>apo peluda</v>
          </cell>
          <cell r="L342" t="str">
            <v>Apoc_303</v>
          </cell>
          <cell r="M342" t="str">
            <v xml:space="preserve"> =303</v>
          </cell>
          <cell r="O342" t="str">
            <v>Apocynaceae</v>
          </cell>
          <cell r="P342" t="str">
            <v>Macroscepis</v>
          </cell>
          <cell r="Q342" t="str">
            <v>hirsuta</v>
          </cell>
          <cell r="R342" t="str">
            <v>Macroscepis hirsuta</v>
          </cell>
        </row>
        <row r="343">
          <cell r="J343">
            <v>355</v>
          </cell>
          <cell r="K343" t="str">
            <v>tallo triangular latex</v>
          </cell>
          <cell r="L343" t="str">
            <v>Sapindaceae_triangulo</v>
          </cell>
          <cell r="M343" t="str">
            <v xml:space="preserve"> =356</v>
          </cell>
          <cell r="O343" t="str">
            <v>Sapindaceae</v>
          </cell>
          <cell r="R343" t="str">
            <v xml:space="preserve"> </v>
          </cell>
        </row>
        <row r="344">
          <cell r="J344">
            <v>356</v>
          </cell>
          <cell r="K344" t="str">
            <v>tallo triangular latex</v>
          </cell>
          <cell r="L344" t="str">
            <v>Sapindaceae_triangulo</v>
          </cell>
          <cell r="M344" t="str">
            <v xml:space="preserve"> =356</v>
          </cell>
          <cell r="O344" t="str">
            <v>Sapindaceae</v>
          </cell>
          <cell r="R344" t="str">
            <v xml:space="preserve"> </v>
          </cell>
        </row>
        <row r="345">
          <cell r="J345">
            <v>357</v>
          </cell>
          <cell r="K345" t="str">
            <v>apo peluda</v>
          </cell>
          <cell r="L345" t="str">
            <v>Apoc_303</v>
          </cell>
          <cell r="M345" t="str">
            <v xml:space="preserve"> =303</v>
          </cell>
          <cell r="O345" t="str">
            <v>Apocynaceae</v>
          </cell>
          <cell r="P345" t="str">
            <v>Macroscepis</v>
          </cell>
          <cell r="Q345" t="str">
            <v>hirsuta</v>
          </cell>
          <cell r="R345" t="str">
            <v>Macroscepis hirsuta</v>
          </cell>
        </row>
        <row r="346">
          <cell r="J346">
            <v>358</v>
          </cell>
          <cell r="K346" t="str">
            <v>Trifol</v>
          </cell>
          <cell r="L346" t="str">
            <v>Cissus_trifol</v>
          </cell>
          <cell r="O346" t="str">
            <v>Vitaceae</v>
          </cell>
          <cell r="P346" t="str">
            <v xml:space="preserve">Cissus </v>
          </cell>
          <cell r="Q346" t="str">
            <v>trifoliata</v>
          </cell>
          <cell r="R346" t="str">
            <v>Cissus  trifoliata</v>
          </cell>
        </row>
        <row r="347">
          <cell r="J347">
            <v>359</v>
          </cell>
          <cell r="K347" t="str">
            <v>tallo triangular latex</v>
          </cell>
          <cell r="L347" t="str">
            <v>Sapindaceae_triangulo</v>
          </cell>
          <cell r="M347" t="str">
            <v xml:space="preserve"> =356</v>
          </cell>
          <cell r="O347" t="str">
            <v>Sapindaceae</v>
          </cell>
          <cell r="R347" t="str">
            <v xml:space="preserve"> </v>
          </cell>
        </row>
        <row r="348">
          <cell r="J348">
            <v>360</v>
          </cell>
          <cell r="K348" t="str">
            <v>triter latex</v>
          </cell>
          <cell r="L348" t="str">
            <v>Cissus_trifol</v>
          </cell>
          <cell r="O348" t="str">
            <v>Vitaceae</v>
          </cell>
          <cell r="P348" t="str">
            <v xml:space="preserve">Cissus </v>
          </cell>
          <cell r="Q348" t="str">
            <v>trifoliata</v>
          </cell>
          <cell r="R348" t="str">
            <v>Cissus  trifoliata</v>
          </cell>
        </row>
        <row r="349">
          <cell r="J349">
            <v>361</v>
          </cell>
          <cell r="K349" t="str">
            <v>rama roja sp.</v>
          </cell>
          <cell r="L349" t="str">
            <v>Aster_la_386</v>
          </cell>
          <cell r="M349" t="str">
            <v xml:space="preserve"> =351</v>
          </cell>
          <cell r="O349" t="str">
            <v>Violaceae</v>
          </cell>
          <cell r="P349" t="str">
            <v>Corynostylis</v>
          </cell>
          <cell r="R349" t="str">
            <v xml:space="preserve">Corynostylis </v>
          </cell>
        </row>
        <row r="350">
          <cell r="J350">
            <v>362</v>
          </cell>
          <cell r="K350" t="str">
            <v>rama roja sp.</v>
          </cell>
          <cell r="L350" t="str">
            <v>Aster_la_386</v>
          </cell>
          <cell r="M350" t="str">
            <v xml:space="preserve"> =351</v>
          </cell>
          <cell r="O350" t="str">
            <v>Violaceae</v>
          </cell>
          <cell r="P350" t="str">
            <v>Corynostylis</v>
          </cell>
          <cell r="R350" t="str">
            <v xml:space="preserve">Corynostylis </v>
          </cell>
        </row>
        <row r="351">
          <cell r="J351">
            <v>363</v>
          </cell>
          <cell r="K351" t="str">
            <v>rama roja sp.</v>
          </cell>
          <cell r="L351" t="str">
            <v>Aster_la_386</v>
          </cell>
          <cell r="M351" t="str">
            <v xml:space="preserve"> =351</v>
          </cell>
          <cell r="O351" t="str">
            <v>Violaceae</v>
          </cell>
          <cell r="P351" t="str">
            <v>Corynostylis</v>
          </cell>
          <cell r="R351" t="str">
            <v xml:space="preserve">Corynostylis </v>
          </cell>
        </row>
        <row r="352">
          <cell r="J352">
            <v>364</v>
          </cell>
          <cell r="K352" t="str">
            <v>rama roja sp.</v>
          </cell>
          <cell r="L352" t="str">
            <v>Aster_la_386</v>
          </cell>
          <cell r="M352" t="str">
            <v xml:space="preserve"> =351</v>
          </cell>
          <cell r="O352" t="str">
            <v>Violaceae</v>
          </cell>
          <cell r="P352" t="str">
            <v>Corynostylis</v>
          </cell>
          <cell r="R352" t="str">
            <v xml:space="preserve">Corynostylis </v>
          </cell>
        </row>
        <row r="353">
          <cell r="J353">
            <v>365</v>
          </cell>
          <cell r="K353" t="str">
            <v>rama roja sp.</v>
          </cell>
          <cell r="L353" t="str">
            <v>Aster_la_386</v>
          </cell>
          <cell r="M353" t="str">
            <v xml:space="preserve"> =351</v>
          </cell>
          <cell r="O353" t="str">
            <v>Violaceae</v>
          </cell>
          <cell r="P353" t="str">
            <v>Corynostylis</v>
          </cell>
          <cell r="R353" t="str">
            <v xml:space="preserve">Corynostylis </v>
          </cell>
        </row>
        <row r="354">
          <cell r="J354">
            <v>366</v>
          </cell>
          <cell r="K354" t="str">
            <v>Cucurbita</v>
          </cell>
          <cell r="L354" t="str">
            <v>Cuc_1</v>
          </cell>
          <cell r="M354" t="str">
            <v xml:space="preserve"> =326</v>
          </cell>
          <cell r="O354" t="str">
            <v>Cucurbitaceae</v>
          </cell>
          <cell r="P354" t="str">
            <v>Selysia</v>
          </cell>
          <cell r="Q354" t="str">
            <v>prunifera</v>
          </cell>
          <cell r="R354" t="str">
            <v>Selysia prunifera</v>
          </cell>
        </row>
        <row r="355">
          <cell r="J355">
            <v>367</v>
          </cell>
          <cell r="K355" t="str">
            <v>Cucurbita</v>
          </cell>
          <cell r="L355" t="str">
            <v>Cuc_1</v>
          </cell>
          <cell r="M355" t="str">
            <v xml:space="preserve"> =326</v>
          </cell>
          <cell r="O355" t="str">
            <v>Cucurbitaceae</v>
          </cell>
          <cell r="P355" t="str">
            <v>Selysia</v>
          </cell>
          <cell r="Q355" t="str">
            <v>prunifera</v>
          </cell>
          <cell r="R355" t="str">
            <v>Selysia prunifera</v>
          </cell>
        </row>
        <row r="356">
          <cell r="J356">
            <v>368</v>
          </cell>
          <cell r="K356" t="str">
            <v>sp. Rama roja</v>
          </cell>
          <cell r="L356" t="str">
            <v>Aster_la_386</v>
          </cell>
          <cell r="M356" t="str">
            <v xml:space="preserve"> =351, =295, =341, =386</v>
          </cell>
          <cell r="O356" t="str">
            <v>Violaceae</v>
          </cell>
          <cell r="P356" t="str">
            <v>Corynostylis</v>
          </cell>
          <cell r="R356" t="str">
            <v xml:space="preserve">Corynostylis </v>
          </cell>
        </row>
        <row r="357">
          <cell r="J357">
            <v>369</v>
          </cell>
          <cell r="K357" t="str">
            <v>sp. Rama roja</v>
          </cell>
          <cell r="L357" t="str">
            <v>Aster_la_386</v>
          </cell>
          <cell r="M357" t="str">
            <v xml:space="preserve"> =351, =295, =341, =386</v>
          </cell>
          <cell r="O357" t="str">
            <v>Violaceae</v>
          </cell>
          <cell r="P357" t="str">
            <v>Corynostylis</v>
          </cell>
          <cell r="R357" t="str">
            <v xml:space="preserve">Corynostylis </v>
          </cell>
        </row>
        <row r="358">
          <cell r="J358">
            <v>370</v>
          </cell>
          <cell r="K358" t="str">
            <v>sp. Rama roja</v>
          </cell>
          <cell r="L358" t="str">
            <v>Aster_la_386</v>
          </cell>
          <cell r="M358" t="str">
            <v xml:space="preserve"> =351, =295, =341, =386</v>
          </cell>
          <cell r="O358" t="str">
            <v>Violaceae</v>
          </cell>
          <cell r="P358" t="str">
            <v>Corynostylis</v>
          </cell>
          <cell r="R358" t="str">
            <v xml:space="preserve">Corynostylis </v>
          </cell>
        </row>
        <row r="359">
          <cell r="J359">
            <v>371</v>
          </cell>
          <cell r="K359" t="str">
            <v>sp. Rama roja</v>
          </cell>
          <cell r="L359" t="str">
            <v>Aster_la_386</v>
          </cell>
          <cell r="M359" t="str">
            <v xml:space="preserve"> =351, =295, =341, =386</v>
          </cell>
          <cell r="O359" t="str">
            <v>Violaceae</v>
          </cell>
          <cell r="P359" t="str">
            <v>Corynostylis</v>
          </cell>
          <cell r="R359" t="str">
            <v xml:space="preserve">Corynostylis </v>
          </cell>
        </row>
        <row r="360">
          <cell r="J360">
            <v>372</v>
          </cell>
          <cell r="K360" t="str">
            <v>apo peluda</v>
          </cell>
          <cell r="L360" t="str">
            <v>Apoc_303</v>
          </cell>
          <cell r="M360" t="str">
            <v xml:space="preserve"> =303</v>
          </cell>
          <cell r="O360" t="str">
            <v>Apocynaceae</v>
          </cell>
          <cell r="P360" t="str">
            <v>Macroscepis</v>
          </cell>
          <cell r="Q360" t="str">
            <v>hirsuta</v>
          </cell>
          <cell r="R360" t="str">
            <v>Macroscepis hirsuta</v>
          </cell>
        </row>
        <row r="361">
          <cell r="J361">
            <v>374</v>
          </cell>
          <cell r="K361" t="str">
            <v>fab</v>
          </cell>
          <cell r="L361" t="str">
            <v>Aster_la_386</v>
          </cell>
          <cell r="M361" t="str">
            <v xml:space="preserve"> =351, =295, =341, =386</v>
          </cell>
          <cell r="O361" t="str">
            <v>Violaceae</v>
          </cell>
          <cell r="P361" t="str">
            <v>Corynostylis</v>
          </cell>
          <cell r="R361" t="str">
            <v xml:space="preserve">Corynostylis </v>
          </cell>
        </row>
        <row r="362">
          <cell r="J362">
            <v>375</v>
          </cell>
          <cell r="K362" t="str">
            <v>sp</v>
          </cell>
          <cell r="L362" t="str">
            <v>Bigno_382</v>
          </cell>
          <cell r="M362" t="str">
            <v xml:space="preserve"> =381</v>
          </cell>
          <cell r="N362" t="str">
            <v>Berthil (Rhamnaceae), Jurgen (Bignoniaceae) hay coleccion</v>
          </cell>
          <cell r="O362" t="str">
            <v>Bignoniaceae</v>
          </cell>
          <cell r="R362" t="str">
            <v xml:space="preserve"> </v>
          </cell>
        </row>
        <row r="363">
          <cell r="J363">
            <v>376</v>
          </cell>
          <cell r="K363" t="str">
            <v>triangular latex</v>
          </cell>
          <cell r="L363" t="str">
            <v>Sapindaceae_triangulo</v>
          </cell>
          <cell r="M363" t="str">
            <v xml:space="preserve"> =356</v>
          </cell>
          <cell r="O363" t="str">
            <v>Sapindaceae</v>
          </cell>
          <cell r="R363" t="str">
            <v xml:space="preserve"> </v>
          </cell>
        </row>
        <row r="364">
          <cell r="J364">
            <v>377</v>
          </cell>
          <cell r="K364" t="str">
            <v>sp. Glandu</v>
          </cell>
          <cell r="L364" t="str">
            <v>Stigmaphyllon_377</v>
          </cell>
          <cell r="M364" t="str">
            <v xml:space="preserve"> =377</v>
          </cell>
          <cell r="N364" t="str">
            <v>Berthil (Malpighiaceae), =491, 377</v>
          </cell>
          <cell r="O364" t="str">
            <v>Malpighiaceae</v>
          </cell>
          <cell r="P364" t="str">
            <v>Stigmaphyllon</v>
          </cell>
          <cell r="Q364" t="str">
            <v>cf. ellipticum</v>
          </cell>
          <cell r="R364" t="str">
            <v>Stigmaphyllon cf. ellipticum</v>
          </cell>
        </row>
        <row r="365">
          <cell r="J365">
            <v>378</v>
          </cell>
          <cell r="K365" t="str">
            <v>Trifol</v>
          </cell>
          <cell r="L365" t="str">
            <v>Cissus_trifol</v>
          </cell>
          <cell r="O365" t="str">
            <v>Vitaceae</v>
          </cell>
          <cell r="P365" t="str">
            <v xml:space="preserve">Cissus </v>
          </cell>
          <cell r="Q365" t="str">
            <v>trifoliata</v>
          </cell>
          <cell r="R365" t="str">
            <v>Cissus  trifoliata</v>
          </cell>
        </row>
        <row r="366">
          <cell r="J366">
            <v>379</v>
          </cell>
          <cell r="K366" t="str">
            <v>euphorbia</v>
          </cell>
          <cell r="L366" t="str">
            <v>Euphorbia_328</v>
          </cell>
          <cell r="M366" t="str">
            <v xml:space="preserve"> =328</v>
          </cell>
          <cell r="N366" t="str">
            <v>Berthil (=286, 328, 379, 334)</v>
          </cell>
          <cell r="O366" t="str">
            <v>Rhamnaceae</v>
          </cell>
          <cell r="P366" t="str">
            <v>Gouania</v>
          </cell>
          <cell r="R366" t="str">
            <v xml:space="preserve">Gouania </v>
          </cell>
        </row>
        <row r="367">
          <cell r="J367">
            <v>380</v>
          </cell>
          <cell r="K367" t="str">
            <v>bauhinia</v>
          </cell>
          <cell r="L367" t="str">
            <v>Bauhinia_380</v>
          </cell>
          <cell r="N367" t="str">
            <v>Berthil (no es Bauhinia)</v>
          </cell>
          <cell r="O367" t="str">
            <v>Fabaceae</v>
          </cell>
          <cell r="P367" t="str">
            <v>Bauhinia</v>
          </cell>
          <cell r="R367" t="str">
            <v xml:space="preserve">Bauhinia </v>
          </cell>
        </row>
        <row r="368">
          <cell r="J368">
            <v>381</v>
          </cell>
          <cell r="K368" t="str">
            <v>bignoniacea</v>
          </cell>
          <cell r="L368" t="str">
            <v>Big_166</v>
          </cell>
          <cell r="M368" t="str">
            <v xml:space="preserve"> =166, =382</v>
          </cell>
          <cell r="N368" t="str">
            <v>Berthil (Bignoniaceae)</v>
          </cell>
          <cell r="O368" t="str">
            <v>Bignoniaceae</v>
          </cell>
          <cell r="R368" t="str">
            <v xml:space="preserve"> </v>
          </cell>
        </row>
        <row r="369">
          <cell r="J369">
            <v>382</v>
          </cell>
          <cell r="K369" t="str">
            <v>bignoniacea</v>
          </cell>
          <cell r="L369" t="str">
            <v>Big_166</v>
          </cell>
          <cell r="M369" t="str">
            <v xml:space="preserve"> =382, =166</v>
          </cell>
          <cell r="O369" t="str">
            <v>Bignoniaceae</v>
          </cell>
          <cell r="R369" t="str">
            <v xml:space="preserve"> </v>
          </cell>
        </row>
        <row r="370">
          <cell r="J370">
            <v>383</v>
          </cell>
          <cell r="K370" t="str">
            <v>bignoniacea</v>
          </cell>
          <cell r="L370" t="str">
            <v>Big_166</v>
          </cell>
          <cell r="M370" t="str">
            <v xml:space="preserve"> =382</v>
          </cell>
          <cell r="O370" t="str">
            <v>Bignoniaceae</v>
          </cell>
          <cell r="R370" t="str">
            <v xml:space="preserve"> </v>
          </cell>
        </row>
        <row r="371">
          <cell r="J371">
            <v>384</v>
          </cell>
          <cell r="K371" t="str">
            <v>bignoniacea</v>
          </cell>
          <cell r="L371" t="str">
            <v>Big_166</v>
          </cell>
          <cell r="M371" t="str">
            <v xml:space="preserve"> =382</v>
          </cell>
          <cell r="O371" t="str">
            <v>Bignoniaceae</v>
          </cell>
          <cell r="R371" t="str">
            <v xml:space="preserve"> </v>
          </cell>
        </row>
        <row r="372">
          <cell r="J372">
            <v>385</v>
          </cell>
          <cell r="K372" t="str">
            <v>bignoniacea</v>
          </cell>
          <cell r="L372" t="str">
            <v>Big_166</v>
          </cell>
          <cell r="M372" t="str">
            <v xml:space="preserve"> =382</v>
          </cell>
          <cell r="O372" t="str">
            <v>Bignoniaceae</v>
          </cell>
          <cell r="R372" t="str">
            <v xml:space="preserve"> </v>
          </cell>
        </row>
        <row r="373">
          <cell r="J373">
            <v>386</v>
          </cell>
          <cell r="K373" t="str">
            <v>sp. C. blanca fis, suave</v>
          </cell>
          <cell r="L373" t="str">
            <v>Aster_la_386</v>
          </cell>
          <cell r="M373" t="str">
            <v xml:space="preserve"> =351, =295, =341, =386</v>
          </cell>
          <cell r="N373" t="str">
            <v>Berthil (Aster??), =295, 341, 386</v>
          </cell>
          <cell r="O373" t="str">
            <v>Violaceae</v>
          </cell>
          <cell r="P373" t="str">
            <v>Corynostylis</v>
          </cell>
          <cell r="R373" t="str">
            <v xml:space="preserve">Corynostylis </v>
          </cell>
        </row>
        <row r="374">
          <cell r="J374">
            <v>387</v>
          </cell>
          <cell r="K374" t="str">
            <v>euphor</v>
          </cell>
          <cell r="L374" t="str">
            <v>Euphorbia_328</v>
          </cell>
          <cell r="M374" t="str">
            <v xml:space="preserve"> =522, =328, =346</v>
          </cell>
          <cell r="O374" t="str">
            <v>Rhamnaceae</v>
          </cell>
          <cell r="P374" t="str">
            <v>Gouania</v>
          </cell>
          <cell r="R374" t="str">
            <v xml:space="preserve">Gouania </v>
          </cell>
        </row>
        <row r="375">
          <cell r="J375">
            <v>388</v>
          </cell>
          <cell r="K375" t="str">
            <v>Sp. Ipomoea (peciolo plano)</v>
          </cell>
          <cell r="L375" t="str">
            <v>indet_LA_388</v>
          </cell>
          <cell r="N375" t="str">
            <v>Berthil (no es tropeolum)</v>
          </cell>
          <cell r="R375" t="str">
            <v xml:space="preserve"> </v>
          </cell>
        </row>
        <row r="376">
          <cell r="J376">
            <v>389</v>
          </cell>
          <cell r="K376" t="str">
            <v>euphor</v>
          </cell>
          <cell r="L376" t="str">
            <v>Euphorbia_328</v>
          </cell>
          <cell r="M376" t="str">
            <v xml:space="preserve"> =328</v>
          </cell>
          <cell r="N376" t="str">
            <v>Berthil (Euphorbiaceae, Acalypha cf.), =389, 521, 512, 597, 501</v>
          </cell>
          <cell r="O376" t="str">
            <v>Rhamnaceae</v>
          </cell>
          <cell r="P376" t="str">
            <v>Gouania</v>
          </cell>
          <cell r="R376" t="str">
            <v xml:space="preserve">Gouania </v>
          </cell>
        </row>
        <row r="377">
          <cell r="J377">
            <v>390</v>
          </cell>
          <cell r="K377" t="str">
            <v>triangulo l. blanco</v>
          </cell>
          <cell r="L377" t="str">
            <v>Sapindaceae_triangulo</v>
          </cell>
          <cell r="M377" t="str">
            <v xml:space="preserve"> =356</v>
          </cell>
          <cell r="O377" t="str">
            <v>Sapindaceae</v>
          </cell>
          <cell r="R377" t="str">
            <v xml:space="preserve"> </v>
          </cell>
        </row>
        <row r="378">
          <cell r="J378">
            <v>391</v>
          </cell>
          <cell r="K378" t="str">
            <v>lenticel triter</v>
          </cell>
          <cell r="L378" t="str">
            <v>lenticel_349</v>
          </cell>
          <cell r="M378" t="str">
            <v xml:space="preserve"> =349</v>
          </cell>
          <cell r="R378" t="str">
            <v xml:space="preserve"> </v>
          </cell>
        </row>
        <row r="379">
          <cell r="J379">
            <v>392</v>
          </cell>
          <cell r="K379" t="str">
            <v>apo_rama</v>
          </cell>
          <cell r="L379" t="str">
            <v>apo_rama</v>
          </cell>
          <cell r="N379" t="str">
            <v>Berthil (Apocynaceae)</v>
          </cell>
          <cell r="O379" t="str">
            <v>Apocynaceae</v>
          </cell>
          <cell r="R379" t="str">
            <v xml:space="preserve"> </v>
          </cell>
        </row>
        <row r="380">
          <cell r="J380">
            <v>393</v>
          </cell>
          <cell r="K380" t="str">
            <v>fab</v>
          </cell>
          <cell r="L380" t="str">
            <v>Fab_284</v>
          </cell>
          <cell r="M380" t="str">
            <v xml:space="preserve"> =284</v>
          </cell>
          <cell r="O380" t="str">
            <v>Fabaceae</v>
          </cell>
          <cell r="P380" t="str">
            <v>0_cf. Dalbergia</v>
          </cell>
          <cell r="R380" t="str">
            <v xml:space="preserve">0_cf. Dalbergia </v>
          </cell>
        </row>
        <row r="381">
          <cell r="J381">
            <v>394</v>
          </cell>
          <cell r="K381" t="str">
            <v>bougainvillea</v>
          </cell>
          <cell r="L381" t="str">
            <v>Bougainvillea</v>
          </cell>
          <cell r="M381" t="str">
            <v xml:space="preserve"> =325</v>
          </cell>
          <cell r="O381" t="str">
            <v>Nyctaginaceae</v>
          </cell>
          <cell r="P381" t="str">
            <v>Bougainvillea</v>
          </cell>
          <cell r="Q381" t="str">
            <v>peruviana</v>
          </cell>
          <cell r="R381" t="str">
            <v>Bougainvillea peruviana</v>
          </cell>
        </row>
        <row r="382">
          <cell r="J382">
            <v>395</v>
          </cell>
          <cell r="K382" t="str">
            <v>Piptadenia</v>
          </cell>
          <cell r="L382" t="str">
            <v>Piptadenia_sp_tallo_redondo</v>
          </cell>
          <cell r="N382" t="str">
            <v>Berthil: todas las piptadenias de laipuna son la misma especies</v>
          </cell>
          <cell r="O382" t="str">
            <v>Fabaceae</v>
          </cell>
          <cell r="P382" t="str">
            <v>Piptadenia</v>
          </cell>
          <cell r="R382" t="str">
            <v xml:space="preserve">Piptadenia </v>
          </cell>
        </row>
        <row r="383">
          <cell r="J383">
            <v>396</v>
          </cell>
          <cell r="K383" t="str">
            <v>Piptadenia</v>
          </cell>
          <cell r="L383" t="str">
            <v>Piptadenia_sp_tallo_redondo</v>
          </cell>
          <cell r="N383" t="str">
            <v>Berthil: todas las piptadenias de laipuna son la misma especies</v>
          </cell>
          <cell r="O383" t="str">
            <v>Fabaceae</v>
          </cell>
          <cell r="P383" t="str">
            <v>Piptadenia</v>
          </cell>
          <cell r="R383" t="str">
            <v xml:space="preserve">Piptadenia </v>
          </cell>
        </row>
        <row r="384">
          <cell r="J384">
            <v>397</v>
          </cell>
          <cell r="K384" t="str">
            <v>euphorbia</v>
          </cell>
          <cell r="L384" t="str">
            <v>Euphorbia_328</v>
          </cell>
          <cell r="M384" t="str">
            <v xml:space="preserve"> =328</v>
          </cell>
          <cell r="O384" t="str">
            <v>Rhamnaceae</v>
          </cell>
          <cell r="P384" t="str">
            <v>Gouania</v>
          </cell>
          <cell r="R384" t="str">
            <v xml:space="preserve">Gouania </v>
          </cell>
        </row>
        <row r="385">
          <cell r="J385">
            <v>398</v>
          </cell>
          <cell r="K385" t="str">
            <v>euphorbia</v>
          </cell>
          <cell r="L385" t="str">
            <v>Euphorbia_328</v>
          </cell>
          <cell r="M385" t="str">
            <v xml:space="preserve"> =328</v>
          </cell>
          <cell r="O385" t="str">
            <v>Rhamnaceae</v>
          </cell>
          <cell r="P385" t="str">
            <v>Gouania</v>
          </cell>
          <cell r="R385" t="str">
            <v xml:space="preserve">Gouania </v>
          </cell>
        </row>
        <row r="386">
          <cell r="J386">
            <v>399</v>
          </cell>
          <cell r="K386" t="str">
            <v>Bignonia</v>
          </cell>
          <cell r="L386" t="str">
            <v>Big_166</v>
          </cell>
          <cell r="M386" t="str">
            <v xml:space="preserve"> =166, =382</v>
          </cell>
          <cell r="O386" t="str">
            <v>Bignoniaceae</v>
          </cell>
          <cell r="R386" t="str">
            <v xml:space="preserve"> </v>
          </cell>
        </row>
        <row r="387">
          <cell r="J387">
            <v>400</v>
          </cell>
          <cell r="K387" t="str">
            <v>Trifol</v>
          </cell>
          <cell r="L387" t="str">
            <v>Cissus_trifol_raiz</v>
          </cell>
          <cell r="O387" t="str">
            <v>Vitaceae</v>
          </cell>
          <cell r="P387" t="str">
            <v xml:space="preserve">Cissus </v>
          </cell>
          <cell r="Q387" t="str">
            <v>trifoliata</v>
          </cell>
          <cell r="R387" t="str">
            <v>Cissus  trifoliata</v>
          </cell>
        </row>
        <row r="388">
          <cell r="J388">
            <v>402</v>
          </cell>
          <cell r="K388" t="str">
            <v>sp. 1 enves blanco</v>
          </cell>
          <cell r="L388" t="str">
            <v>HSO_sericea_Malpighiaceae</v>
          </cell>
          <cell r="M388" t="str">
            <v xml:space="preserve"> =402</v>
          </cell>
          <cell r="N388" t="str">
            <v>Berthil (Malpighiaceae)</v>
          </cell>
          <cell r="O388" t="str">
            <v>Malpighiaceae</v>
          </cell>
          <cell r="R388" t="str">
            <v xml:space="preserve"> </v>
          </cell>
        </row>
        <row r="389">
          <cell r="J389">
            <v>403</v>
          </cell>
          <cell r="K389" t="str">
            <v>sp. 1 enves blanco</v>
          </cell>
          <cell r="L389" t="str">
            <v>HSO_sericea_Malpighiaceae</v>
          </cell>
          <cell r="M389" t="str">
            <v xml:space="preserve"> =402</v>
          </cell>
          <cell r="O389" t="str">
            <v>Malpighiaceae</v>
          </cell>
          <cell r="R389" t="str">
            <v xml:space="preserve"> </v>
          </cell>
        </row>
        <row r="390">
          <cell r="J390">
            <v>408</v>
          </cell>
          <cell r="K390" t="str">
            <v>sp=401</v>
          </cell>
          <cell r="L390" t="str">
            <v>No_es_Stigmaphyllon_377</v>
          </cell>
          <cell r="M390" t="str">
            <v xml:space="preserve"> =377</v>
          </cell>
          <cell r="O390" t="str">
            <v>Malpighiaceae</v>
          </cell>
          <cell r="P390" t="str">
            <v>Stigmaphyllon</v>
          </cell>
          <cell r="Q390" t="str">
            <v>cf. ellipticum</v>
          </cell>
          <cell r="R390" t="str">
            <v>Stigmaphyllon cf. ellipticum</v>
          </cell>
        </row>
        <row r="391">
          <cell r="J391">
            <v>409</v>
          </cell>
          <cell r="K391" t="str">
            <v>sp=401</v>
          </cell>
          <cell r="L391" t="str">
            <v>No_es_Stigmaphyllon_377</v>
          </cell>
          <cell r="M391" t="str">
            <v xml:space="preserve"> =377</v>
          </cell>
          <cell r="O391" t="str">
            <v>Malpighiaceae</v>
          </cell>
          <cell r="P391" t="str">
            <v>Stigmaphyllon</v>
          </cell>
          <cell r="Q391" t="str">
            <v>cf. ellipticum</v>
          </cell>
          <cell r="R391" t="str">
            <v>Stigmaphyllon cf. ellipticum</v>
          </cell>
        </row>
        <row r="392">
          <cell r="J392">
            <v>410</v>
          </cell>
          <cell r="K392" t="str">
            <v>sp. 1, enves blanco</v>
          </cell>
          <cell r="L392" t="str">
            <v>HSO_sericea_Malpighiaceae</v>
          </cell>
          <cell r="M392" t="str">
            <v xml:space="preserve"> =402, =518</v>
          </cell>
          <cell r="N392" t="str">
            <v>Berthil (Malpighiaceae)</v>
          </cell>
          <cell r="O392" t="str">
            <v>Malpighiaceae</v>
          </cell>
          <cell r="R392" t="str">
            <v xml:space="preserve"> </v>
          </cell>
        </row>
        <row r="393">
          <cell r="J393">
            <v>411</v>
          </cell>
          <cell r="K393" t="str">
            <v>clusia?? L. ama</v>
          </cell>
          <cell r="L393" t="str">
            <v>No_clusia?? L. ama</v>
          </cell>
          <cell r="R393" t="str">
            <v xml:space="preserve"> </v>
          </cell>
        </row>
        <row r="394">
          <cell r="J394">
            <v>422</v>
          </cell>
          <cell r="K394" t="str">
            <v>Sp. 3</v>
          </cell>
          <cell r="L394" t="str">
            <v>Sp. 3</v>
          </cell>
          <cell r="R394" t="str">
            <v xml:space="preserve"> </v>
          </cell>
        </row>
        <row r="395">
          <cell r="J395">
            <v>423</v>
          </cell>
          <cell r="K395" t="str">
            <v>sp=401</v>
          </cell>
          <cell r="L395" t="str">
            <v>Stigmaphyllon_377</v>
          </cell>
          <cell r="M395" t="str">
            <v xml:space="preserve"> =377, =474</v>
          </cell>
          <cell r="N395" t="str">
            <v>Berthil (Malpighiaceae)</v>
          </cell>
          <cell r="O395" t="str">
            <v>Malpighiaceae</v>
          </cell>
          <cell r="P395" t="str">
            <v>Stigmaphyllon</v>
          </cell>
          <cell r="Q395" t="str">
            <v>cf. ellipticum</v>
          </cell>
          <cell r="R395" t="str">
            <v>Stigmaphyllon cf. ellipticum</v>
          </cell>
        </row>
        <row r="396">
          <cell r="J396">
            <v>424</v>
          </cell>
          <cell r="K396" t="str">
            <v>sp. 4 café, blanco. Gouania, Rhamnaceae</v>
          </cell>
          <cell r="L396" t="str">
            <v>Euphorbia_328</v>
          </cell>
          <cell r="M396" t="str">
            <v xml:space="preserve"> =328</v>
          </cell>
          <cell r="O396" t="str">
            <v>Rhamnaceae</v>
          </cell>
          <cell r="P396" t="str">
            <v>Gouania</v>
          </cell>
          <cell r="R396" t="str">
            <v xml:space="preserve">Gouania </v>
          </cell>
        </row>
        <row r="397">
          <cell r="J397">
            <v>428</v>
          </cell>
          <cell r="K397" t="str">
            <v>Bignoniacea</v>
          </cell>
          <cell r="L397" t="str">
            <v>Big_441</v>
          </cell>
          <cell r="M397" t="str">
            <v xml:space="preserve"> =441</v>
          </cell>
          <cell r="O397" t="str">
            <v>Bignoniaceae</v>
          </cell>
          <cell r="R397" t="str">
            <v xml:space="preserve"> </v>
          </cell>
        </row>
        <row r="398">
          <cell r="J398">
            <v>429</v>
          </cell>
          <cell r="K398" t="str">
            <v>Bignoniacea</v>
          </cell>
          <cell r="L398" t="str">
            <v>Big_441</v>
          </cell>
          <cell r="M398" t="str">
            <v xml:space="preserve"> =441</v>
          </cell>
          <cell r="O398" t="str">
            <v>Bignoniaceae</v>
          </cell>
          <cell r="R398" t="str">
            <v xml:space="preserve"> </v>
          </cell>
        </row>
        <row r="399">
          <cell r="J399">
            <v>430</v>
          </cell>
          <cell r="K399" t="str">
            <v>Big</v>
          </cell>
          <cell r="L399" t="str">
            <v>Big_441</v>
          </cell>
          <cell r="M399" t="str">
            <v xml:space="preserve"> =441</v>
          </cell>
          <cell r="O399" t="str">
            <v>Bignoniaceae</v>
          </cell>
          <cell r="R399" t="str">
            <v xml:space="preserve"> </v>
          </cell>
        </row>
        <row r="400">
          <cell r="J400">
            <v>431</v>
          </cell>
          <cell r="K400" t="str">
            <v>Big</v>
          </cell>
          <cell r="L400" t="str">
            <v>Big_441</v>
          </cell>
          <cell r="M400" t="str">
            <v xml:space="preserve"> =441</v>
          </cell>
          <cell r="O400" t="str">
            <v>Bignoniaceae</v>
          </cell>
          <cell r="R400" t="str">
            <v xml:space="preserve"> </v>
          </cell>
        </row>
        <row r="401">
          <cell r="J401">
            <v>432</v>
          </cell>
          <cell r="K401" t="str">
            <v>Bignoniacea</v>
          </cell>
          <cell r="L401" t="str">
            <v>Bignoniacea_432</v>
          </cell>
          <cell r="O401" t="str">
            <v>Bignoniaceae</v>
          </cell>
          <cell r="R401" t="str">
            <v xml:space="preserve"> </v>
          </cell>
        </row>
        <row r="402">
          <cell r="J402">
            <v>433</v>
          </cell>
          <cell r="K402" t="str">
            <v>sp. 5, Sp. = Rhamna</v>
          </cell>
          <cell r="L402" t="str">
            <v>Celast_LA</v>
          </cell>
          <cell r="M402" t="str">
            <v xml:space="preserve"> =433</v>
          </cell>
          <cell r="N402" t="str">
            <v>Check: Berthil (Celastraceae??), =433, 649 podria ser Rhamnaceae</v>
          </cell>
          <cell r="O402" t="str">
            <v>Violaceae</v>
          </cell>
          <cell r="P402" t="str">
            <v>Corynostylis</v>
          </cell>
          <cell r="R402" t="str">
            <v xml:space="preserve">Corynostylis </v>
          </cell>
        </row>
        <row r="403">
          <cell r="J403">
            <v>434</v>
          </cell>
          <cell r="K403" t="str">
            <v>bignoniacea</v>
          </cell>
          <cell r="L403" t="str">
            <v>Bignoniacea_434</v>
          </cell>
          <cell r="O403" t="str">
            <v>Bignoniaceae</v>
          </cell>
          <cell r="R403" t="str">
            <v xml:space="preserve"> </v>
          </cell>
        </row>
        <row r="404">
          <cell r="J404">
            <v>435</v>
          </cell>
          <cell r="K404" t="str">
            <v>bignoniacea</v>
          </cell>
          <cell r="L404" t="str">
            <v>Big_441</v>
          </cell>
          <cell r="M404" t="str">
            <v xml:space="preserve"> =441</v>
          </cell>
          <cell r="O404" t="str">
            <v>Bignoniaceae</v>
          </cell>
          <cell r="R404" t="str">
            <v xml:space="preserve"> </v>
          </cell>
        </row>
        <row r="405">
          <cell r="J405">
            <v>436</v>
          </cell>
          <cell r="K405" t="str">
            <v>bignoniacea</v>
          </cell>
          <cell r="L405" t="str">
            <v>Big_441</v>
          </cell>
          <cell r="M405" t="str">
            <v xml:space="preserve"> =441</v>
          </cell>
          <cell r="O405" t="str">
            <v>Bignoniaceae</v>
          </cell>
          <cell r="R405" t="str">
            <v xml:space="preserve"> </v>
          </cell>
        </row>
        <row r="406">
          <cell r="J406">
            <v>437</v>
          </cell>
          <cell r="K406" t="str">
            <v>bignoniacea</v>
          </cell>
          <cell r="L406" t="str">
            <v>Big_441</v>
          </cell>
          <cell r="M406" t="str">
            <v xml:space="preserve"> =441</v>
          </cell>
          <cell r="O406" t="str">
            <v>Bignoniaceae</v>
          </cell>
          <cell r="R406" t="str">
            <v xml:space="preserve"> </v>
          </cell>
        </row>
        <row r="407">
          <cell r="J407">
            <v>438</v>
          </cell>
          <cell r="K407" t="str">
            <v>bignoniacea</v>
          </cell>
          <cell r="L407" t="str">
            <v>Big_441</v>
          </cell>
          <cell r="M407" t="str">
            <v xml:space="preserve"> =441</v>
          </cell>
          <cell r="O407" t="str">
            <v>Bignoniaceae</v>
          </cell>
          <cell r="R407" t="str">
            <v xml:space="preserve"> </v>
          </cell>
        </row>
        <row r="408">
          <cell r="J408">
            <v>439</v>
          </cell>
          <cell r="K408" t="str">
            <v>bignoniacea</v>
          </cell>
          <cell r="L408" t="str">
            <v>Big_441</v>
          </cell>
          <cell r="M408" t="str">
            <v xml:space="preserve"> =441</v>
          </cell>
          <cell r="O408" t="str">
            <v>Bignoniaceae</v>
          </cell>
          <cell r="R408" t="str">
            <v xml:space="preserve"> </v>
          </cell>
        </row>
        <row r="409">
          <cell r="J409">
            <v>440</v>
          </cell>
          <cell r="K409" t="str">
            <v>bignoniacea</v>
          </cell>
          <cell r="L409" t="str">
            <v>Big_441</v>
          </cell>
          <cell r="M409" t="str">
            <v xml:space="preserve"> =441</v>
          </cell>
          <cell r="O409" t="str">
            <v>Bignoniaceae</v>
          </cell>
          <cell r="R409" t="str">
            <v xml:space="preserve"> </v>
          </cell>
        </row>
        <row r="410">
          <cell r="J410">
            <v>441</v>
          </cell>
          <cell r="K410" t="str">
            <v>bignoniacea</v>
          </cell>
          <cell r="L410" t="str">
            <v>Big_441</v>
          </cell>
          <cell r="M410" t="str">
            <v xml:space="preserve"> =441</v>
          </cell>
          <cell r="N410" t="str">
            <v>Berthil (bignaniaceae)</v>
          </cell>
          <cell r="O410" t="str">
            <v>Bignoniaceae</v>
          </cell>
          <cell r="R410" t="str">
            <v xml:space="preserve"> </v>
          </cell>
        </row>
        <row r="411">
          <cell r="J411">
            <v>442</v>
          </cell>
          <cell r="K411" t="str">
            <v>sp. 6</v>
          </cell>
          <cell r="L411" t="str">
            <v>polygona_442</v>
          </cell>
          <cell r="O411" t="str">
            <v>Polygonaceae</v>
          </cell>
          <cell r="R411" t="str">
            <v xml:space="preserve"> </v>
          </cell>
        </row>
        <row r="412">
          <cell r="J412">
            <v>443</v>
          </cell>
          <cell r="K412" t="str">
            <v>Bignonia</v>
          </cell>
          <cell r="L412" t="str">
            <v>Big_441</v>
          </cell>
          <cell r="M412" t="str">
            <v xml:space="preserve"> =441</v>
          </cell>
          <cell r="O412" t="str">
            <v>Bignoniaceae</v>
          </cell>
          <cell r="R412" t="str">
            <v xml:space="preserve"> </v>
          </cell>
        </row>
        <row r="413">
          <cell r="J413">
            <v>444</v>
          </cell>
          <cell r="K413" t="str">
            <v>Bignonia</v>
          </cell>
          <cell r="L413" t="str">
            <v>Big_441</v>
          </cell>
          <cell r="M413" t="str">
            <v xml:space="preserve"> =441</v>
          </cell>
          <cell r="O413" t="str">
            <v>Bignoniaceae</v>
          </cell>
          <cell r="R413" t="str">
            <v xml:space="preserve"> </v>
          </cell>
        </row>
        <row r="414">
          <cell r="J414">
            <v>445</v>
          </cell>
          <cell r="K414" t="str">
            <v>Bignonia</v>
          </cell>
          <cell r="L414" t="str">
            <v>Big_441</v>
          </cell>
          <cell r="M414" t="str">
            <v xml:space="preserve"> =441</v>
          </cell>
          <cell r="O414" t="str">
            <v>Bignoniaceae</v>
          </cell>
          <cell r="R414" t="str">
            <v xml:space="preserve"> </v>
          </cell>
        </row>
        <row r="415">
          <cell r="J415">
            <v>446</v>
          </cell>
          <cell r="K415" t="str">
            <v>Bignonia</v>
          </cell>
          <cell r="L415" t="str">
            <v>Big_441</v>
          </cell>
          <cell r="M415" t="str">
            <v xml:space="preserve"> =441</v>
          </cell>
          <cell r="O415" t="str">
            <v>Bignoniaceae</v>
          </cell>
          <cell r="R415" t="str">
            <v xml:space="preserve"> </v>
          </cell>
        </row>
        <row r="416">
          <cell r="J416">
            <v>447</v>
          </cell>
          <cell r="K416" t="str">
            <v>Bignonia</v>
          </cell>
          <cell r="L416" t="str">
            <v>Big_441</v>
          </cell>
          <cell r="M416" t="str">
            <v xml:space="preserve"> =441</v>
          </cell>
          <cell r="O416" t="str">
            <v>Bignoniaceae</v>
          </cell>
          <cell r="R416" t="str">
            <v xml:space="preserve"> </v>
          </cell>
        </row>
        <row r="417">
          <cell r="J417">
            <v>449</v>
          </cell>
          <cell r="K417" t="str">
            <v>sp. 1, enves blanco</v>
          </cell>
          <cell r="L417" t="str">
            <v>HSO_sericea_Malpighiaceae</v>
          </cell>
          <cell r="M417" t="str">
            <v xml:space="preserve"> =402, =518</v>
          </cell>
          <cell r="O417" t="str">
            <v>Malpighiaceae</v>
          </cell>
          <cell r="R417" t="str">
            <v xml:space="preserve"> </v>
          </cell>
        </row>
        <row r="418">
          <cell r="J418">
            <v>450</v>
          </cell>
          <cell r="K418" t="str">
            <v>Bignonia</v>
          </cell>
          <cell r="L418" t="str">
            <v>Big_441</v>
          </cell>
          <cell r="M418" t="str">
            <v xml:space="preserve"> =441</v>
          </cell>
          <cell r="N418" t="str">
            <v>Check: Berthil (Phytolacaceae, Trichostigma (ahora en Petiveriaceae)</v>
          </cell>
          <cell r="O418" t="str">
            <v>Bignoniaceae</v>
          </cell>
          <cell r="R418" t="str">
            <v xml:space="preserve"> </v>
          </cell>
        </row>
        <row r="419">
          <cell r="J419">
            <v>451</v>
          </cell>
          <cell r="K419" t="str">
            <v>Bignonia</v>
          </cell>
          <cell r="L419" t="str">
            <v>Big_441</v>
          </cell>
          <cell r="M419" t="str">
            <v xml:space="preserve"> =441</v>
          </cell>
          <cell r="O419" t="str">
            <v>Bignoniaceae</v>
          </cell>
          <cell r="R419" t="str">
            <v xml:space="preserve"> </v>
          </cell>
        </row>
        <row r="420">
          <cell r="J420">
            <v>452</v>
          </cell>
          <cell r="K420" t="str">
            <v>Bignonia</v>
          </cell>
          <cell r="L420" t="str">
            <v>Big_441</v>
          </cell>
          <cell r="M420" t="str">
            <v xml:space="preserve"> =441</v>
          </cell>
          <cell r="O420" t="str">
            <v>Bignoniaceae</v>
          </cell>
          <cell r="R420" t="str">
            <v xml:space="preserve"> </v>
          </cell>
        </row>
        <row r="421">
          <cell r="J421">
            <v>453</v>
          </cell>
          <cell r="K421" t="str">
            <v>Bignonia</v>
          </cell>
          <cell r="L421" t="str">
            <v>Big_441</v>
          </cell>
          <cell r="M421" t="str">
            <v xml:space="preserve"> =441</v>
          </cell>
          <cell r="O421" t="str">
            <v>Bignoniaceae</v>
          </cell>
          <cell r="R421" t="str">
            <v xml:space="preserve"> </v>
          </cell>
        </row>
        <row r="422">
          <cell r="J422">
            <v>454</v>
          </cell>
          <cell r="K422" t="str">
            <v>Bignonia</v>
          </cell>
          <cell r="L422" t="str">
            <v>Big_441</v>
          </cell>
          <cell r="M422" t="str">
            <v xml:space="preserve"> =441</v>
          </cell>
          <cell r="O422" t="str">
            <v>Bignoniaceae</v>
          </cell>
          <cell r="R422" t="str">
            <v xml:space="preserve"> </v>
          </cell>
        </row>
        <row r="423">
          <cell r="J423">
            <v>455</v>
          </cell>
          <cell r="K423" t="str">
            <v>Bignonia</v>
          </cell>
          <cell r="L423" t="str">
            <v>Big_441</v>
          </cell>
          <cell r="M423" t="str">
            <v xml:space="preserve"> =441</v>
          </cell>
          <cell r="O423" t="str">
            <v>Bignoniaceae</v>
          </cell>
          <cell r="R423" t="str">
            <v xml:space="preserve"> </v>
          </cell>
        </row>
        <row r="424">
          <cell r="J424">
            <v>456</v>
          </cell>
          <cell r="K424" t="str">
            <v>sp. Mal olor</v>
          </cell>
          <cell r="L424" t="str">
            <v>Malpigiaceae_456</v>
          </cell>
          <cell r="M424" t="str">
            <v xml:space="preserve"> =456</v>
          </cell>
          <cell r="N424" t="str">
            <v>Berthil (Hippocrataceae, Salacia cf.), =460, 456</v>
          </cell>
          <cell r="O424" t="str">
            <v>Malpighiaceae</v>
          </cell>
          <cell r="R424" t="str">
            <v xml:space="preserve"> </v>
          </cell>
        </row>
        <row r="425">
          <cell r="J425">
            <v>457</v>
          </cell>
          <cell r="K425" t="str">
            <v>Bignoniaceae</v>
          </cell>
          <cell r="L425" t="str">
            <v>Bignoniaceae_457</v>
          </cell>
          <cell r="M425" t="str">
            <v xml:space="preserve"> =457</v>
          </cell>
          <cell r="O425" t="str">
            <v>Bignoniaceae</v>
          </cell>
          <cell r="R425" t="str">
            <v xml:space="preserve"> </v>
          </cell>
        </row>
        <row r="426">
          <cell r="J426">
            <v>458</v>
          </cell>
          <cell r="K426" t="str">
            <v>Bignoniaceae</v>
          </cell>
          <cell r="L426" t="str">
            <v>Bignoniaceae_457</v>
          </cell>
          <cell r="M426" t="str">
            <v xml:space="preserve"> =457</v>
          </cell>
          <cell r="O426" t="str">
            <v>Bignoniaceae</v>
          </cell>
          <cell r="R426" t="str">
            <v xml:space="preserve"> </v>
          </cell>
        </row>
        <row r="427">
          <cell r="J427">
            <v>459</v>
          </cell>
          <cell r="K427" t="str">
            <v>bignonia</v>
          </cell>
          <cell r="L427" t="str">
            <v>Bignonia_459</v>
          </cell>
          <cell r="O427" t="str">
            <v>Bignoniaceae</v>
          </cell>
          <cell r="R427" t="str">
            <v xml:space="preserve"> </v>
          </cell>
        </row>
        <row r="428">
          <cell r="J428">
            <v>460</v>
          </cell>
          <cell r="K428" t="str">
            <v>sp. Mal olor</v>
          </cell>
          <cell r="L428" t="str">
            <v>Malpigiaceae_456</v>
          </cell>
          <cell r="M428" t="str">
            <v xml:space="preserve"> =456</v>
          </cell>
          <cell r="N428" t="str">
            <v>Berthil (Hippocrataceae, Salacia cf.), =460, 456</v>
          </cell>
          <cell r="O428" t="str">
            <v>Malpighiaceae</v>
          </cell>
          <cell r="R428" t="str">
            <v xml:space="preserve"> </v>
          </cell>
        </row>
        <row r="429">
          <cell r="J429">
            <v>461</v>
          </cell>
          <cell r="K429" t="str">
            <v>sp. Mal olor</v>
          </cell>
          <cell r="L429" t="str">
            <v>Malpigiaceae_456</v>
          </cell>
          <cell r="M429" t="str">
            <v xml:space="preserve"> =456</v>
          </cell>
          <cell r="O429" t="str">
            <v>Malpighiaceae</v>
          </cell>
          <cell r="R429" t="str">
            <v xml:space="preserve"> </v>
          </cell>
        </row>
        <row r="430">
          <cell r="J430">
            <v>462</v>
          </cell>
          <cell r="K430" t="str">
            <v>sp. Mal olor</v>
          </cell>
          <cell r="L430" t="str">
            <v>Malpigiaceae_456</v>
          </cell>
          <cell r="M430" t="str">
            <v xml:space="preserve"> =456</v>
          </cell>
          <cell r="O430" t="str">
            <v>Malpighiaceae</v>
          </cell>
          <cell r="R430" t="str">
            <v xml:space="preserve"> </v>
          </cell>
        </row>
        <row r="431">
          <cell r="J431">
            <v>464</v>
          </cell>
          <cell r="K431" t="str">
            <v>sp. Puntos blanca</v>
          </cell>
          <cell r="L431" t="str">
            <v>Solandra</v>
          </cell>
          <cell r="M431" t="str">
            <v xml:space="preserve"> =464</v>
          </cell>
          <cell r="N431" t="str">
            <v>Berthil (Solandra)</v>
          </cell>
          <cell r="O431" t="str">
            <v>Solanaceae</v>
          </cell>
          <cell r="P431" t="str">
            <v>Solandra</v>
          </cell>
          <cell r="Q431" t="str">
            <v>maxima</v>
          </cell>
          <cell r="R431" t="str">
            <v>Solandra maxima</v>
          </cell>
        </row>
        <row r="432">
          <cell r="J432">
            <v>465</v>
          </cell>
          <cell r="K432" t="str">
            <v>sp. H. opu blanco serice</v>
          </cell>
          <cell r="L432" t="str">
            <v>HSO_sericea_Malpighiaceae</v>
          </cell>
          <cell r="M432" t="str">
            <v xml:space="preserve"> =402</v>
          </cell>
          <cell r="N432" t="str">
            <v>Berthil (malpighiaceae)</v>
          </cell>
          <cell r="O432" t="str">
            <v>Malpighiaceae</v>
          </cell>
          <cell r="R432" t="str">
            <v xml:space="preserve"> </v>
          </cell>
        </row>
        <row r="433">
          <cell r="J433">
            <v>466</v>
          </cell>
          <cell r="K433" t="str">
            <v>sp. H. opu blanco serice</v>
          </cell>
          <cell r="L433" t="str">
            <v>HSO_sericea_Malpighiaceae</v>
          </cell>
          <cell r="M433" t="str">
            <v xml:space="preserve"> =402, =518</v>
          </cell>
          <cell r="O433" t="str">
            <v>Malpighiaceae</v>
          </cell>
          <cell r="R433" t="str">
            <v xml:space="preserve"> </v>
          </cell>
        </row>
        <row r="434">
          <cell r="J434">
            <v>467</v>
          </cell>
          <cell r="K434" t="str">
            <v>sp. H. opu blanco serice</v>
          </cell>
          <cell r="L434" t="str">
            <v>HSO_sericea_Malpighiaceae</v>
          </cell>
          <cell r="M434" t="str">
            <v xml:space="preserve"> =402, =518</v>
          </cell>
          <cell r="O434" t="str">
            <v>Malpighiaceae</v>
          </cell>
          <cell r="R434" t="str">
            <v xml:space="preserve"> </v>
          </cell>
        </row>
        <row r="435">
          <cell r="J435">
            <v>468</v>
          </cell>
          <cell r="K435" t="str">
            <v>sp. Mal olor</v>
          </cell>
          <cell r="L435" t="str">
            <v>Malpigiaceae_456</v>
          </cell>
          <cell r="M435" t="str">
            <v xml:space="preserve"> =456</v>
          </cell>
          <cell r="N435" t="str">
            <v>Berthil (Salacia)</v>
          </cell>
          <cell r="O435" t="str">
            <v>Malpighiaceae</v>
          </cell>
          <cell r="R435" t="str">
            <v xml:space="preserve"> </v>
          </cell>
        </row>
        <row r="436">
          <cell r="J436">
            <v>469</v>
          </cell>
          <cell r="K436" t="str">
            <v>sp. Mal olor</v>
          </cell>
          <cell r="L436" t="str">
            <v>Malpigiaceae_456</v>
          </cell>
          <cell r="M436" t="str">
            <v xml:space="preserve"> =456</v>
          </cell>
          <cell r="O436" t="str">
            <v>Malpighiaceae</v>
          </cell>
          <cell r="R436" t="str">
            <v xml:space="preserve"> </v>
          </cell>
        </row>
        <row r="437">
          <cell r="J437">
            <v>470</v>
          </cell>
          <cell r="K437" t="str">
            <v>sp. Mal olor</v>
          </cell>
          <cell r="L437" t="str">
            <v>Malpigiaceae_456</v>
          </cell>
          <cell r="M437" t="str">
            <v xml:space="preserve"> =456</v>
          </cell>
          <cell r="O437" t="str">
            <v>Malpighiaceae</v>
          </cell>
          <cell r="R437" t="str">
            <v xml:space="preserve"> </v>
          </cell>
        </row>
        <row r="438">
          <cell r="J438">
            <v>471</v>
          </cell>
          <cell r="K438" t="str">
            <v>sp. Mal olor</v>
          </cell>
          <cell r="L438" t="str">
            <v>Malpigiaceae_456</v>
          </cell>
          <cell r="M438" t="str">
            <v xml:space="preserve"> =456</v>
          </cell>
          <cell r="O438" t="str">
            <v>Malpighiaceae</v>
          </cell>
          <cell r="R438" t="str">
            <v xml:space="preserve"> </v>
          </cell>
        </row>
        <row r="439">
          <cell r="J439">
            <v>472</v>
          </cell>
          <cell r="K439" t="str">
            <v>sp. Mal olor</v>
          </cell>
          <cell r="L439" t="str">
            <v>Malpigiaceae_456</v>
          </cell>
          <cell r="M439" t="str">
            <v xml:space="preserve"> =456</v>
          </cell>
          <cell r="O439" t="str">
            <v>Malpighiaceae</v>
          </cell>
          <cell r="R439" t="str">
            <v xml:space="preserve"> </v>
          </cell>
        </row>
        <row r="440">
          <cell r="J440">
            <v>473</v>
          </cell>
          <cell r="K440" t="str">
            <v>Sp. Enves blanco</v>
          </cell>
          <cell r="L440" t="str">
            <v>Stigmaphyllon_377</v>
          </cell>
          <cell r="M440" t="str">
            <v xml:space="preserve"> =377</v>
          </cell>
          <cell r="O440" t="str">
            <v>Malpighiaceae</v>
          </cell>
          <cell r="P440" t="str">
            <v>Stigmaphyllon</v>
          </cell>
          <cell r="Q440" t="str">
            <v>cf. ellipticum</v>
          </cell>
          <cell r="R440" t="str">
            <v>Stigmaphyllon cf. ellipticum</v>
          </cell>
        </row>
        <row r="441">
          <cell r="J441">
            <v>474</v>
          </cell>
          <cell r="K441" t="str">
            <v>big sp. 1 zarci</v>
          </cell>
          <cell r="L441" t="str">
            <v>Stigmaphyllon_377</v>
          </cell>
          <cell r="M441" t="str">
            <v xml:space="preserve"> =377</v>
          </cell>
          <cell r="N441" t="str">
            <v>Berthil (Bignoniaceae)</v>
          </cell>
          <cell r="O441" t="str">
            <v>Malpighiaceae</v>
          </cell>
          <cell r="P441" t="str">
            <v>Stigmaphyllon</v>
          </cell>
          <cell r="R441" t="str">
            <v xml:space="preserve">Stigmaphyllon </v>
          </cell>
        </row>
        <row r="442">
          <cell r="J442">
            <v>475</v>
          </cell>
          <cell r="K442" t="str">
            <v>Ruta espinos garras</v>
          </cell>
          <cell r="L442" t="str">
            <v>Ruta espinos garras</v>
          </cell>
          <cell r="O442" t="str">
            <v>Cannabaceae</v>
          </cell>
          <cell r="P442" t="str">
            <v>Celtis</v>
          </cell>
          <cell r="Q442" t="str">
            <v>iguanaea</v>
          </cell>
          <cell r="R442" t="str">
            <v>Celtis iguanaea</v>
          </cell>
        </row>
        <row r="443">
          <cell r="J443">
            <v>476</v>
          </cell>
          <cell r="K443" t="str">
            <v>Ruta espinos garras</v>
          </cell>
          <cell r="L443" t="str">
            <v>Ruta espinos garras</v>
          </cell>
          <cell r="O443" t="str">
            <v>Cannabaceae</v>
          </cell>
          <cell r="P443" t="str">
            <v>Celtis</v>
          </cell>
          <cell r="Q443" t="str">
            <v>iguanaea</v>
          </cell>
          <cell r="R443" t="str">
            <v>Celtis iguanaea</v>
          </cell>
        </row>
        <row r="444">
          <cell r="J444">
            <v>477</v>
          </cell>
          <cell r="K444" t="str">
            <v>Piptadenia sp. 1</v>
          </cell>
          <cell r="L444" t="str">
            <v>Piptadenia_sp_tallo_cuadrado</v>
          </cell>
          <cell r="M444" t="str">
            <v xml:space="preserve"> =477</v>
          </cell>
          <cell r="N444" t="str">
            <v>Berthil: todas las piptadenias de laipuna son la misma especies</v>
          </cell>
          <cell r="O444" t="str">
            <v>Fabaceae</v>
          </cell>
          <cell r="P444" t="str">
            <v>Piptadenia</v>
          </cell>
          <cell r="R444" t="str">
            <v xml:space="preserve">Piptadenia </v>
          </cell>
        </row>
        <row r="445">
          <cell r="J445">
            <v>478</v>
          </cell>
          <cell r="K445" t="str">
            <v>Piptadenia sp. 1, con dos glandulas en la base de la hoja y foliolos</v>
          </cell>
          <cell r="L445" t="str">
            <v>Piptadenia_sp_tallo_cuadrado</v>
          </cell>
          <cell r="M445" t="str">
            <v xml:space="preserve"> =477</v>
          </cell>
          <cell r="N445" t="str">
            <v>Berthil: todas las piptadenias de laipuna son la misma especies</v>
          </cell>
          <cell r="O445" t="str">
            <v>Fabaceae</v>
          </cell>
          <cell r="P445" t="str">
            <v>Piptadenia</v>
          </cell>
          <cell r="R445" t="str">
            <v xml:space="preserve">Piptadenia </v>
          </cell>
        </row>
        <row r="446">
          <cell r="J446">
            <v>479</v>
          </cell>
          <cell r="K446" t="str">
            <v>sp. Mal olor</v>
          </cell>
          <cell r="L446" t="str">
            <v>Malpigiaceae_456</v>
          </cell>
          <cell r="M446" t="str">
            <v xml:space="preserve"> =456</v>
          </cell>
          <cell r="O446" t="str">
            <v>Malpighiaceae</v>
          </cell>
          <cell r="R446" t="str">
            <v xml:space="preserve"> </v>
          </cell>
        </row>
        <row r="447">
          <cell r="J447">
            <v>480</v>
          </cell>
          <cell r="K447" t="str">
            <v>Piptadenia sp. 1</v>
          </cell>
          <cell r="L447" t="str">
            <v>Piptadenia_sp_tallo_cuadrado</v>
          </cell>
          <cell r="M447" t="str">
            <v xml:space="preserve"> =477</v>
          </cell>
          <cell r="N447" t="str">
            <v>Berthil: todas las piptadenias de laipuna son la misma especies</v>
          </cell>
          <cell r="O447" t="str">
            <v>Fabaceae</v>
          </cell>
          <cell r="P447" t="str">
            <v>Piptadenia</v>
          </cell>
          <cell r="R447" t="str">
            <v xml:space="preserve">Piptadenia </v>
          </cell>
        </row>
        <row r="448">
          <cell r="J448">
            <v>482</v>
          </cell>
          <cell r="K448" t="str">
            <v>Piptadenia sp.1</v>
          </cell>
          <cell r="L448" t="str">
            <v>Piptadenia_sp_tallo_cuadrado</v>
          </cell>
          <cell r="M448" t="str">
            <v xml:space="preserve"> =477</v>
          </cell>
          <cell r="N448" t="str">
            <v>Berthil: todas las piptadenias de laipuna son la misma especies</v>
          </cell>
          <cell r="O448" t="str">
            <v>Fabaceae</v>
          </cell>
          <cell r="P448" t="str">
            <v>Piptadenia</v>
          </cell>
          <cell r="R448" t="str">
            <v xml:space="preserve">Piptadenia </v>
          </cell>
        </row>
        <row r="449">
          <cell r="J449">
            <v>483</v>
          </cell>
          <cell r="K449" t="str">
            <v>Piptadenia sp. 1</v>
          </cell>
          <cell r="L449" t="str">
            <v>Piptadenia_sp_tallo_cuadrado</v>
          </cell>
          <cell r="M449" t="str">
            <v xml:space="preserve"> =477</v>
          </cell>
          <cell r="N449" t="str">
            <v>Berthil: todas las piptadenias de laipuna son la misma especies</v>
          </cell>
          <cell r="O449" t="str">
            <v>Fabaceae</v>
          </cell>
          <cell r="P449" t="str">
            <v>Piptadenia</v>
          </cell>
          <cell r="R449" t="str">
            <v xml:space="preserve">Piptadenia </v>
          </cell>
        </row>
        <row r="450">
          <cell r="J450">
            <v>484</v>
          </cell>
          <cell r="K450" t="str">
            <v>Piptadenia sp. 1</v>
          </cell>
          <cell r="L450" t="str">
            <v>Piptadenia_sp_tallo_cuadrado</v>
          </cell>
          <cell r="M450" t="str">
            <v xml:space="preserve"> =477</v>
          </cell>
          <cell r="N450" t="str">
            <v>Berthil: todas las piptadenias de laipuna son la misma especies</v>
          </cell>
          <cell r="O450" t="str">
            <v>Fabaceae</v>
          </cell>
          <cell r="P450" t="str">
            <v>Piptadenia</v>
          </cell>
          <cell r="R450" t="str">
            <v xml:space="preserve">Piptadenia </v>
          </cell>
        </row>
        <row r="451">
          <cell r="J451">
            <v>485</v>
          </cell>
          <cell r="K451" t="str">
            <v>Baccharis</v>
          </cell>
          <cell r="L451" t="str">
            <v>Baccharis_485</v>
          </cell>
          <cell r="N451" t="str">
            <v>Berthil (Asteraceae)</v>
          </cell>
          <cell r="O451" t="str">
            <v>Asteraceae</v>
          </cell>
          <cell r="R451" t="str">
            <v xml:space="preserve"> </v>
          </cell>
        </row>
        <row r="452">
          <cell r="J452">
            <v>486</v>
          </cell>
          <cell r="K452" t="str">
            <v>Piptadenia sp. 1</v>
          </cell>
          <cell r="L452" t="str">
            <v>Piptadenia_sp_tallo_cuadrado</v>
          </cell>
          <cell r="M452" t="str">
            <v xml:space="preserve"> =477</v>
          </cell>
          <cell r="N452" t="str">
            <v>Berthil: todas las piptadenias de laipuna son la misma especies</v>
          </cell>
          <cell r="O452" t="str">
            <v>Fabaceae</v>
          </cell>
          <cell r="P452" t="str">
            <v>Piptadenia</v>
          </cell>
          <cell r="R452" t="str">
            <v xml:space="preserve">Piptadenia </v>
          </cell>
        </row>
        <row r="453">
          <cell r="J453">
            <v>488</v>
          </cell>
          <cell r="K453" t="str">
            <v>Piptadenia sp. 1</v>
          </cell>
          <cell r="L453" t="str">
            <v>Piptadenia_sp_tallo_cuadrado</v>
          </cell>
          <cell r="M453" t="str">
            <v xml:space="preserve"> =477</v>
          </cell>
          <cell r="N453" t="str">
            <v>Berthil: todas las piptadenias de laipuna son la misma especies</v>
          </cell>
          <cell r="O453" t="str">
            <v>Fabaceae</v>
          </cell>
          <cell r="P453" t="str">
            <v>Piptadenia</v>
          </cell>
          <cell r="R453" t="str">
            <v xml:space="preserve">Piptadenia </v>
          </cell>
        </row>
        <row r="454">
          <cell r="J454">
            <v>489</v>
          </cell>
          <cell r="K454" t="str">
            <v>Baccharis</v>
          </cell>
          <cell r="L454" t="str">
            <v>Baccharis_485</v>
          </cell>
          <cell r="M454" t="str">
            <v xml:space="preserve"> =485</v>
          </cell>
          <cell r="O454" t="str">
            <v>Asteraceae</v>
          </cell>
          <cell r="R454" t="str">
            <v xml:space="preserve"> </v>
          </cell>
        </row>
        <row r="455">
          <cell r="J455">
            <v>490</v>
          </cell>
          <cell r="K455" t="str">
            <v>Sp.suave</v>
          </cell>
          <cell r="L455" t="str">
            <v>Suave_490</v>
          </cell>
          <cell r="R455" t="str">
            <v xml:space="preserve"> </v>
          </cell>
        </row>
        <row r="456">
          <cell r="J456">
            <v>491</v>
          </cell>
          <cell r="K456" t="str">
            <v>sp. Glandulas</v>
          </cell>
          <cell r="L456" t="str">
            <v>Stigmaphyllon_377</v>
          </cell>
          <cell r="M456" t="str">
            <v xml:space="preserve"> =377</v>
          </cell>
          <cell r="N456" t="str">
            <v>Berthil (Malpighiaceae), =491, 377</v>
          </cell>
          <cell r="O456" t="str">
            <v>Malpighiaceae</v>
          </cell>
          <cell r="P456" t="str">
            <v>Stigmaphyllon</v>
          </cell>
          <cell r="Q456" t="str">
            <v>cf. ellipticum</v>
          </cell>
          <cell r="R456" t="str">
            <v>Stigmaphyllon cf. ellipticum</v>
          </cell>
        </row>
        <row r="457">
          <cell r="J457">
            <v>492</v>
          </cell>
          <cell r="K457" t="str">
            <v>sp. Mal olor</v>
          </cell>
          <cell r="L457" t="str">
            <v>Malpigiaceae_456</v>
          </cell>
          <cell r="M457" t="str">
            <v xml:space="preserve"> =456</v>
          </cell>
          <cell r="O457" t="str">
            <v>Malpighiaceae</v>
          </cell>
          <cell r="R457" t="str">
            <v xml:space="preserve"> </v>
          </cell>
        </row>
        <row r="458">
          <cell r="J458">
            <v>493</v>
          </cell>
          <cell r="K458" t="str">
            <v>Sp. H. acuminada</v>
          </cell>
          <cell r="L458" t="str">
            <v>Sp. H. acuminada</v>
          </cell>
          <cell r="N458" t="str">
            <v>Berthil (Malpighiaceae)</v>
          </cell>
          <cell r="O458" t="str">
            <v>Malpighiaceae</v>
          </cell>
          <cell r="R458" t="str">
            <v xml:space="preserve"> </v>
          </cell>
        </row>
        <row r="459">
          <cell r="J459">
            <v>494</v>
          </cell>
          <cell r="K459" t="str">
            <v>No se ve hojas</v>
          </cell>
          <cell r="L459" t="str">
            <v>indet_494</v>
          </cell>
          <cell r="R459" t="str">
            <v xml:space="preserve"> </v>
          </cell>
        </row>
        <row r="460">
          <cell r="J460">
            <v>495</v>
          </cell>
          <cell r="K460" t="str">
            <v>Passiflora??</v>
          </cell>
          <cell r="L460" t="str">
            <v>Asteraceae_495</v>
          </cell>
          <cell r="M460" t="str">
            <v xml:space="preserve"> =495</v>
          </cell>
          <cell r="N460" t="str">
            <v>Berthil (Passiflora No, Asteraceae)</v>
          </cell>
          <cell r="O460" t="str">
            <v>Asteraceae</v>
          </cell>
          <cell r="P460" t="str">
            <v>Mikania</v>
          </cell>
          <cell r="R460" t="str">
            <v xml:space="preserve">Mikania </v>
          </cell>
        </row>
        <row r="461">
          <cell r="J461">
            <v>496</v>
          </cell>
          <cell r="K461" t="str">
            <v>Passiflora??</v>
          </cell>
          <cell r="L461" t="str">
            <v>Asteraceae_495</v>
          </cell>
          <cell r="M461" t="str">
            <v xml:space="preserve"> =495</v>
          </cell>
          <cell r="O461" t="str">
            <v>Asteraceae</v>
          </cell>
          <cell r="P461" t="str">
            <v>Mikania</v>
          </cell>
          <cell r="R461" t="str">
            <v xml:space="preserve">Mikania </v>
          </cell>
        </row>
        <row r="462">
          <cell r="J462">
            <v>497</v>
          </cell>
          <cell r="K462" t="str">
            <v>Piptadenia sp. 1</v>
          </cell>
          <cell r="L462" t="str">
            <v>Piptadenia_sp_tallo_cuadrado</v>
          </cell>
          <cell r="M462" t="str">
            <v xml:space="preserve"> =477</v>
          </cell>
          <cell r="N462" t="str">
            <v>Berthil: todas las piptadenias de laipuna son la misma especies</v>
          </cell>
          <cell r="O462" t="str">
            <v>Fabaceae</v>
          </cell>
          <cell r="P462" t="str">
            <v>Piptadenia</v>
          </cell>
          <cell r="R462" t="str">
            <v xml:space="preserve">Piptadenia </v>
          </cell>
        </row>
        <row r="463">
          <cell r="J463">
            <v>498</v>
          </cell>
          <cell r="K463" t="str">
            <v>Piptadenia sp. 1</v>
          </cell>
          <cell r="L463" t="str">
            <v>Piptadenia_sp_tallo_cuadrado</v>
          </cell>
          <cell r="M463" t="str">
            <v xml:space="preserve"> =477</v>
          </cell>
          <cell r="N463" t="str">
            <v>Berthil: todas las piptadenias de laipuna son la misma especies</v>
          </cell>
          <cell r="O463" t="str">
            <v>Fabaceae</v>
          </cell>
          <cell r="P463" t="str">
            <v>Piptadenia</v>
          </cell>
          <cell r="R463" t="str">
            <v xml:space="preserve">Piptadenia </v>
          </cell>
        </row>
        <row r="464">
          <cell r="J464">
            <v>499</v>
          </cell>
          <cell r="K464" t="str">
            <v>Piptadenia sp. 1</v>
          </cell>
          <cell r="L464" t="str">
            <v>Piptadenia_sp_tallo_cuadrado</v>
          </cell>
          <cell r="M464" t="str">
            <v xml:space="preserve"> =477</v>
          </cell>
          <cell r="N464" t="str">
            <v>Berthil: todas las piptadenias de laipuna son la misma especies</v>
          </cell>
          <cell r="O464" t="str">
            <v>Fabaceae</v>
          </cell>
          <cell r="P464" t="str">
            <v>Piptadenia</v>
          </cell>
          <cell r="R464" t="str">
            <v xml:space="preserve">Piptadenia </v>
          </cell>
        </row>
        <row r="465">
          <cell r="J465">
            <v>500</v>
          </cell>
          <cell r="K465" t="str">
            <v>H glandulas fisurado</v>
          </cell>
          <cell r="L465" t="str">
            <v>Stigmaphyllon_377</v>
          </cell>
          <cell r="M465" t="str">
            <v xml:space="preserve"> =377, =500</v>
          </cell>
          <cell r="N465" t="str">
            <v>Berthil (Malpighiaceae)</v>
          </cell>
          <cell r="O465" t="str">
            <v>Malpighiaceae</v>
          </cell>
          <cell r="P465" t="str">
            <v>Stigmaphyllon</v>
          </cell>
          <cell r="Q465" t="str">
            <v>cf. ellipticum</v>
          </cell>
          <cell r="R465" t="str">
            <v>Stigmaphyllon cf. ellipticum</v>
          </cell>
        </row>
        <row r="466">
          <cell r="J466">
            <v>501</v>
          </cell>
          <cell r="K466" t="str">
            <v>Euphor</v>
          </cell>
          <cell r="L466" t="str">
            <v>Euphorbia_328</v>
          </cell>
          <cell r="M466" t="str">
            <v xml:space="preserve"> =328</v>
          </cell>
          <cell r="N466" t="str">
            <v>Berthil (Euphorbiaceae, Acalypha cf.), =389, 521, 512, 597, 501</v>
          </cell>
          <cell r="O466" t="str">
            <v>Rhamnaceae</v>
          </cell>
          <cell r="P466" t="str">
            <v>Gouania</v>
          </cell>
          <cell r="R466" t="str">
            <v xml:space="preserve">Gouania </v>
          </cell>
        </row>
        <row r="467">
          <cell r="J467">
            <v>502</v>
          </cell>
          <cell r="K467" t="str">
            <v>Piptadenia sp. 1</v>
          </cell>
          <cell r="L467" t="str">
            <v>Piptadenia_sp_tallo_cuadrado</v>
          </cell>
          <cell r="M467" t="str">
            <v xml:space="preserve"> =477</v>
          </cell>
          <cell r="N467" t="str">
            <v>Berthil: todas las piptadenias de laipuna son la misma especies</v>
          </cell>
          <cell r="O467" t="str">
            <v>Fabaceae</v>
          </cell>
          <cell r="P467" t="str">
            <v>Piptadenia</v>
          </cell>
          <cell r="R467" t="str">
            <v xml:space="preserve">Piptadenia </v>
          </cell>
        </row>
        <row r="468">
          <cell r="J468">
            <v>503</v>
          </cell>
          <cell r="K468" t="str">
            <v>H.S.O. Glandulas fisura</v>
          </cell>
          <cell r="L468" t="str">
            <v>H.S.O. Glandulas fisura</v>
          </cell>
          <cell r="M468" t="str">
            <v xml:space="preserve"> =514</v>
          </cell>
          <cell r="O468" t="str">
            <v>Asteraceae</v>
          </cell>
          <cell r="R468" t="str">
            <v xml:space="preserve"> </v>
          </cell>
        </row>
        <row r="469">
          <cell r="J469">
            <v>504</v>
          </cell>
          <cell r="K469" t="str">
            <v>H.S.O. sericea</v>
          </cell>
          <cell r="L469" t="str">
            <v>HSO_sericea_Malpighiaceae</v>
          </cell>
          <cell r="O469" t="str">
            <v>Malpighiaceae</v>
          </cell>
          <cell r="R469" t="str">
            <v xml:space="preserve"> </v>
          </cell>
        </row>
        <row r="470">
          <cell r="J470">
            <v>505</v>
          </cell>
          <cell r="K470" t="str">
            <v>No se ve hojas, fuste blanco</v>
          </cell>
          <cell r="L470" t="str">
            <v>indet_505</v>
          </cell>
          <cell r="R470" t="str">
            <v xml:space="preserve"> </v>
          </cell>
        </row>
        <row r="471">
          <cell r="J471">
            <v>508</v>
          </cell>
          <cell r="K471" t="str">
            <v>Leve pubes</v>
          </cell>
          <cell r="L471" t="str">
            <v>Leve pubes</v>
          </cell>
          <cell r="R471" t="str">
            <v xml:space="preserve"> </v>
          </cell>
        </row>
        <row r="472">
          <cell r="J472">
            <v>509</v>
          </cell>
          <cell r="K472" t="str">
            <v>Leve pubes</v>
          </cell>
          <cell r="L472" t="str">
            <v>Leve pubes</v>
          </cell>
          <cell r="R472" t="str">
            <v xml:space="preserve"> </v>
          </cell>
        </row>
        <row r="473">
          <cell r="J473">
            <v>510</v>
          </cell>
          <cell r="K473" t="str">
            <v>H.S.A. garras</v>
          </cell>
          <cell r="L473" t="str">
            <v>Seguiera_510</v>
          </cell>
          <cell r="M473" t="str">
            <v xml:space="preserve"> =510</v>
          </cell>
          <cell r="O473" t="str">
            <v>Petiveriaceae</v>
          </cell>
          <cell r="P473" t="str">
            <v>Seguieria</v>
          </cell>
          <cell r="Q473" t="str">
            <v>cf. americana</v>
          </cell>
          <cell r="R473" t="str">
            <v>Seguieria cf. americana</v>
          </cell>
        </row>
        <row r="474">
          <cell r="J474">
            <v>511</v>
          </cell>
          <cell r="K474" t="str">
            <v>H.S.A. garras</v>
          </cell>
          <cell r="L474" t="str">
            <v>No_HAS_garras_510</v>
          </cell>
          <cell r="R474" t="str">
            <v xml:space="preserve"> </v>
          </cell>
        </row>
        <row r="475">
          <cell r="J475">
            <v>512</v>
          </cell>
          <cell r="K475" t="str">
            <v>H.S. Euphor fis</v>
          </cell>
          <cell r="L475" t="str">
            <v>Euphorbia_328</v>
          </cell>
          <cell r="M475" t="str">
            <v xml:space="preserve"> =328, =522, =546</v>
          </cell>
          <cell r="N475" t="str">
            <v>Berthil (Euphorbiaceae, Acalypha cf.), =389, 521, 512, 597, 501</v>
          </cell>
          <cell r="O475" t="str">
            <v>Rhamnaceae</v>
          </cell>
          <cell r="P475" t="str">
            <v>Gouania</v>
          </cell>
          <cell r="R475" t="str">
            <v xml:space="preserve">Gouania </v>
          </cell>
        </row>
        <row r="476">
          <cell r="J476">
            <v>513</v>
          </cell>
          <cell r="K476" t="str">
            <v>H.S.O. glandulas fis</v>
          </cell>
          <cell r="L476" t="str">
            <v>No_H.S.O. Glandulas fisura</v>
          </cell>
          <cell r="R476" t="str">
            <v xml:space="preserve"> </v>
          </cell>
        </row>
        <row r="477">
          <cell r="J477">
            <v>514</v>
          </cell>
          <cell r="K477" t="str">
            <v>H.S.O. glandulas fis</v>
          </cell>
          <cell r="L477" t="str">
            <v>H.S.O. Glandulas fisura</v>
          </cell>
          <cell r="M477" t="str">
            <v xml:space="preserve"> =514</v>
          </cell>
          <cell r="O477" t="str">
            <v>Asteraceae</v>
          </cell>
          <cell r="R477" t="str">
            <v xml:space="preserve"> </v>
          </cell>
        </row>
        <row r="478">
          <cell r="J478">
            <v>515</v>
          </cell>
          <cell r="K478" t="str">
            <v>Tallo blanco H.C.O. con nudos</v>
          </cell>
          <cell r="L478" t="str">
            <v>Big_515_Clematis_538</v>
          </cell>
          <cell r="M478" t="str">
            <v xml:space="preserve"> =515</v>
          </cell>
          <cell r="N478" t="str">
            <v>Berthil (Bignoniaceae)</v>
          </cell>
          <cell r="O478" t="str">
            <v>Ranunculaceae</v>
          </cell>
          <cell r="P478" t="str">
            <v>Clematis</v>
          </cell>
          <cell r="R478" t="str">
            <v xml:space="preserve">Clematis </v>
          </cell>
        </row>
        <row r="479">
          <cell r="J479">
            <v>516</v>
          </cell>
          <cell r="K479" t="str">
            <v>Piptadenia sp.</v>
          </cell>
          <cell r="L479" t="str">
            <v>Piptadenia_sp_tallo_redondo</v>
          </cell>
          <cell r="N479" t="str">
            <v>Berthil: todas las piptadenias de laipuna son la misma especies</v>
          </cell>
          <cell r="O479" t="str">
            <v>Fabaceae</v>
          </cell>
          <cell r="P479" t="str">
            <v>Piptadenia</v>
          </cell>
          <cell r="R479" t="str">
            <v xml:space="preserve">Piptadenia </v>
          </cell>
        </row>
        <row r="480">
          <cell r="J480">
            <v>517</v>
          </cell>
          <cell r="K480" t="str">
            <v>Astera</v>
          </cell>
          <cell r="L480" t="str">
            <v>Baccharis_517</v>
          </cell>
          <cell r="N480" t="str">
            <v>Berthil (Astearceae)</v>
          </cell>
          <cell r="O480" t="str">
            <v>Asteraceae</v>
          </cell>
          <cell r="R480" t="str">
            <v xml:space="preserve"> </v>
          </cell>
        </row>
        <row r="481">
          <cell r="J481">
            <v>518</v>
          </cell>
          <cell r="K481" t="str">
            <v>H.S.O. sericea</v>
          </cell>
          <cell r="L481" t="str">
            <v>HSO_sericea_Malpighiaceae</v>
          </cell>
          <cell r="M481" t="str">
            <v xml:space="preserve"> =402</v>
          </cell>
          <cell r="O481" t="str">
            <v>Malpighiaceae</v>
          </cell>
          <cell r="R481" t="str">
            <v xml:space="preserve"> </v>
          </cell>
        </row>
        <row r="482">
          <cell r="J482">
            <v>519</v>
          </cell>
          <cell r="K482" t="str">
            <v>bougainvillea</v>
          </cell>
          <cell r="L482" t="str">
            <v>Bougainvillea</v>
          </cell>
          <cell r="M482" t="str">
            <v xml:space="preserve"> =325</v>
          </cell>
          <cell r="O482" t="str">
            <v>Nyctaginaceae</v>
          </cell>
          <cell r="P482" t="str">
            <v>Bougainvillea</v>
          </cell>
          <cell r="Q482" t="str">
            <v>peruviana</v>
          </cell>
          <cell r="R482" t="str">
            <v>Bougainvillea peruviana</v>
          </cell>
        </row>
        <row r="483">
          <cell r="J483">
            <v>520</v>
          </cell>
          <cell r="K483" t="str">
            <v>piptadenia sp. 1</v>
          </cell>
          <cell r="L483" t="str">
            <v>Piptadenia_sp_tallo_cuadrado</v>
          </cell>
          <cell r="M483" t="str">
            <v xml:space="preserve"> =477</v>
          </cell>
          <cell r="N483" t="str">
            <v>Berthil: todas las piptadenias de laipuna son la misma especies</v>
          </cell>
          <cell r="O483" t="str">
            <v>Fabaceae</v>
          </cell>
          <cell r="P483" t="str">
            <v>Piptadenia</v>
          </cell>
          <cell r="R483" t="str">
            <v xml:space="preserve">Piptadenia </v>
          </cell>
        </row>
        <row r="484">
          <cell r="J484">
            <v>521</v>
          </cell>
          <cell r="K484" t="str">
            <v>Euphorbia 1</v>
          </cell>
          <cell r="L484" t="str">
            <v>Euphorbia_328</v>
          </cell>
          <cell r="M484" t="str">
            <v xml:space="preserve"> =328</v>
          </cell>
          <cell r="N484" t="str">
            <v>Berthil (Euphorbiaceae, Acalypha cf.), =389, 521, 512, 597, 501</v>
          </cell>
          <cell r="O484" t="str">
            <v>Rhamnaceae</v>
          </cell>
          <cell r="P484" t="str">
            <v>Gouania</v>
          </cell>
          <cell r="R484" t="str">
            <v xml:space="preserve">Gouania </v>
          </cell>
        </row>
        <row r="485">
          <cell r="J485">
            <v>522</v>
          </cell>
          <cell r="K485" t="str">
            <v>H.S.A. Alnus fisura</v>
          </cell>
          <cell r="L485" t="str">
            <v>Euphorbia_328</v>
          </cell>
          <cell r="M485" t="str">
            <v xml:space="preserve">  =328, =522</v>
          </cell>
          <cell r="O485" t="str">
            <v>Rhamnaceae</v>
          </cell>
          <cell r="P485" t="str">
            <v>Gouania</v>
          </cell>
          <cell r="R485" t="str">
            <v xml:space="preserve">Gouania </v>
          </cell>
        </row>
        <row r="486">
          <cell r="J486">
            <v>523</v>
          </cell>
          <cell r="K486" t="str">
            <v>H.S.A. Alnus fisura</v>
          </cell>
          <cell r="L486" t="str">
            <v>Euphorbia_328</v>
          </cell>
          <cell r="M486" t="str">
            <v xml:space="preserve">  =328, =522</v>
          </cell>
          <cell r="O486" t="str">
            <v>Rhamnaceae</v>
          </cell>
          <cell r="P486" t="str">
            <v>Gouania</v>
          </cell>
          <cell r="R486" t="str">
            <v xml:space="preserve">Gouania </v>
          </cell>
        </row>
        <row r="487">
          <cell r="J487">
            <v>524</v>
          </cell>
          <cell r="K487" t="str">
            <v>H.S.O. sericea</v>
          </cell>
          <cell r="L487" t="str">
            <v>HSO_sericea_Malpighiaceae</v>
          </cell>
          <cell r="M487" t="str">
            <v xml:space="preserve"> =524</v>
          </cell>
          <cell r="O487" t="str">
            <v>Malpighiaceae</v>
          </cell>
          <cell r="R487" t="str">
            <v xml:space="preserve"> </v>
          </cell>
        </row>
        <row r="488">
          <cell r="J488">
            <v>525</v>
          </cell>
          <cell r="K488" t="str">
            <v>H.C.Alternada, fuste fisurado</v>
          </cell>
          <cell r="L488" t="str">
            <v>Big_525</v>
          </cell>
          <cell r="M488" t="str">
            <v xml:space="preserve"> =525</v>
          </cell>
          <cell r="N488" t="str">
            <v>Berthil (Bignoniaceae)</v>
          </cell>
          <cell r="O488" t="str">
            <v>Bignoniaceae</v>
          </cell>
          <cell r="R488" t="str">
            <v xml:space="preserve"> </v>
          </cell>
        </row>
        <row r="489">
          <cell r="J489">
            <v>526</v>
          </cell>
          <cell r="K489" t="str">
            <v>H.C.Alternada, fuste fisurado</v>
          </cell>
          <cell r="L489" t="str">
            <v>Big_525</v>
          </cell>
          <cell r="M489" t="str">
            <v xml:space="preserve"> =525</v>
          </cell>
          <cell r="O489" t="str">
            <v>Bignoniaceae</v>
          </cell>
          <cell r="R489" t="str">
            <v xml:space="preserve"> </v>
          </cell>
        </row>
        <row r="490">
          <cell r="J490">
            <v>527</v>
          </cell>
          <cell r="K490" t="str">
            <v>H.S.O. sericea</v>
          </cell>
          <cell r="L490" t="str">
            <v>HSO_sericea_Malpighiaceae</v>
          </cell>
          <cell r="O490" t="str">
            <v>Malpighiaceae</v>
          </cell>
          <cell r="R490" t="str">
            <v xml:space="preserve"> </v>
          </cell>
        </row>
        <row r="491">
          <cell r="J491">
            <v>529</v>
          </cell>
          <cell r="K491" t="str">
            <v>H.S.O. sericea</v>
          </cell>
          <cell r="L491" t="str">
            <v>HSO_sericea_Malpighiaceae</v>
          </cell>
          <cell r="M491" t="str">
            <v xml:space="preserve"> =524</v>
          </cell>
          <cell r="O491" t="str">
            <v>Malpighiaceae</v>
          </cell>
          <cell r="R491" t="str">
            <v xml:space="preserve"> </v>
          </cell>
        </row>
        <row r="492">
          <cell r="J492">
            <v>530</v>
          </cell>
          <cell r="K492" t="str">
            <v>H.S.O. Glandulosa c.muerta</v>
          </cell>
          <cell r="L492" t="str">
            <v>H.S.O. Glandulosa c.muerta</v>
          </cell>
          <cell r="R492" t="str">
            <v xml:space="preserve"> </v>
          </cell>
        </row>
        <row r="493">
          <cell r="J493">
            <v>531</v>
          </cell>
          <cell r="K493" t="str">
            <v>H.S.O. Tallo muerto</v>
          </cell>
          <cell r="L493" t="str">
            <v>indet_531_Malpighiaceae</v>
          </cell>
          <cell r="M493" t="str">
            <v xml:space="preserve"> =531</v>
          </cell>
          <cell r="O493" t="str">
            <v>Malpighiaceae</v>
          </cell>
          <cell r="R493" t="str">
            <v xml:space="preserve"> </v>
          </cell>
        </row>
        <row r="494">
          <cell r="J494">
            <v>532</v>
          </cell>
          <cell r="K494" t="str">
            <v>H.S.O. Tallo muerto</v>
          </cell>
          <cell r="L494" t="str">
            <v>indet_531_Malpighiaceae</v>
          </cell>
          <cell r="M494" t="str">
            <v xml:space="preserve"> =531</v>
          </cell>
          <cell r="O494" t="str">
            <v>Malpighiaceae</v>
          </cell>
          <cell r="R494" t="str">
            <v xml:space="preserve"> </v>
          </cell>
        </row>
        <row r="495">
          <cell r="J495">
            <v>533</v>
          </cell>
          <cell r="K495" t="str">
            <v>H.S.O. Tallo muerto</v>
          </cell>
          <cell r="L495" t="str">
            <v>indet_531_Malpighiaceae</v>
          </cell>
          <cell r="M495" t="str">
            <v xml:space="preserve"> =531</v>
          </cell>
          <cell r="O495" t="str">
            <v>Malpighiaceae</v>
          </cell>
          <cell r="R495" t="str">
            <v xml:space="preserve"> </v>
          </cell>
        </row>
        <row r="496">
          <cell r="J496">
            <v>534</v>
          </cell>
          <cell r="K496" t="str">
            <v>H.S.O.Pubes</v>
          </cell>
          <cell r="L496" t="str">
            <v>indet_531_Malpighiaceae</v>
          </cell>
          <cell r="M496" t="str">
            <v xml:space="preserve"> =531, =563</v>
          </cell>
          <cell r="O496" t="str">
            <v>Malpighiaceae</v>
          </cell>
          <cell r="R496" t="str">
            <v xml:space="preserve"> </v>
          </cell>
        </row>
        <row r="497">
          <cell r="J497">
            <v>535</v>
          </cell>
          <cell r="K497" t="str">
            <v>H.S.O.Pubes</v>
          </cell>
          <cell r="L497" t="str">
            <v>indet_531_Malpighiaceae</v>
          </cell>
          <cell r="M497" t="str">
            <v xml:space="preserve"> =531</v>
          </cell>
          <cell r="O497" t="str">
            <v>Malpighiaceae</v>
          </cell>
          <cell r="R497" t="str">
            <v xml:space="preserve"> </v>
          </cell>
        </row>
        <row r="498">
          <cell r="J498">
            <v>536</v>
          </cell>
          <cell r="K498" t="str">
            <v>apocy</v>
          </cell>
          <cell r="L498" t="str">
            <v>Apocy_536</v>
          </cell>
          <cell r="O498" t="str">
            <v>Apocynaceae</v>
          </cell>
          <cell r="R498" t="str">
            <v xml:space="preserve"> </v>
          </cell>
        </row>
        <row r="499">
          <cell r="J499">
            <v>537</v>
          </cell>
          <cell r="K499" t="str">
            <v>H.S.O.Pubes</v>
          </cell>
          <cell r="L499" t="str">
            <v>indet_531_Malpighiaceae</v>
          </cell>
          <cell r="M499" t="str">
            <v xml:space="preserve"> =531</v>
          </cell>
          <cell r="O499" t="str">
            <v>Malpighiaceae</v>
          </cell>
          <cell r="R499" t="str">
            <v xml:space="preserve"> </v>
          </cell>
        </row>
        <row r="500">
          <cell r="J500">
            <v>538</v>
          </cell>
          <cell r="K500" t="str">
            <v>h.trifol opuesta</v>
          </cell>
          <cell r="L500" t="str">
            <v>Big_515_Clematis_538</v>
          </cell>
          <cell r="M500" t="str">
            <v xml:space="preserve"> =538</v>
          </cell>
          <cell r="O500" t="str">
            <v>Ranunculaceae</v>
          </cell>
          <cell r="P500" t="str">
            <v>Clematis</v>
          </cell>
          <cell r="R500" t="str">
            <v xml:space="preserve">Clematis </v>
          </cell>
        </row>
        <row r="501">
          <cell r="J501">
            <v>539</v>
          </cell>
          <cell r="K501" t="str">
            <v>H.S.O.Pubes</v>
          </cell>
          <cell r="L501" t="str">
            <v>indet_531_Malpighiaceae</v>
          </cell>
          <cell r="M501" t="str">
            <v xml:space="preserve"> =531</v>
          </cell>
          <cell r="O501" t="str">
            <v>Malpighiaceae</v>
          </cell>
          <cell r="R501" t="str">
            <v xml:space="preserve"> </v>
          </cell>
        </row>
        <row r="502">
          <cell r="J502">
            <v>540</v>
          </cell>
          <cell r="K502" t="str">
            <v>H.S.O.Pubes</v>
          </cell>
          <cell r="L502" t="str">
            <v>indet_531_Malpighiaceae</v>
          </cell>
          <cell r="M502" t="str">
            <v xml:space="preserve"> =531</v>
          </cell>
          <cell r="O502" t="str">
            <v>Malpighiaceae</v>
          </cell>
          <cell r="R502" t="str">
            <v xml:space="preserve"> </v>
          </cell>
        </row>
        <row r="503">
          <cell r="J503">
            <v>541</v>
          </cell>
          <cell r="K503" t="str">
            <v>H.S.O.Pubes</v>
          </cell>
          <cell r="L503" t="str">
            <v>Malpi_886</v>
          </cell>
          <cell r="N503" t="str">
            <v>Check: Berthil (malpighiaceae), 956, 541, 902</v>
          </cell>
          <cell r="O503" t="str">
            <v>Malpighiaceae</v>
          </cell>
          <cell r="R503" t="str">
            <v xml:space="preserve"> </v>
          </cell>
        </row>
        <row r="504">
          <cell r="J504">
            <v>542</v>
          </cell>
          <cell r="K504" t="str">
            <v>H.S.O.Pubes</v>
          </cell>
          <cell r="L504" t="str">
            <v>indet_531_Malpighiaceae</v>
          </cell>
          <cell r="M504" t="str">
            <v xml:space="preserve"> =531</v>
          </cell>
          <cell r="O504" t="str">
            <v>Malpighiaceae</v>
          </cell>
          <cell r="R504" t="str">
            <v xml:space="preserve"> </v>
          </cell>
        </row>
        <row r="505">
          <cell r="J505">
            <v>543</v>
          </cell>
          <cell r="K505" t="str">
            <v>H.S.O.Pubes</v>
          </cell>
          <cell r="L505" t="str">
            <v>indet_531_Malpighiaceae</v>
          </cell>
          <cell r="M505" t="str">
            <v xml:space="preserve"> =531</v>
          </cell>
          <cell r="O505" t="str">
            <v>Malpighiaceae</v>
          </cell>
          <cell r="R505" t="str">
            <v xml:space="preserve"> </v>
          </cell>
        </row>
        <row r="506">
          <cell r="J506">
            <v>544</v>
          </cell>
          <cell r="K506" t="str">
            <v>H. trifol opues fis</v>
          </cell>
          <cell r="L506" t="str">
            <v>Big_515_Clematis_538</v>
          </cell>
          <cell r="M506" t="str">
            <v xml:space="preserve"> =538</v>
          </cell>
          <cell r="O506" t="str">
            <v>Ranunculaceae</v>
          </cell>
          <cell r="P506" t="str">
            <v>Clematis</v>
          </cell>
          <cell r="R506" t="str">
            <v xml:space="preserve">Clematis </v>
          </cell>
        </row>
        <row r="507">
          <cell r="J507">
            <v>545</v>
          </cell>
          <cell r="K507" t="str">
            <v>H. triternada alt lenticelado</v>
          </cell>
          <cell r="L507" t="str">
            <v>HCA_triternada_lenticelado_Sapindaceae</v>
          </cell>
          <cell r="O507" t="str">
            <v>Sapindaceae</v>
          </cell>
          <cell r="R507" t="str">
            <v xml:space="preserve"> </v>
          </cell>
        </row>
        <row r="508">
          <cell r="J508">
            <v>546</v>
          </cell>
          <cell r="K508" t="str">
            <v>H.S.A.</v>
          </cell>
          <cell r="L508" t="str">
            <v>Euphorbia_328</v>
          </cell>
          <cell r="M508" t="str">
            <v xml:space="preserve"> =328, =522, =512</v>
          </cell>
          <cell r="O508" t="str">
            <v>Rhamnaceae</v>
          </cell>
          <cell r="P508" t="str">
            <v>Gouania</v>
          </cell>
          <cell r="R508" t="str">
            <v xml:space="preserve">Gouania </v>
          </cell>
        </row>
        <row r="509">
          <cell r="J509">
            <v>547</v>
          </cell>
          <cell r="K509" t="str">
            <v>H.S.A. garras</v>
          </cell>
          <cell r="L509" t="str">
            <v>Seguiera_510</v>
          </cell>
          <cell r="M509" t="str">
            <v xml:space="preserve"> =510</v>
          </cell>
          <cell r="O509" t="str">
            <v>Petiveriaceae</v>
          </cell>
          <cell r="P509" t="str">
            <v>Seguieria</v>
          </cell>
          <cell r="Q509" t="str">
            <v>cf. americana</v>
          </cell>
          <cell r="R509" t="str">
            <v>Seguieria cf. americana</v>
          </cell>
        </row>
        <row r="510">
          <cell r="J510">
            <v>548</v>
          </cell>
          <cell r="K510" t="str">
            <v>H.S.A. garras</v>
          </cell>
          <cell r="L510" t="str">
            <v>Seguiera_510</v>
          </cell>
          <cell r="M510" t="str">
            <v xml:space="preserve"> =510</v>
          </cell>
          <cell r="O510" t="str">
            <v>Petiveriaceae</v>
          </cell>
          <cell r="P510" t="str">
            <v>Seguieria</v>
          </cell>
          <cell r="Q510" t="str">
            <v>cf. americana</v>
          </cell>
          <cell r="R510" t="str">
            <v>Seguieria cf. americana</v>
          </cell>
        </row>
        <row r="511">
          <cell r="J511">
            <v>549</v>
          </cell>
          <cell r="K511" t="str">
            <v>H.S.A. garras</v>
          </cell>
          <cell r="L511" t="str">
            <v>Seguiera_510</v>
          </cell>
          <cell r="M511" t="str">
            <v xml:space="preserve"> =510</v>
          </cell>
          <cell r="O511" t="str">
            <v>Petiveriaceae</v>
          </cell>
          <cell r="P511" t="str">
            <v>Seguieria</v>
          </cell>
          <cell r="Q511" t="str">
            <v>cf. americana</v>
          </cell>
          <cell r="R511" t="str">
            <v>Seguieria cf. americana</v>
          </cell>
        </row>
        <row r="512">
          <cell r="J512">
            <v>550</v>
          </cell>
          <cell r="K512" t="str">
            <v>H. trifol opues fis</v>
          </cell>
          <cell r="L512" t="str">
            <v>Big_515_Clematis_538</v>
          </cell>
          <cell r="M512" t="str">
            <v xml:space="preserve"> =538</v>
          </cell>
          <cell r="O512" t="str">
            <v>Ranunculaceae</v>
          </cell>
          <cell r="P512" t="str">
            <v>Clematis</v>
          </cell>
          <cell r="R512" t="str">
            <v xml:space="preserve">Clematis </v>
          </cell>
        </row>
        <row r="513">
          <cell r="J513">
            <v>551</v>
          </cell>
          <cell r="K513" t="str">
            <v>H. trifol opues fis</v>
          </cell>
          <cell r="L513" t="str">
            <v>Big_515_Clematis_538</v>
          </cell>
          <cell r="M513" t="str">
            <v xml:space="preserve"> =538</v>
          </cell>
          <cell r="O513" t="str">
            <v>Ranunculaceae</v>
          </cell>
          <cell r="P513" t="str">
            <v>Clematis</v>
          </cell>
          <cell r="R513" t="str">
            <v xml:space="preserve">Clematis </v>
          </cell>
        </row>
        <row r="514">
          <cell r="J514">
            <v>552</v>
          </cell>
          <cell r="K514" t="str">
            <v>H.S.alt corteza garra lent</v>
          </cell>
          <cell r="L514" t="str">
            <v>H.S.alt corteza garra lent</v>
          </cell>
          <cell r="R514" t="str">
            <v xml:space="preserve"> </v>
          </cell>
        </row>
        <row r="515">
          <cell r="J515">
            <v>553</v>
          </cell>
          <cell r="K515" t="str">
            <v>H.trifol o. pubes passiflora café</v>
          </cell>
          <cell r="L515" t="str">
            <v>Big_553</v>
          </cell>
          <cell r="N515" t="str">
            <v>Berthil (Bignoniaceae)</v>
          </cell>
          <cell r="O515" t="str">
            <v>Bignoniaceae</v>
          </cell>
          <cell r="R515" t="str">
            <v xml:space="preserve"> </v>
          </cell>
        </row>
        <row r="516">
          <cell r="J516">
            <v>554</v>
          </cell>
          <cell r="K516" t="str">
            <v>h.s.a.</v>
          </cell>
          <cell r="L516" t="str">
            <v>Euphorbia_328</v>
          </cell>
          <cell r="M516" t="str">
            <v xml:space="preserve">  =328, =522</v>
          </cell>
          <cell r="O516" t="str">
            <v>Rhamnaceae</v>
          </cell>
          <cell r="P516" t="str">
            <v>Gouania</v>
          </cell>
          <cell r="R516" t="str">
            <v xml:space="preserve">Gouania </v>
          </cell>
        </row>
        <row r="517">
          <cell r="J517">
            <v>555</v>
          </cell>
          <cell r="K517" t="str">
            <v>Hojas secas</v>
          </cell>
          <cell r="L517" t="str">
            <v>Hojas secas</v>
          </cell>
          <cell r="R517" t="str">
            <v xml:space="preserve"> </v>
          </cell>
        </row>
        <row r="518">
          <cell r="J518">
            <v>556</v>
          </cell>
          <cell r="K518" t="str">
            <v>H.S.A. Garras</v>
          </cell>
          <cell r="L518" t="str">
            <v>Seguiera_510</v>
          </cell>
          <cell r="M518" t="str">
            <v xml:space="preserve"> =510</v>
          </cell>
          <cell r="O518" t="str">
            <v>Petiveriaceae</v>
          </cell>
          <cell r="P518" t="str">
            <v>Seguieria</v>
          </cell>
          <cell r="Q518" t="str">
            <v>cf. americana</v>
          </cell>
          <cell r="R518" t="str">
            <v>Seguieria cf. americana</v>
          </cell>
        </row>
        <row r="519">
          <cell r="J519">
            <v>557</v>
          </cell>
          <cell r="K519" t="str">
            <v>H.bifida opuesta cucur. C fisuras tiras</v>
          </cell>
          <cell r="L519" t="str">
            <v>Big_557</v>
          </cell>
          <cell r="N519" t="str">
            <v>Berthil (Bignoniaceae)</v>
          </cell>
          <cell r="O519" t="str">
            <v>Bignoniaceae</v>
          </cell>
          <cell r="R519" t="str">
            <v xml:space="preserve"> </v>
          </cell>
        </row>
        <row r="520">
          <cell r="J520">
            <v>558</v>
          </cell>
          <cell r="K520" t="str">
            <v>No se ve hojas, olor ajo</v>
          </cell>
          <cell r="L520" t="str">
            <v>indet_558</v>
          </cell>
          <cell r="R520" t="str">
            <v xml:space="preserve"> </v>
          </cell>
        </row>
        <row r="521">
          <cell r="J521">
            <v>559</v>
          </cell>
          <cell r="K521" t="str">
            <v>H.S.O. suave corteza estomas</v>
          </cell>
          <cell r="L521" t="str">
            <v>Ast_559</v>
          </cell>
          <cell r="M521" t="str">
            <v xml:space="preserve"> =559</v>
          </cell>
          <cell r="N521" t="str">
            <v>Berthil (Astera??)</v>
          </cell>
          <cell r="O521" t="str">
            <v>0_cf. Asteraceae</v>
          </cell>
          <cell r="R521" t="str">
            <v xml:space="preserve"> </v>
          </cell>
        </row>
        <row r="522">
          <cell r="J522">
            <v>560</v>
          </cell>
          <cell r="K522" t="str">
            <v>Piptadenia sp. 1</v>
          </cell>
          <cell r="L522" t="str">
            <v>Piptadenia_sp_tallo_cuadrado</v>
          </cell>
          <cell r="M522" t="str">
            <v xml:space="preserve"> =477</v>
          </cell>
          <cell r="N522" t="str">
            <v>Berthil: todas las piptadenias de laipuna son la misma especies</v>
          </cell>
          <cell r="O522" t="str">
            <v>Fabaceae</v>
          </cell>
          <cell r="P522" t="str">
            <v>Piptadenia</v>
          </cell>
          <cell r="R522" t="str">
            <v xml:space="preserve">Piptadenia </v>
          </cell>
        </row>
        <row r="523">
          <cell r="J523">
            <v>561</v>
          </cell>
          <cell r="K523" t="str">
            <v>Piptadenia sp. 1</v>
          </cell>
          <cell r="L523" t="str">
            <v>Piptadenia_sp_tallo_cuadrado</v>
          </cell>
          <cell r="M523" t="str">
            <v xml:space="preserve"> =477</v>
          </cell>
          <cell r="N523" t="str">
            <v>Berthil: todas las piptadenias de laipuna son la misma especies</v>
          </cell>
          <cell r="O523" t="str">
            <v>Fabaceae</v>
          </cell>
          <cell r="P523" t="str">
            <v>Piptadenia</v>
          </cell>
          <cell r="R523" t="str">
            <v xml:space="preserve">Piptadenia </v>
          </cell>
        </row>
        <row r="524">
          <cell r="J524">
            <v>562</v>
          </cell>
          <cell r="K524" t="str">
            <v>Piptadenia sp. 1</v>
          </cell>
          <cell r="L524" t="str">
            <v>Piptadenia_sp_tallo_cuadrado</v>
          </cell>
          <cell r="M524" t="str">
            <v xml:space="preserve"> =477</v>
          </cell>
          <cell r="N524" t="str">
            <v>Berthil: todas las piptadenias de laipuna son la misma especies</v>
          </cell>
          <cell r="O524" t="str">
            <v>Fabaceae</v>
          </cell>
          <cell r="P524" t="str">
            <v>Piptadenia</v>
          </cell>
          <cell r="R524" t="str">
            <v xml:space="preserve">Piptadenia </v>
          </cell>
        </row>
        <row r="525">
          <cell r="J525">
            <v>563</v>
          </cell>
          <cell r="K525" t="str">
            <v>H.S.O. Pubescente negro</v>
          </cell>
          <cell r="L525" t="str">
            <v>indet_531_Malpighiaceae</v>
          </cell>
          <cell r="M525" t="str">
            <v xml:space="preserve"> =531, =534, =563</v>
          </cell>
          <cell r="O525" t="str">
            <v>Malpighiaceae</v>
          </cell>
          <cell r="R525" t="str">
            <v xml:space="preserve"> </v>
          </cell>
        </row>
        <row r="526">
          <cell r="J526">
            <v>564</v>
          </cell>
          <cell r="K526" t="str">
            <v>H.S.O. Pubescente negro</v>
          </cell>
          <cell r="L526" t="str">
            <v>indet_531_Malpighiaceae</v>
          </cell>
          <cell r="M526" t="str">
            <v xml:space="preserve"> =531, =534, =563</v>
          </cell>
          <cell r="O526" t="str">
            <v>Malpighiaceae</v>
          </cell>
          <cell r="R526" t="str">
            <v xml:space="preserve"> </v>
          </cell>
        </row>
        <row r="527">
          <cell r="J527">
            <v>565</v>
          </cell>
          <cell r="K527" t="str">
            <v>H.S.O. Pubescente negro</v>
          </cell>
          <cell r="L527" t="str">
            <v>indet_531_Malpighiaceae</v>
          </cell>
          <cell r="M527" t="str">
            <v xml:space="preserve"> =531, =534, =563</v>
          </cell>
          <cell r="O527" t="str">
            <v>Malpighiaceae</v>
          </cell>
          <cell r="R527" t="str">
            <v xml:space="preserve"> </v>
          </cell>
        </row>
        <row r="528">
          <cell r="J528">
            <v>566</v>
          </cell>
          <cell r="K528" t="str">
            <v>H.S.O. suave</v>
          </cell>
          <cell r="L528" t="str">
            <v>Ast_559</v>
          </cell>
          <cell r="M528" t="str">
            <v xml:space="preserve"> =559</v>
          </cell>
          <cell r="O528" t="str">
            <v>0_cf. Asteraceae</v>
          </cell>
          <cell r="R528" t="str">
            <v xml:space="preserve"> </v>
          </cell>
        </row>
        <row r="529">
          <cell r="J529">
            <v>567</v>
          </cell>
          <cell r="K529" t="str">
            <v>Bignonia H. trifol. Opu</v>
          </cell>
          <cell r="L529" t="str">
            <v>Solandra</v>
          </cell>
          <cell r="M529" t="str">
            <v xml:space="preserve"> =166</v>
          </cell>
          <cell r="N529" t="str">
            <v>Berthil (Bignoniaceae??)</v>
          </cell>
          <cell r="O529" t="str">
            <v>Solanaceae</v>
          </cell>
          <cell r="P529" t="str">
            <v>Solandra</v>
          </cell>
          <cell r="R529" t="str">
            <v xml:space="preserve">Solandra </v>
          </cell>
        </row>
        <row r="530">
          <cell r="J530">
            <v>568</v>
          </cell>
          <cell r="K530" t="str">
            <v>Fab</v>
          </cell>
          <cell r="L530" t="str">
            <v>Fab_284</v>
          </cell>
          <cell r="M530" t="str">
            <v xml:space="preserve"> =284</v>
          </cell>
          <cell r="O530" t="str">
            <v>Fabaceae</v>
          </cell>
          <cell r="P530" t="str">
            <v>0_cf. Dalbergia</v>
          </cell>
          <cell r="R530" t="str">
            <v xml:space="preserve">0_cf. Dalbergia </v>
          </cell>
        </row>
        <row r="531">
          <cell r="J531">
            <v>569</v>
          </cell>
          <cell r="K531" t="str">
            <v>H.S.O. SERICEA</v>
          </cell>
          <cell r="L531" t="str">
            <v>HSO_sericea_Malpighiaceae</v>
          </cell>
          <cell r="O531" t="str">
            <v>Malpighiaceae</v>
          </cell>
          <cell r="R531" t="str">
            <v xml:space="preserve"> </v>
          </cell>
        </row>
        <row r="532">
          <cell r="J532">
            <v>570</v>
          </cell>
          <cell r="K532" t="str">
            <v>H.S.O. SERICEA</v>
          </cell>
          <cell r="L532" t="str">
            <v>HSO_sericea_Malpighiaceae</v>
          </cell>
          <cell r="O532" t="str">
            <v>Malpighiaceae</v>
          </cell>
          <cell r="R532" t="str">
            <v xml:space="preserve"> </v>
          </cell>
        </row>
        <row r="533">
          <cell r="J533">
            <v>571</v>
          </cell>
          <cell r="K533" t="str">
            <v>H.S.O. SERICEA</v>
          </cell>
          <cell r="L533" t="str">
            <v>HSO_sericea_Malpighiaceae</v>
          </cell>
          <cell r="O533" t="str">
            <v>Malpighiaceae</v>
          </cell>
          <cell r="R533" t="str">
            <v xml:space="preserve"> </v>
          </cell>
        </row>
        <row r="534">
          <cell r="J534">
            <v>572</v>
          </cell>
          <cell r="K534" t="str">
            <v>BIGNONIACEAE HOJA TRIFOLIADA OPUESTA</v>
          </cell>
          <cell r="L534" t="str">
            <v>Big_166</v>
          </cell>
          <cell r="M534" t="str">
            <v xml:space="preserve"> =166</v>
          </cell>
          <cell r="O534" t="str">
            <v>Bignoniaceae</v>
          </cell>
          <cell r="R534" t="str">
            <v xml:space="preserve"> </v>
          </cell>
        </row>
        <row r="535">
          <cell r="J535">
            <v>573</v>
          </cell>
          <cell r="K535" t="str">
            <v>BIGNONIACEAE HOJA TRIFOLIADA OPUESTA</v>
          </cell>
          <cell r="L535" t="str">
            <v>Big_166</v>
          </cell>
          <cell r="M535" t="str">
            <v xml:space="preserve"> =166</v>
          </cell>
          <cell r="O535" t="str">
            <v>Bignoniaceae</v>
          </cell>
          <cell r="R535" t="str">
            <v xml:space="preserve"> </v>
          </cell>
        </row>
        <row r="536">
          <cell r="J536">
            <v>574</v>
          </cell>
          <cell r="K536" t="str">
            <v>PIPTADENIA SP. 1</v>
          </cell>
          <cell r="L536" t="str">
            <v>Piptadenia_sp_tallo_cuadrado</v>
          </cell>
          <cell r="M536" t="str">
            <v xml:space="preserve"> =477</v>
          </cell>
          <cell r="N536" t="str">
            <v>Berthil: todas las piptadenias de laipuna son la misma especies</v>
          </cell>
          <cell r="O536" t="str">
            <v>Fabaceae</v>
          </cell>
          <cell r="P536" t="str">
            <v>Piptadenia</v>
          </cell>
          <cell r="R536" t="str">
            <v xml:space="preserve">Piptadenia </v>
          </cell>
        </row>
        <row r="537">
          <cell r="J537">
            <v>575</v>
          </cell>
          <cell r="K537" t="str">
            <v>H.S.O. SERICEA</v>
          </cell>
          <cell r="L537" t="str">
            <v>HSO_sericea_Malpighiaceae</v>
          </cell>
          <cell r="O537" t="str">
            <v>Malpighiaceae</v>
          </cell>
          <cell r="R537" t="str">
            <v xml:space="preserve"> </v>
          </cell>
        </row>
        <row r="538">
          <cell r="J538">
            <v>576</v>
          </cell>
          <cell r="K538" t="str">
            <v>H.S.O. SERICEA</v>
          </cell>
          <cell r="L538" t="str">
            <v>HSO_sericea_Malpighiaceae</v>
          </cell>
          <cell r="M538" t="str">
            <v xml:space="preserve"> =402</v>
          </cell>
          <cell r="N538" t="str">
            <v>Berthil (Malpighiaceae)</v>
          </cell>
          <cell r="O538" t="str">
            <v>Malpighiaceae</v>
          </cell>
          <cell r="R538" t="str">
            <v xml:space="preserve"> </v>
          </cell>
        </row>
        <row r="539">
          <cell r="J539">
            <v>577</v>
          </cell>
          <cell r="K539" t="str">
            <v>Scisus trifoliada</v>
          </cell>
          <cell r="L539" t="str">
            <v>Cissus_trifol_raiz</v>
          </cell>
          <cell r="O539" t="str">
            <v>Vitaceae</v>
          </cell>
          <cell r="P539" t="str">
            <v xml:space="preserve">Cissus </v>
          </cell>
          <cell r="Q539" t="str">
            <v>trifoliata</v>
          </cell>
          <cell r="R539" t="str">
            <v>Cissus  trifoliata</v>
          </cell>
        </row>
        <row r="540">
          <cell r="J540">
            <v>578</v>
          </cell>
          <cell r="K540" t="str">
            <v>Piptadenia sp.</v>
          </cell>
          <cell r="L540" t="str">
            <v>Piptadenia_sp_tallo_redondo</v>
          </cell>
          <cell r="N540" t="str">
            <v>Berthil: todas las piptadenias de laipuna son la misma especies</v>
          </cell>
          <cell r="O540" t="str">
            <v>Fabaceae</v>
          </cell>
          <cell r="P540" t="str">
            <v>Piptadenia</v>
          </cell>
          <cell r="R540" t="str">
            <v xml:space="preserve">Piptadenia </v>
          </cell>
        </row>
        <row r="541">
          <cell r="J541">
            <v>579</v>
          </cell>
          <cell r="K541" t="str">
            <v>PIPTADENIA SP. 1</v>
          </cell>
          <cell r="L541" t="str">
            <v>Piptadenia_sp_tallo_cuadrado</v>
          </cell>
          <cell r="M541" t="str">
            <v xml:space="preserve"> =477</v>
          </cell>
          <cell r="N541" t="str">
            <v>Berthil: todas las piptadenias de laipuna son la misma especies</v>
          </cell>
          <cell r="O541" t="str">
            <v>Fabaceae</v>
          </cell>
          <cell r="P541" t="str">
            <v>Piptadenia</v>
          </cell>
          <cell r="R541" t="str">
            <v xml:space="preserve">Piptadenia </v>
          </cell>
        </row>
        <row r="542">
          <cell r="J542">
            <v>580</v>
          </cell>
          <cell r="K542" t="str">
            <v>bougainvillea</v>
          </cell>
          <cell r="L542" t="str">
            <v>Bougainvillea</v>
          </cell>
          <cell r="M542" t="str">
            <v xml:space="preserve"> =325</v>
          </cell>
          <cell r="O542" t="str">
            <v>Nyctaginaceae</v>
          </cell>
          <cell r="P542" t="str">
            <v>Bougainvillea</v>
          </cell>
          <cell r="Q542" t="str">
            <v>peruviana</v>
          </cell>
          <cell r="R542" t="str">
            <v>Bougainvillea peruviana</v>
          </cell>
        </row>
        <row r="543">
          <cell r="J543">
            <v>581</v>
          </cell>
          <cell r="K543" t="str">
            <v>H.S.O. SERICEA</v>
          </cell>
          <cell r="L543" t="str">
            <v>HSO_sericea_Malpighiaceae</v>
          </cell>
          <cell r="O543" t="str">
            <v>Malpighiaceae</v>
          </cell>
          <cell r="R543" t="str">
            <v xml:space="preserve"> </v>
          </cell>
        </row>
        <row r="544">
          <cell r="J544">
            <v>582</v>
          </cell>
          <cell r="K544" t="str">
            <v>H.S.O. Garras</v>
          </cell>
          <cell r="L544" t="str">
            <v>Seguiera_510</v>
          </cell>
          <cell r="M544" t="str">
            <v xml:space="preserve"> =510</v>
          </cell>
          <cell r="O544" t="str">
            <v>Petiveriaceae</v>
          </cell>
          <cell r="P544" t="str">
            <v>Seguieria</v>
          </cell>
          <cell r="Q544" t="str">
            <v>cf. americana</v>
          </cell>
          <cell r="R544" t="str">
            <v>Seguieria cf. americana</v>
          </cell>
        </row>
        <row r="545">
          <cell r="J545">
            <v>583</v>
          </cell>
          <cell r="K545" t="str">
            <v>H.S.O. SERICEA</v>
          </cell>
          <cell r="L545" t="str">
            <v>HSO_sericea_Malpighiaceae</v>
          </cell>
          <cell r="O545" t="str">
            <v>Malpighiaceae</v>
          </cell>
          <cell r="R545" t="str">
            <v xml:space="preserve"> </v>
          </cell>
        </row>
        <row r="546">
          <cell r="J546">
            <v>584</v>
          </cell>
          <cell r="K546" t="str">
            <v>H.S.O. SERICEA</v>
          </cell>
          <cell r="L546" t="str">
            <v>HSO_sericea_Malpighiaceae</v>
          </cell>
          <cell r="O546" t="str">
            <v>Malpighiaceae</v>
          </cell>
          <cell r="R546" t="str">
            <v xml:space="preserve"> </v>
          </cell>
        </row>
        <row r="547">
          <cell r="J547">
            <v>585</v>
          </cell>
          <cell r="K547" t="str">
            <v>H.S.O. SERICEA</v>
          </cell>
          <cell r="L547" t="str">
            <v>HSO_sericea_Malpighiaceae</v>
          </cell>
          <cell r="O547" t="str">
            <v>Malpighiaceae</v>
          </cell>
          <cell r="R547" t="str">
            <v xml:space="preserve"> </v>
          </cell>
        </row>
        <row r="548">
          <cell r="J548">
            <v>586</v>
          </cell>
          <cell r="K548" t="str">
            <v>H.S.O. SERICEA</v>
          </cell>
          <cell r="L548" t="str">
            <v>HSO_sericea_Malpighiaceae</v>
          </cell>
          <cell r="O548" t="str">
            <v>Malpighiaceae</v>
          </cell>
          <cell r="R548" t="str">
            <v xml:space="preserve"> </v>
          </cell>
        </row>
        <row r="549">
          <cell r="J549">
            <v>587</v>
          </cell>
          <cell r="K549" t="str">
            <v>H.S.A. Rama roja, tallo blanco</v>
          </cell>
          <cell r="L549" t="str">
            <v>Celast_LA</v>
          </cell>
          <cell r="M549" t="str">
            <v xml:space="preserve"> =433, =671</v>
          </cell>
          <cell r="O549" t="str">
            <v>Violaceae</v>
          </cell>
          <cell r="P549" t="str">
            <v>Corynostylis</v>
          </cell>
          <cell r="R549" t="str">
            <v xml:space="preserve">Corynostylis </v>
          </cell>
        </row>
        <row r="550">
          <cell r="J550">
            <v>588</v>
          </cell>
          <cell r="K550" t="str">
            <v>H.S.O. SERICEA</v>
          </cell>
          <cell r="L550" t="str">
            <v>HSO_sericea_Malpighiaceae</v>
          </cell>
          <cell r="M550" t="str">
            <v xml:space="preserve"> =576</v>
          </cell>
          <cell r="O550" t="str">
            <v>Malpighiaceae</v>
          </cell>
          <cell r="R550" t="str">
            <v xml:space="preserve"> </v>
          </cell>
        </row>
        <row r="551">
          <cell r="J551">
            <v>589</v>
          </cell>
          <cell r="K551" t="str">
            <v>H.S.O. SERICEA</v>
          </cell>
          <cell r="L551" t="str">
            <v>HSO_sericea_Malpighiaceae</v>
          </cell>
          <cell r="M551" t="str">
            <v xml:space="preserve"> =576</v>
          </cell>
          <cell r="O551" t="str">
            <v>Malpighiaceae</v>
          </cell>
          <cell r="R551" t="str">
            <v xml:space="preserve"> </v>
          </cell>
        </row>
        <row r="552">
          <cell r="J552">
            <v>590</v>
          </cell>
          <cell r="K552" t="str">
            <v>H.S.O. SERICEA</v>
          </cell>
          <cell r="L552" t="str">
            <v>HSO_sericea_Malpighiaceae</v>
          </cell>
          <cell r="M552" t="str">
            <v xml:space="preserve"> =576</v>
          </cell>
          <cell r="O552" t="str">
            <v>Malpighiaceae</v>
          </cell>
          <cell r="R552" t="str">
            <v xml:space="preserve"> </v>
          </cell>
        </row>
        <row r="553">
          <cell r="J553">
            <v>591</v>
          </cell>
          <cell r="K553" t="str">
            <v>H.S.O. Glandulas</v>
          </cell>
          <cell r="L553" t="str">
            <v>HSO_Glandulas_591</v>
          </cell>
          <cell r="M553" t="str">
            <v xml:space="preserve"> =591</v>
          </cell>
          <cell r="O553" t="str">
            <v>Malpighiaceae</v>
          </cell>
          <cell r="R553" t="str">
            <v xml:space="preserve"> </v>
          </cell>
        </row>
        <row r="554">
          <cell r="J554">
            <v>592</v>
          </cell>
          <cell r="K554" t="str">
            <v>H.S.O. Glandulas</v>
          </cell>
          <cell r="L554" t="str">
            <v>HSO_Glandulas_591</v>
          </cell>
          <cell r="M554" t="str">
            <v xml:space="preserve"> =591</v>
          </cell>
          <cell r="O554" t="str">
            <v>Malpighiaceae</v>
          </cell>
          <cell r="R554" t="str">
            <v xml:space="preserve"> </v>
          </cell>
        </row>
        <row r="555">
          <cell r="J555">
            <v>593</v>
          </cell>
          <cell r="K555" t="str">
            <v>Piptadenia sp. 1</v>
          </cell>
          <cell r="L555" t="str">
            <v>Piptadenia_sp_tallo_cuadrado</v>
          </cell>
          <cell r="M555" t="str">
            <v xml:space="preserve"> =477</v>
          </cell>
          <cell r="N555" t="str">
            <v>Berthil: todas las piptadenias de laipuna son la misma especies</v>
          </cell>
          <cell r="O555" t="str">
            <v>Fabaceae</v>
          </cell>
          <cell r="P555" t="str">
            <v>Piptadenia</v>
          </cell>
          <cell r="R555" t="str">
            <v xml:space="preserve">Piptadenia </v>
          </cell>
        </row>
        <row r="556">
          <cell r="J556">
            <v>594</v>
          </cell>
          <cell r="K556" t="str">
            <v>H.S.O. SERICEA</v>
          </cell>
          <cell r="L556" t="str">
            <v>HSO_sericea_Malpighiaceae</v>
          </cell>
          <cell r="O556" t="str">
            <v>Malpighiaceae</v>
          </cell>
          <cell r="R556" t="str">
            <v xml:space="preserve"> </v>
          </cell>
        </row>
        <row r="557">
          <cell r="J557">
            <v>595</v>
          </cell>
          <cell r="K557" t="str">
            <v>H.S.O. SERICEA</v>
          </cell>
          <cell r="L557" t="str">
            <v>HSO_sericea_Malpighiaceae</v>
          </cell>
          <cell r="O557" t="str">
            <v>Malpighiaceae</v>
          </cell>
          <cell r="R557" t="str">
            <v xml:space="preserve"> </v>
          </cell>
        </row>
        <row r="558">
          <cell r="J558">
            <v>596</v>
          </cell>
          <cell r="K558" t="str">
            <v>H.S.O. SERICEA</v>
          </cell>
          <cell r="L558" t="str">
            <v>HSO_sericea_Malpighiaceae</v>
          </cell>
          <cell r="O558" t="str">
            <v>Malpighiaceae</v>
          </cell>
          <cell r="R558" t="str">
            <v xml:space="preserve"> </v>
          </cell>
        </row>
        <row r="559">
          <cell r="J559">
            <v>597</v>
          </cell>
          <cell r="K559" t="str">
            <v>H.S.O. SERICEA</v>
          </cell>
          <cell r="L559" t="str">
            <v>HSO_sericea_Malpighiaceae</v>
          </cell>
          <cell r="N559" t="str">
            <v>Check Berthil (Euphorbiaceae, Acalypha cf.), =389, 521, 512, 597, 501</v>
          </cell>
          <cell r="O559" t="str">
            <v>Malpighiaceae</v>
          </cell>
          <cell r="R559" t="str">
            <v xml:space="preserve"> </v>
          </cell>
        </row>
        <row r="560">
          <cell r="J560">
            <v>598</v>
          </cell>
          <cell r="K560" t="str">
            <v>Piptadenia sp.</v>
          </cell>
          <cell r="L560" t="str">
            <v>Piptadenia_sp_tallo_redondo</v>
          </cell>
          <cell r="N560" t="str">
            <v>Berthil: todas las piptadenias de laipuna son la misma especies</v>
          </cell>
          <cell r="O560" t="str">
            <v>Fabaceae</v>
          </cell>
          <cell r="P560" t="str">
            <v>Piptadenia</v>
          </cell>
          <cell r="R560" t="str">
            <v xml:space="preserve">Piptadenia </v>
          </cell>
        </row>
        <row r="561">
          <cell r="J561">
            <v>599</v>
          </cell>
          <cell r="K561" t="str">
            <v>Piptadenia sp. 1</v>
          </cell>
          <cell r="L561" t="str">
            <v>Piptadenia_sp_tallo_cuadrado</v>
          </cell>
          <cell r="M561" t="str">
            <v xml:space="preserve"> =477</v>
          </cell>
          <cell r="N561" t="str">
            <v>Berthil: todas las piptadenias de laipuna son la misma especies</v>
          </cell>
          <cell r="O561" t="str">
            <v>Fabaceae</v>
          </cell>
          <cell r="P561" t="str">
            <v>Piptadenia</v>
          </cell>
          <cell r="R561" t="str">
            <v xml:space="preserve">Piptadenia </v>
          </cell>
        </row>
        <row r="562">
          <cell r="J562">
            <v>600</v>
          </cell>
          <cell r="K562" t="str">
            <v>Piptadenia sp. 1</v>
          </cell>
          <cell r="L562" t="str">
            <v>Piptadenia_sp_tallo_cuadrado</v>
          </cell>
          <cell r="M562" t="str">
            <v xml:space="preserve"> =477</v>
          </cell>
          <cell r="N562" t="str">
            <v>Berthil: todas las piptadenias de laipuna son la misma especies</v>
          </cell>
          <cell r="O562" t="str">
            <v>Fabaceae</v>
          </cell>
          <cell r="P562" t="str">
            <v>Piptadenia</v>
          </cell>
          <cell r="R562" t="str">
            <v xml:space="preserve">Piptadenia </v>
          </cell>
        </row>
        <row r="563">
          <cell r="J563">
            <v>601</v>
          </cell>
          <cell r="K563" t="str">
            <v>Piptadenia sp. 1</v>
          </cell>
          <cell r="L563" t="str">
            <v>Piptadenia_sp_tallo_cuadrado</v>
          </cell>
          <cell r="M563" t="str">
            <v xml:space="preserve"> =477</v>
          </cell>
          <cell r="N563" t="str">
            <v>Berthil: todas las piptadenias de laipuna son la misma especies</v>
          </cell>
          <cell r="O563" t="str">
            <v>Fabaceae</v>
          </cell>
          <cell r="P563" t="str">
            <v>Piptadenia</v>
          </cell>
          <cell r="R563" t="str">
            <v xml:space="preserve">Piptadenia </v>
          </cell>
        </row>
        <row r="564">
          <cell r="J564">
            <v>602</v>
          </cell>
          <cell r="K564" t="str">
            <v>Fab</v>
          </cell>
          <cell r="L564" t="str">
            <v>Fab_284</v>
          </cell>
          <cell r="M564" t="str">
            <v xml:space="preserve"> =284</v>
          </cell>
          <cell r="O564" t="str">
            <v>Fabaceae</v>
          </cell>
          <cell r="P564" t="str">
            <v>0_cf. Dalbergia</v>
          </cell>
          <cell r="R564" t="str">
            <v xml:space="preserve">0_cf. Dalbergia </v>
          </cell>
        </row>
        <row r="565">
          <cell r="J565">
            <v>603</v>
          </cell>
          <cell r="K565" t="str">
            <v>Piptadenia sp. 1</v>
          </cell>
          <cell r="L565" t="str">
            <v>Piptadenia_sp_tallo_cuadrado</v>
          </cell>
          <cell r="M565" t="str">
            <v xml:space="preserve"> =477</v>
          </cell>
          <cell r="N565" t="str">
            <v>Berthil: todas las piptadenias de laipuna son la misma especies</v>
          </cell>
          <cell r="O565" t="str">
            <v>Fabaceae</v>
          </cell>
          <cell r="P565" t="str">
            <v>Piptadenia</v>
          </cell>
          <cell r="R565" t="str">
            <v xml:space="preserve">Piptadenia </v>
          </cell>
        </row>
        <row r="566">
          <cell r="J566">
            <v>604</v>
          </cell>
          <cell r="K566" t="str">
            <v>Piptadenia sp.</v>
          </cell>
          <cell r="L566" t="str">
            <v>Piptadenia_sp_tallo_redondo</v>
          </cell>
          <cell r="N566" t="str">
            <v>Berthil: todas las piptadenias de laipuna son la misma especies</v>
          </cell>
          <cell r="O566" t="str">
            <v>Fabaceae</v>
          </cell>
          <cell r="P566" t="str">
            <v>Piptadenia</v>
          </cell>
          <cell r="R566" t="str">
            <v xml:space="preserve">Piptadenia </v>
          </cell>
        </row>
        <row r="567">
          <cell r="J567">
            <v>605</v>
          </cell>
          <cell r="K567" t="str">
            <v>H.S.O. lenticelas circulares negras</v>
          </cell>
          <cell r="L567" t="str">
            <v>Ast_605</v>
          </cell>
          <cell r="M567" t="str">
            <v xml:space="preserve"> =605</v>
          </cell>
          <cell r="N567" t="str">
            <v>Berthil (Asteraceae cf. o amaranthaceae)</v>
          </cell>
          <cell r="O567" t="str">
            <v>0_Asteraceae o amaranthaceae??</v>
          </cell>
          <cell r="R567" t="str">
            <v xml:space="preserve"> </v>
          </cell>
        </row>
        <row r="568">
          <cell r="J568">
            <v>606</v>
          </cell>
          <cell r="K568" t="str">
            <v>H.S.O. lenticelas circulares negras</v>
          </cell>
          <cell r="L568" t="str">
            <v>indet_531_Malpighiaceae</v>
          </cell>
          <cell r="M568" t="str">
            <v xml:space="preserve"> =531, =605, =614</v>
          </cell>
          <cell r="O568" t="str">
            <v>Malpighiaceae</v>
          </cell>
          <cell r="R568" t="str">
            <v xml:space="preserve"> </v>
          </cell>
        </row>
        <row r="569">
          <cell r="J569">
            <v>607</v>
          </cell>
          <cell r="K569" t="str">
            <v>Gouania Ramnaceae</v>
          </cell>
          <cell r="L569" t="str">
            <v>Euphorbia_328</v>
          </cell>
          <cell r="M569" t="str">
            <v xml:space="preserve"> =328, =607</v>
          </cell>
          <cell r="O569" t="str">
            <v>Rhamnaceae</v>
          </cell>
          <cell r="P569" t="str">
            <v>Gouania</v>
          </cell>
          <cell r="R569" t="str">
            <v xml:space="preserve">Gouania </v>
          </cell>
        </row>
        <row r="570">
          <cell r="J570">
            <v>608</v>
          </cell>
          <cell r="K570" t="str">
            <v>H.S.O. Glandulas, Malpigiaceae</v>
          </cell>
          <cell r="L570" t="str">
            <v>indet_531_Malpighiaceae</v>
          </cell>
          <cell r="M570" t="str">
            <v xml:space="preserve"> =531, =614</v>
          </cell>
          <cell r="O570" t="str">
            <v>Malpighiaceae</v>
          </cell>
          <cell r="R570" t="str">
            <v xml:space="preserve"> </v>
          </cell>
        </row>
        <row r="571">
          <cell r="J571">
            <v>609</v>
          </cell>
          <cell r="K571" t="str">
            <v>H.S.O. Peciolo rojo</v>
          </cell>
          <cell r="L571" t="str">
            <v>H.S.O. lenticelas circulares. Peciolo rojo</v>
          </cell>
          <cell r="M571" t="str">
            <v xml:space="preserve"> =609</v>
          </cell>
          <cell r="R571" t="str">
            <v xml:space="preserve"> </v>
          </cell>
        </row>
        <row r="572">
          <cell r="J572">
            <v>610</v>
          </cell>
          <cell r="K572" t="str">
            <v>H.S.A. garras</v>
          </cell>
          <cell r="L572" t="str">
            <v>Seguiera_510</v>
          </cell>
          <cell r="M572" t="str">
            <v xml:space="preserve"> =510</v>
          </cell>
          <cell r="O572" t="str">
            <v>Petiveriaceae</v>
          </cell>
          <cell r="P572" t="str">
            <v>Seguieria</v>
          </cell>
          <cell r="Q572" t="str">
            <v>cf. americana</v>
          </cell>
          <cell r="R572" t="str">
            <v>Seguieria cf. americana</v>
          </cell>
        </row>
        <row r="573">
          <cell r="J573">
            <v>611</v>
          </cell>
          <cell r="K573" t="str">
            <v>H. trifoliada opuesta. bignoniaceae</v>
          </cell>
          <cell r="L573" t="str">
            <v>Big_166</v>
          </cell>
          <cell r="M573" t="str">
            <v xml:space="preserve"> =166</v>
          </cell>
          <cell r="O573" t="str">
            <v>Bignoniaceae</v>
          </cell>
          <cell r="R573" t="str">
            <v xml:space="preserve"> </v>
          </cell>
        </row>
        <row r="574">
          <cell r="J574">
            <v>612</v>
          </cell>
          <cell r="K574" t="str">
            <v>H. verticilada</v>
          </cell>
          <cell r="L574" t="str">
            <v>Bougainvillea</v>
          </cell>
          <cell r="M574" t="str">
            <v xml:space="preserve"> =325</v>
          </cell>
          <cell r="O574" t="str">
            <v>Nyctaginaceae</v>
          </cell>
          <cell r="P574" t="str">
            <v>Bougainvillea</v>
          </cell>
          <cell r="Q574" t="str">
            <v>peruviana</v>
          </cell>
          <cell r="R574" t="str">
            <v>Bougainvillea peruviana</v>
          </cell>
        </row>
        <row r="575">
          <cell r="J575">
            <v>613</v>
          </cell>
          <cell r="K575" t="str">
            <v>Solandra</v>
          </cell>
          <cell r="L575" t="str">
            <v>Solandra</v>
          </cell>
          <cell r="M575" t="str">
            <v xml:space="preserve"> =464</v>
          </cell>
          <cell r="N575" t="str">
            <v>Berthil (Solandra)</v>
          </cell>
          <cell r="O575" t="str">
            <v>Solanaceae</v>
          </cell>
          <cell r="P575" t="str">
            <v>Solandra</v>
          </cell>
          <cell r="Q575" t="str">
            <v>maxima</v>
          </cell>
          <cell r="R575" t="str">
            <v>Solandra maxima</v>
          </cell>
        </row>
        <row r="576">
          <cell r="J576">
            <v>614</v>
          </cell>
          <cell r="K576" t="str">
            <v>H.S.O. lenticelas circulares</v>
          </cell>
          <cell r="L576" t="str">
            <v>indet_531_Malpighiaceae</v>
          </cell>
          <cell r="M576" t="str">
            <v xml:space="preserve"> =531, =609, =614</v>
          </cell>
          <cell r="O576" t="str">
            <v>Malpighiaceae</v>
          </cell>
          <cell r="R576" t="str">
            <v xml:space="preserve"> </v>
          </cell>
        </row>
        <row r="577">
          <cell r="J577">
            <v>615</v>
          </cell>
          <cell r="K577" t="str">
            <v>Solandra</v>
          </cell>
          <cell r="L577" t="str">
            <v>Solandra</v>
          </cell>
          <cell r="M577" t="str">
            <v xml:space="preserve"> =464</v>
          </cell>
          <cell r="O577" t="str">
            <v>Solanaceae</v>
          </cell>
          <cell r="P577" t="str">
            <v>Solandra</v>
          </cell>
          <cell r="Q577" t="str">
            <v>maxima</v>
          </cell>
          <cell r="R577" t="str">
            <v>Solandra maxima</v>
          </cell>
        </row>
        <row r="578">
          <cell r="J578">
            <v>616</v>
          </cell>
          <cell r="K578" t="str">
            <v>Solandra</v>
          </cell>
          <cell r="L578" t="str">
            <v>Solandra</v>
          </cell>
          <cell r="M578" t="str">
            <v xml:space="preserve"> =464</v>
          </cell>
          <cell r="O578" t="str">
            <v>Solanaceae</v>
          </cell>
          <cell r="P578" t="str">
            <v>Solandra</v>
          </cell>
          <cell r="Q578" t="str">
            <v>maxima</v>
          </cell>
          <cell r="R578" t="str">
            <v>Solandra maxima</v>
          </cell>
        </row>
        <row r="579">
          <cell r="J579">
            <v>617</v>
          </cell>
          <cell r="K579" t="str">
            <v>Solandra</v>
          </cell>
          <cell r="L579" t="str">
            <v>Solandra</v>
          </cell>
          <cell r="M579" t="str">
            <v xml:space="preserve"> =464</v>
          </cell>
          <cell r="O579" t="str">
            <v>Solanaceae</v>
          </cell>
          <cell r="P579" t="str">
            <v>Solandra</v>
          </cell>
          <cell r="Q579" t="str">
            <v>maxima</v>
          </cell>
          <cell r="R579" t="str">
            <v>Solandra maxima</v>
          </cell>
        </row>
        <row r="580">
          <cell r="J580">
            <v>618</v>
          </cell>
          <cell r="K580" t="str">
            <v>Solandra</v>
          </cell>
          <cell r="L580" t="str">
            <v>Solandra</v>
          </cell>
          <cell r="M580" t="str">
            <v xml:space="preserve"> =464</v>
          </cell>
          <cell r="O580" t="str">
            <v>Solanaceae</v>
          </cell>
          <cell r="P580" t="str">
            <v>Solandra</v>
          </cell>
          <cell r="Q580" t="str">
            <v>maxima</v>
          </cell>
          <cell r="R580" t="str">
            <v>Solandra maxima</v>
          </cell>
        </row>
        <row r="581">
          <cell r="J581">
            <v>619</v>
          </cell>
          <cell r="K581" t="str">
            <v>Solandra</v>
          </cell>
          <cell r="L581" t="str">
            <v>Solandra</v>
          </cell>
          <cell r="M581" t="str">
            <v xml:space="preserve"> =464</v>
          </cell>
          <cell r="O581" t="str">
            <v>Solanaceae</v>
          </cell>
          <cell r="P581" t="str">
            <v>Solandra</v>
          </cell>
          <cell r="Q581" t="str">
            <v>maxima</v>
          </cell>
          <cell r="R581" t="str">
            <v>Solandra maxima</v>
          </cell>
        </row>
        <row r="582">
          <cell r="J582">
            <v>620</v>
          </cell>
          <cell r="K582" t="str">
            <v>Solandra</v>
          </cell>
          <cell r="L582" t="str">
            <v>Solandra</v>
          </cell>
          <cell r="M582" t="str">
            <v xml:space="preserve"> =464</v>
          </cell>
          <cell r="O582" t="str">
            <v>Solanaceae</v>
          </cell>
          <cell r="P582" t="str">
            <v>Solandra</v>
          </cell>
          <cell r="Q582" t="str">
            <v>maxima</v>
          </cell>
          <cell r="R582" t="str">
            <v>Solandra maxima</v>
          </cell>
        </row>
        <row r="583">
          <cell r="J583">
            <v>621</v>
          </cell>
          <cell r="K583" t="str">
            <v>Solandra</v>
          </cell>
          <cell r="L583" t="str">
            <v>Solandra</v>
          </cell>
          <cell r="M583" t="str">
            <v xml:space="preserve"> =464</v>
          </cell>
          <cell r="O583" t="str">
            <v>Solanaceae</v>
          </cell>
          <cell r="P583" t="str">
            <v>Solandra</v>
          </cell>
          <cell r="Q583" t="str">
            <v>maxima</v>
          </cell>
          <cell r="R583" t="str">
            <v>Solandra maxima</v>
          </cell>
        </row>
        <row r="584">
          <cell r="J584">
            <v>622</v>
          </cell>
          <cell r="K584" t="str">
            <v>Solandra</v>
          </cell>
          <cell r="L584" t="str">
            <v>Solandra</v>
          </cell>
          <cell r="M584" t="str">
            <v xml:space="preserve"> =464</v>
          </cell>
          <cell r="O584" t="str">
            <v>Solanaceae</v>
          </cell>
          <cell r="P584" t="str">
            <v>Solandra</v>
          </cell>
          <cell r="Q584" t="str">
            <v>maxima</v>
          </cell>
          <cell r="R584" t="str">
            <v>Solandra maxima</v>
          </cell>
        </row>
        <row r="585">
          <cell r="J585">
            <v>623</v>
          </cell>
          <cell r="K585" t="str">
            <v>Piptadenia sp. 1</v>
          </cell>
          <cell r="L585" t="str">
            <v>Piptadenia_sp_tallo_cuadrado</v>
          </cell>
          <cell r="M585" t="str">
            <v xml:space="preserve"> =477</v>
          </cell>
          <cell r="N585" t="str">
            <v>Berthil: todas las piptadenias de laipuna son la misma especies</v>
          </cell>
          <cell r="O585" t="str">
            <v>Fabaceae</v>
          </cell>
          <cell r="P585" t="str">
            <v>Piptadenia</v>
          </cell>
          <cell r="R585" t="str">
            <v xml:space="preserve">Piptadenia </v>
          </cell>
        </row>
        <row r="586">
          <cell r="J586">
            <v>624</v>
          </cell>
          <cell r="K586" t="str">
            <v>Gouania Ramnaceae</v>
          </cell>
          <cell r="L586" t="str">
            <v>Euphorbia_328</v>
          </cell>
          <cell r="M586" t="str">
            <v xml:space="preserve"> =328, =607</v>
          </cell>
          <cell r="O586" t="str">
            <v>Rhamnaceae</v>
          </cell>
          <cell r="P586" t="str">
            <v>Gouania</v>
          </cell>
          <cell r="R586" t="str">
            <v xml:space="preserve">Gouania </v>
          </cell>
        </row>
        <row r="587">
          <cell r="J587">
            <v>625</v>
          </cell>
          <cell r="K587" t="str">
            <v>H.S.O. sericea</v>
          </cell>
          <cell r="L587" t="str">
            <v>HSO_sericea_Malpighiaceae</v>
          </cell>
          <cell r="O587" t="str">
            <v>Malpighiaceae</v>
          </cell>
          <cell r="R587" t="str">
            <v xml:space="preserve"> </v>
          </cell>
        </row>
        <row r="588">
          <cell r="J588">
            <v>626</v>
          </cell>
          <cell r="K588" t="str">
            <v>Piptadenia sp.1</v>
          </cell>
          <cell r="L588" t="str">
            <v>Piptadenia_sp_tallo_cuadrado</v>
          </cell>
          <cell r="M588" t="str">
            <v xml:space="preserve"> =477</v>
          </cell>
          <cell r="N588" t="str">
            <v>Berthil: todas las piptadenias de laipuna son la misma especies</v>
          </cell>
          <cell r="O588" t="str">
            <v>Fabaceae</v>
          </cell>
          <cell r="P588" t="str">
            <v>Piptadenia</v>
          </cell>
          <cell r="R588" t="str">
            <v xml:space="preserve">Piptadenia </v>
          </cell>
        </row>
        <row r="589">
          <cell r="J589">
            <v>627</v>
          </cell>
          <cell r="K589" t="str">
            <v>Piptadenia sp.1</v>
          </cell>
          <cell r="L589" t="str">
            <v>Piptadenia_sp_tallo_cuadrado</v>
          </cell>
          <cell r="M589" t="str">
            <v xml:space="preserve"> =477</v>
          </cell>
          <cell r="N589" t="str">
            <v>Berthil: todas las piptadenias de laipuna son la misma especies</v>
          </cell>
          <cell r="O589" t="str">
            <v>Fabaceae</v>
          </cell>
          <cell r="P589" t="str">
            <v>Piptadenia</v>
          </cell>
          <cell r="R589" t="str">
            <v xml:space="preserve">Piptadenia </v>
          </cell>
        </row>
        <row r="590">
          <cell r="J590">
            <v>628</v>
          </cell>
          <cell r="K590" t="str">
            <v>H.S.A. fisura,  Fuste blanco</v>
          </cell>
          <cell r="L590" t="str">
            <v>H.S.A. fisura,  Fuste blanco</v>
          </cell>
          <cell r="R590" t="str">
            <v xml:space="preserve"> </v>
          </cell>
        </row>
        <row r="591">
          <cell r="J591">
            <v>629</v>
          </cell>
          <cell r="K591" t="str">
            <v>H.S.O. sericea</v>
          </cell>
          <cell r="L591" t="str">
            <v>HSO_sericea_Malpighiaceae</v>
          </cell>
          <cell r="O591" t="str">
            <v>Malpighiaceae</v>
          </cell>
          <cell r="R591" t="str">
            <v xml:space="preserve"> </v>
          </cell>
        </row>
        <row r="592">
          <cell r="J592">
            <v>630</v>
          </cell>
          <cell r="K592" t="str">
            <v>H.S.O. sericeae</v>
          </cell>
          <cell r="L592" t="str">
            <v>HSO_sericea_Malpighiaceae</v>
          </cell>
          <cell r="O592" t="str">
            <v>Malpighiaceae</v>
          </cell>
          <cell r="R592" t="str">
            <v xml:space="preserve"> </v>
          </cell>
        </row>
        <row r="593">
          <cell r="J593">
            <v>631</v>
          </cell>
          <cell r="K593" t="str">
            <v>H.S.O. sericeae</v>
          </cell>
          <cell r="L593" t="str">
            <v>HSO_sericea_Malpighiaceae</v>
          </cell>
          <cell r="O593" t="str">
            <v>Malpighiaceae</v>
          </cell>
          <cell r="R593" t="str">
            <v xml:space="preserve"> </v>
          </cell>
        </row>
        <row r="594">
          <cell r="J594">
            <v>632</v>
          </cell>
          <cell r="K594" t="str">
            <v>H.S.O. sericeae</v>
          </cell>
          <cell r="L594" t="str">
            <v>Piptadenia_sp_tallo_cuadrado</v>
          </cell>
          <cell r="M594" t="str">
            <v xml:space="preserve"> =477</v>
          </cell>
          <cell r="O594" t="str">
            <v>Fabaceae</v>
          </cell>
          <cell r="P594" t="str">
            <v>Piptadenia</v>
          </cell>
          <cell r="R594" t="str">
            <v xml:space="preserve">Piptadenia </v>
          </cell>
        </row>
        <row r="595">
          <cell r="J595">
            <v>633</v>
          </cell>
          <cell r="K595" t="str">
            <v>Piptadenia sp.</v>
          </cell>
          <cell r="L595" t="str">
            <v>Piptadenia_sp_tallo_redondo</v>
          </cell>
          <cell r="N595" t="str">
            <v>Berthil: todas las piptadenias de laipuna son la misma especies</v>
          </cell>
          <cell r="O595" t="str">
            <v>Fabaceae</v>
          </cell>
          <cell r="P595" t="str">
            <v>Piptadenia</v>
          </cell>
          <cell r="R595" t="str">
            <v xml:space="preserve">Piptadenia </v>
          </cell>
        </row>
        <row r="596">
          <cell r="J596">
            <v>634</v>
          </cell>
          <cell r="K596" t="str">
            <v>H.S.O. sericea</v>
          </cell>
          <cell r="L596" t="str">
            <v>HSO_sericea_Malpighiaceae</v>
          </cell>
          <cell r="O596" t="str">
            <v>Malpighiaceae</v>
          </cell>
          <cell r="R596" t="str">
            <v xml:space="preserve"> </v>
          </cell>
        </row>
        <row r="597">
          <cell r="J597">
            <v>635</v>
          </cell>
          <cell r="K597" t="str">
            <v>H.S.O. sericea</v>
          </cell>
          <cell r="L597" t="str">
            <v>HSO_sericea_Malpighiaceae</v>
          </cell>
          <cell r="O597" t="str">
            <v>Malpighiaceae</v>
          </cell>
          <cell r="R597" t="str">
            <v xml:space="preserve"> </v>
          </cell>
        </row>
        <row r="598">
          <cell r="J598">
            <v>636</v>
          </cell>
          <cell r="K598" t="str">
            <v>Bignonia hojuela</v>
          </cell>
          <cell r="L598" t="str">
            <v>Big_636</v>
          </cell>
          <cell r="M598" t="str">
            <v xml:space="preserve"> =636</v>
          </cell>
          <cell r="N598" t="str">
            <v>Berthil (bignaniaceae)</v>
          </cell>
          <cell r="O598" t="str">
            <v>Bignoniaceae</v>
          </cell>
          <cell r="R598" t="str">
            <v xml:space="preserve"> </v>
          </cell>
        </row>
        <row r="599">
          <cell r="J599">
            <v>637</v>
          </cell>
          <cell r="K599" t="str">
            <v>Piptademia sp. 1</v>
          </cell>
          <cell r="L599" t="str">
            <v>Piptadenia_sp_tallo_cuadrado</v>
          </cell>
          <cell r="M599" t="str">
            <v xml:space="preserve"> =477</v>
          </cell>
          <cell r="N599" t="str">
            <v>Berthil: todas las piptadenias de laipuna son la misma especies</v>
          </cell>
          <cell r="O599" t="str">
            <v>Fabaceae</v>
          </cell>
          <cell r="P599" t="str">
            <v>Piptadenia</v>
          </cell>
          <cell r="R599" t="str">
            <v xml:space="preserve">Piptadenia </v>
          </cell>
        </row>
        <row r="600">
          <cell r="J600">
            <v>638</v>
          </cell>
          <cell r="K600" t="str">
            <v>Baccharis</v>
          </cell>
          <cell r="L600" t="str">
            <v>Baccharis_517</v>
          </cell>
          <cell r="N600" t="str">
            <v>Berthil (Asteraceae)</v>
          </cell>
          <cell r="O600" t="str">
            <v>Asteraceae</v>
          </cell>
          <cell r="R600" t="str">
            <v xml:space="preserve"> </v>
          </cell>
        </row>
        <row r="601">
          <cell r="J601">
            <v>639</v>
          </cell>
          <cell r="K601" t="str">
            <v>Piptademia sp. 1</v>
          </cell>
          <cell r="L601" t="str">
            <v>Piptadenia_sp_tallo_cuadrado</v>
          </cell>
          <cell r="M601" t="str">
            <v xml:space="preserve"> =477</v>
          </cell>
          <cell r="N601" t="str">
            <v>Berthil: todas las piptadenias de laipuna son la misma especies</v>
          </cell>
          <cell r="O601" t="str">
            <v>Fabaceae</v>
          </cell>
          <cell r="P601" t="str">
            <v>Piptadenia</v>
          </cell>
          <cell r="R601" t="str">
            <v xml:space="preserve">Piptadenia </v>
          </cell>
        </row>
        <row r="602">
          <cell r="J602">
            <v>640</v>
          </cell>
          <cell r="K602" t="str">
            <v>H.S.O. sericea. Malpighia</v>
          </cell>
          <cell r="L602" t="str">
            <v>HSO_sericea_Malpighiaceae</v>
          </cell>
          <cell r="O602" t="str">
            <v>Malpighiaceae</v>
          </cell>
          <cell r="R602" t="str">
            <v xml:space="preserve"> </v>
          </cell>
        </row>
        <row r="603">
          <cell r="J603">
            <v>641</v>
          </cell>
          <cell r="K603" t="str">
            <v>H.S.A. garras</v>
          </cell>
          <cell r="L603" t="str">
            <v>Seguiera_510</v>
          </cell>
          <cell r="M603" t="str">
            <v xml:space="preserve"> =510</v>
          </cell>
          <cell r="O603" t="str">
            <v>Petiveriaceae</v>
          </cell>
          <cell r="P603" t="str">
            <v>Seguieria</v>
          </cell>
          <cell r="Q603" t="str">
            <v>cf. americana</v>
          </cell>
          <cell r="R603" t="str">
            <v>Seguieria cf. americana</v>
          </cell>
        </row>
        <row r="604">
          <cell r="J604">
            <v>642</v>
          </cell>
          <cell r="K604" t="str">
            <v>Piptademia sp. 1</v>
          </cell>
          <cell r="L604" t="str">
            <v>Piptadenia_sp_tallo_cuadrado</v>
          </cell>
          <cell r="M604" t="str">
            <v xml:space="preserve"> =477</v>
          </cell>
          <cell r="N604" t="str">
            <v>Berthil: todas las piptadenias de laipuna son la misma especies</v>
          </cell>
          <cell r="O604" t="str">
            <v>Fabaceae</v>
          </cell>
          <cell r="P604" t="str">
            <v>Piptadenia</v>
          </cell>
          <cell r="R604" t="str">
            <v xml:space="preserve">Piptadenia </v>
          </cell>
        </row>
        <row r="605">
          <cell r="J605">
            <v>643</v>
          </cell>
          <cell r="K605" t="str">
            <v>Piptademia sp. 1</v>
          </cell>
          <cell r="L605" t="str">
            <v>Piptadenia_sp_tallo_cuadrado</v>
          </cell>
          <cell r="M605" t="str">
            <v xml:space="preserve"> =477</v>
          </cell>
          <cell r="N605" t="str">
            <v>Berthil: todas las piptadenias de laipuna son la misma especies</v>
          </cell>
          <cell r="O605" t="str">
            <v>Fabaceae</v>
          </cell>
          <cell r="P605" t="str">
            <v>Piptadenia</v>
          </cell>
          <cell r="R605" t="str">
            <v xml:space="preserve">Piptadenia </v>
          </cell>
        </row>
        <row r="606">
          <cell r="J606">
            <v>644</v>
          </cell>
          <cell r="K606" t="str">
            <v>H.S.O. resina roja</v>
          </cell>
          <cell r="L606" t="str">
            <v>H.S.O. resina roja, sp. Puntos blanca</v>
          </cell>
          <cell r="M606" t="str">
            <v xml:space="preserve"> =473, =645, posiblemente igual a =609, =614</v>
          </cell>
          <cell r="N606" t="str">
            <v>Berthil (Malpighiaceae)</v>
          </cell>
          <cell r="O606" t="str">
            <v>Malpighiaceae</v>
          </cell>
          <cell r="R606" t="str">
            <v xml:space="preserve"> </v>
          </cell>
        </row>
        <row r="607">
          <cell r="J607">
            <v>645</v>
          </cell>
          <cell r="K607" t="str">
            <v>H.S.O. resina roja</v>
          </cell>
          <cell r="L607" t="str">
            <v>H.S.O. resina roja</v>
          </cell>
          <cell r="M607" t="str">
            <v xml:space="preserve"> =645</v>
          </cell>
          <cell r="O607" t="str">
            <v>Malpighiaceae</v>
          </cell>
          <cell r="R607" t="str">
            <v xml:space="preserve"> </v>
          </cell>
        </row>
        <row r="608">
          <cell r="J608">
            <v>646</v>
          </cell>
          <cell r="K608" t="str">
            <v>Piptademia sp. 1</v>
          </cell>
          <cell r="L608" t="str">
            <v>Piptadenia_sp_tallo_cuadrado</v>
          </cell>
          <cell r="M608" t="str">
            <v xml:space="preserve"> =477</v>
          </cell>
          <cell r="N608" t="str">
            <v>Berthil: todas las piptadenias de laipuna son la misma especies</v>
          </cell>
          <cell r="O608" t="str">
            <v>Fabaceae</v>
          </cell>
          <cell r="P608" t="str">
            <v>Piptadenia</v>
          </cell>
          <cell r="R608" t="str">
            <v xml:space="preserve">Piptadenia </v>
          </cell>
        </row>
        <row r="609">
          <cell r="J609">
            <v>647</v>
          </cell>
          <cell r="K609" t="str">
            <v>Serguiera, H.S.A. garras</v>
          </cell>
          <cell r="L609" t="str">
            <v>Seguiera_510</v>
          </cell>
          <cell r="O609" t="str">
            <v>Petiveriaceae</v>
          </cell>
          <cell r="P609" t="str">
            <v>Seguieria</v>
          </cell>
          <cell r="R609" t="str">
            <v xml:space="preserve">Seguieria </v>
          </cell>
        </row>
        <row r="610">
          <cell r="J610">
            <v>648</v>
          </cell>
          <cell r="K610" t="str">
            <v>Serguiera, H.S.A. garras</v>
          </cell>
          <cell r="L610" t="str">
            <v>Seguiera_510</v>
          </cell>
          <cell r="O610" t="str">
            <v>Petiveriaceae</v>
          </cell>
          <cell r="P610" t="str">
            <v>Seguieria</v>
          </cell>
          <cell r="R610" t="str">
            <v xml:space="preserve">Seguieria </v>
          </cell>
        </row>
        <row r="611">
          <cell r="J611">
            <v>649</v>
          </cell>
          <cell r="K611" t="str">
            <v>H.S.A. Fuste blanco</v>
          </cell>
          <cell r="L611" t="str">
            <v>Celast_LA</v>
          </cell>
          <cell r="M611" t="str">
            <v xml:space="preserve"> =433, =671</v>
          </cell>
          <cell r="N611" t="str">
            <v>Berthil (Celastraceae??), =433, 649</v>
          </cell>
          <cell r="O611" t="str">
            <v>Violaceae</v>
          </cell>
          <cell r="P611" t="str">
            <v>Corynostylis</v>
          </cell>
          <cell r="R611" t="str">
            <v xml:space="preserve">Corynostylis </v>
          </cell>
        </row>
        <row r="612">
          <cell r="J612">
            <v>650</v>
          </cell>
          <cell r="K612" t="str">
            <v>Solanum, H.S.A. Fuste blanco</v>
          </cell>
          <cell r="L612" t="str">
            <v>Asteraceae_650</v>
          </cell>
          <cell r="N612" t="str">
            <v>Berthil (Euphorbiaceae cf.)</v>
          </cell>
          <cell r="O612" t="str">
            <v>Asteraceae</v>
          </cell>
          <cell r="R612" t="str">
            <v xml:space="preserve"> </v>
          </cell>
        </row>
        <row r="613">
          <cell r="J613">
            <v>651</v>
          </cell>
          <cell r="K613" t="str">
            <v>Piptademia sp. 1</v>
          </cell>
          <cell r="L613" t="str">
            <v>Piptadenia_sp_tallo_cuadrado</v>
          </cell>
          <cell r="M613" t="str">
            <v xml:space="preserve"> =477</v>
          </cell>
          <cell r="N613" t="str">
            <v>Berthil: todas las piptadenias de laipuna son la misma especies</v>
          </cell>
          <cell r="O613" t="str">
            <v>Fabaceae</v>
          </cell>
          <cell r="P613" t="str">
            <v>Piptadenia</v>
          </cell>
          <cell r="R613" t="str">
            <v xml:space="preserve">Piptadenia </v>
          </cell>
        </row>
        <row r="614">
          <cell r="J614">
            <v>652</v>
          </cell>
          <cell r="K614" t="str">
            <v>H.S.O. Sericea</v>
          </cell>
          <cell r="L614" t="str">
            <v>HSO_sericea_Malpighiaceae</v>
          </cell>
          <cell r="O614" t="str">
            <v>Malpighiaceae</v>
          </cell>
          <cell r="R614" t="str">
            <v xml:space="preserve"> </v>
          </cell>
        </row>
        <row r="615">
          <cell r="J615">
            <v>653</v>
          </cell>
          <cell r="K615" t="str">
            <v>Piptademia sp. 1</v>
          </cell>
          <cell r="L615" t="str">
            <v>Piptadenia_sp_tallo_cuadrado</v>
          </cell>
          <cell r="M615" t="str">
            <v xml:space="preserve"> =477</v>
          </cell>
          <cell r="N615" t="str">
            <v>Berthil: todas las piptadenias de laipuna son la misma especies</v>
          </cell>
          <cell r="O615" t="str">
            <v>Fabaceae</v>
          </cell>
          <cell r="P615" t="str">
            <v>Piptadenia</v>
          </cell>
          <cell r="R615" t="str">
            <v xml:space="preserve">Piptadenia </v>
          </cell>
        </row>
        <row r="616">
          <cell r="J616">
            <v>654</v>
          </cell>
          <cell r="K616" t="str">
            <v>H.S.O. sericea. Malpighia</v>
          </cell>
          <cell r="L616" t="str">
            <v>HSO_sericea_Malpighiaceae</v>
          </cell>
          <cell r="O616" t="str">
            <v>Malpighiaceae</v>
          </cell>
          <cell r="R616" t="str">
            <v xml:space="preserve"> </v>
          </cell>
        </row>
        <row r="617">
          <cell r="J617">
            <v>655</v>
          </cell>
          <cell r="K617" t="str">
            <v>H.S.O. sericea</v>
          </cell>
          <cell r="L617" t="str">
            <v>HSO_sericea_Malpighiaceae</v>
          </cell>
          <cell r="O617" t="str">
            <v>Malpighiaceae</v>
          </cell>
          <cell r="R617" t="str">
            <v xml:space="preserve"> </v>
          </cell>
        </row>
        <row r="618">
          <cell r="J618">
            <v>656</v>
          </cell>
          <cell r="K618" t="str">
            <v>H.S.O. sericea</v>
          </cell>
          <cell r="L618" t="str">
            <v>HSO_sericea_Malpighiaceae</v>
          </cell>
          <cell r="O618" t="str">
            <v>Malpighiaceae</v>
          </cell>
          <cell r="R618" t="str">
            <v xml:space="preserve"> </v>
          </cell>
        </row>
        <row r="619">
          <cell r="J619">
            <v>657</v>
          </cell>
          <cell r="K619" t="str">
            <v>H.S.O. sericea</v>
          </cell>
          <cell r="L619" t="str">
            <v>HSO_sericea_Malpighiaceae</v>
          </cell>
          <cell r="O619" t="str">
            <v>Malpighiaceae</v>
          </cell>
          <cell r="R619" t="str">
            <v xml:space="preserve"> </v>
          </cell>
        </row>
        <row r="620">
          <cell r="J620">
            <v>658</v>
          </cell>
          <cell r="K620" t="str">
            <v>H.S.O. sericea</v>
          </cell>
          <cell r="L620" t="str">
            <v>HSO_sericea_Malpighiaceae</v>
          </cell>
          <cell r="O620" t="str">
            <v>Malpighiaceae</v>
          </cell>
          <cell r="R620" t="str">
            <v xml:space="preserve"> </v>
          </cell>
        </row>
        <row r="621">
          <cell r="J621">
            <v>659</v>
          </cell>
          <cell r="K621" t="str">
            <v>H.S.O. sericea</v>
          </cell>
          <cell r="L621" t="str">
            <v>HSO_sericea_Malpighiaceae</v>
          </cell>
          <cell r="O621" t="str">
            <v>Malpighiaceae</v>
          </cell>
          <cell r="R621" t="str">
            <v xml:space="preserve"> </v>
          </cell>
        </row>
        <row r="622">
          <cell r="J622">
            <v>660</v>
          </cell>
          <cell r="K622" t="str">
            <v>H.S.O. sericea</v>
          </cell>
          <cell r="L622" t="str">
            <v>HSO_sericea_Malpighiaceae</v>
          </cell>
          <cell r="O622" t="str">
            <v>Malpighiaceae</v>
          </cell>
          <cell r="R622" t="str">
            <v xml:space="preserve"> </v>
          </cell>
        </row>
        <row r="623">
          <cell r="J623">
            <v>661</v>
          </cell>
          <cell r="K623" t="str">
            <v>H.S.O. sericea</v>
          </cell>
          <cell r="L623" t="str">
            <v>HSO_sericea_Malpighiaceae</v>
          </cell>
          <cell r="O623" t="str">
            <v>Malpighiaceae</v>
          </cell>
          <cell r="R623" t="str">
            <v xml:space="preserve"> </v>
          </cell>
        </row>
        <row r="624">
          <cell r="J624">
            <v>662</v>
          </cell>
          <cell r="K624" t="str">
            <v>H.S.O. sericea</v>
          </cell>
          <cell r="L624" t="str">
            <v>HSO_sericea_Malpighiaceae</v>
          </cell>
          <cell r="O624" t="str">
            <v>Malpighiaceae</v>
          </cell>
          <cell r="R624" t="str">
            <v xml:space="preserve"> </v>
          </cell>
        </row>
        <row r="625">
          <cell r="J625">
            <v>663</v>
          </cell>
          <cell r="K625" t="str">
            <v>H.S.O. sericea</v>
          </cell>
          <cell r="L625" t="str">
            <v>HSO_sericea_Malpighiaceae</v>
          </cell>
          <cell r="O625" t="str">
            <v>Malpighiaceae</v>
          </cell>
          <cell r="R625" t="str">
            <v xml:space="preserve"> </v>
          </cell>
        </row>
        <row r="626">
          <cell r="J626">
            <v>664</v>
          </cell>
          <cell r="K626" t="str">
            <v>H.S.O. sericea</v>
          </cell>
          <cell r="L626" t="str">
            <v>HSO_sericea_Malpighiaceae</v>
          </cell>
          <cell r="O626" t="str">
            <v>Malpighiaceae</v>
          </cell>
          <cell r="R626" t="str">
            <v xml:space="preserve"> </v>
          </cell>
        </row>
        <row r="627">
          <cell r="J627">
            <v>665</v>
          </cell>
          <cell r="K627" t="str">
            <v>H.S.O. sericea</v>
          </cell>
          <cell r="L627" t="str">
            <v>HSO_sericea_Malpighiaceae</v>
          </cell>
          <cell r="O627" t="str">
            <v>Malpighiaceae</v>
          </cell>
          <cell r="R627" t="str">
            <v xml:space="preserve"> </v>
          </cell>
        </row>
        <row r="628">
          <cell r="J628">
            <v>666</v>
          </cell>
          <cell r="K628" t="str">
            <v>H.S.O. sericea</v>
          </cell>
          <cell r="L628" t="str">
            <v>HSO_sericea_Malpighiaceae</v>
          </cell>
          <cell r="O628" t="str">
            <v>Malpighiaceae</v>
          </cell>
          <cell r="R628" t="str">
            <v xml:space="preserve"> </v>
          </cell>
        </row>
        <row r="629">
          <cell r="J629">
            <v>667</v>
          </cell>
          <cell r="K629" t="str">
            <v>H.S.O. sericea</v>
          </cell>
          <cell r="L629" t="str">
            <v>HSO_sericea_Malpighiaceae</v>
          </cell>
          <cell r="O629" t="str">
            <v>Malpighiaceae</v>
          </cell>
          <cell r="R629" t="str">
            <v xml:space="preserve"> </v>
          </cell>
        </row>
        <row r="630">
          <cell r="J630">
            <v>668</v>
          </cell>
          <cell r="K630" t="str">
            <v>H.S.O. sericea</v>
          </cell>
          <cell r="L630" t="str">
            <v>HSO_sericea_Malpighiaceae</v>
          </cell>
          <cell r="O630" t="str">
            <v>Malpighiaceae</v>
          </cell>
          <cell r="R630" t="str">
            <v xml:space="preserve"> </v>
          </cell>
        </row>
        <row r="631">
          <cell r="J631">
            <v>669</v>
          </cell>
          <cell r="K631" t="str">
            <v>H.S.A. fuste blanco</v>
          </cell>
          <cell r="L631" t="str">
            <v>Celast_LA</v>
          </cell>
          <cell r="M631" t="str">
            <v xml:space="preserve"> =649</v>
          </cell>
          <cell r="O631" t="str">
            <v>Violaceae</v>
          </cell>
          <cell r="P631" t="str">
            <v>Corynostylis</v>
          </cell>
          <cell r="R631" t="str">
            <v xml:space="preserve">Corynostylis </v>
          </cell>
        </row>
        <row r="632">
          <cell r="J632">
            <v>670</v>
          </cell>
          <cell r="K632" t="str">
            <v>Piptademia sp.</v>
          </cell>
          <cell r="L632" t="str">
            <v>Piptadenia_sp_tallo_redondo</v>
          </cell>
          <cell r="N632" t="str">
            <v>Berthil: todas las piptadenias de laipuna son la misma especies</v>
          </cell>
          <cell r="O632" t="str">
            <v>Fabaceae</v>
          </cell>
          <cell r="P632" t="str">
            <v>Piptadenia</v>
          </cell>
          <cell r="R632" t="str">
            <v xml:space="preserve">Piptadenia </v>
          </cell>
        </row>
        <row r="633">
          <cell r="J633">
            <v>671</v>
          </cell>
          <cell r="K633" t="str">
            <v>H.S.A. fuste blanco</v>
          </cell>
          <cell r="L633" t="str">
            <v>Celast_LA</v>
          </cell>
          <cell r="M633" t="str">
            <v xml:space="preserve"> =433</v>
          </cell>
          <cell r="O633" t="str">
            <v>Violaceae</v>
          </cell>
          <cell r="P633" t="str">
            <v>Corynostylis</v>
          </cell>
          <cell r="R633" t="str">
            <v xml:space="preserve">Corynostylis </v>
          </cell>
        </row>
        <row r="634">
          <cell r="J634">
            <v>672</v>
          </cell>
          <cell r="K634" t="str">
            <v>H.S.O. sericea</v>
          </cell>
          <cell r="L634" t="str">
            <v>HSO_sericea_Malpighiaceae</v>
          </cell>
          <cell r="O634" t="str">
            <v>Malpighiaceae</v>
          </cell>
          <cell r="R634" t="str">
            <v xml:space="preserve"> </v>
          </cell>
        </row>
        <row r="635">
          <cell r="J635">
            <v>673</v>
          </cell>
          <cell r="K635" t="str">
            <v>H.S.O. sericea</v>
          </cell>
          <cell r="L635" t="str">
            <v>HSO_sericea_Malpighiaceae</v>
          </cell>
          <cell r="O635" t="str">
            <v>Malpighiaceae</v>
          </cell>
          <cell r="R635" t="str">
            <v xml:space="preserve"> </v>
          </cell>
        </row>
        <row r="636">
          <cell r="J636">
            <v>674</v>
          </cell>
          <cell r="K636" t="str">
            <v>Gouania Rha</v>
          </cell>
          <cell r="L636" t="str">
            <v>Euphorbia_328</v>
          </cell>
          <cell r="M636" t="str">
            <v xml:space="preserve"> =328, =607, =698</v>
          </cell>
          <cell r="O636" t="str">
            <v>Rhamnaceae</v>
          </cell>
          <cell r="P636" t="str">
            <v>Gouania</v>
          </cell>
          <cell r="R636" t="str">
            <v xml:space="preserve">Gouania </v>
          </cell>
        </row>
        <row r="637">
          <cell r="J637">
            <v>675</v>
          </cell>
          <cell r="K637" t="str">
            <v>H. Bipi. Opuesta. Bignonia Raices?</v>
          </cell>
          <cell r="L637" t="str">
            <v>Big_675</v>
          </cell>
          <cell r="M637" t="str">
            <v xml:space="preserve"> =675</v>
          </cell>
          <cell r="N637" t="str">
            <v>Berthil (Bignoniaceae)</v>
          </cell>
          <cell r="O637" t="str">
            <v>Bignoniaceae</v>
          </cell>
          <cell r="R637" t="str">
            <v xml:space="preserve"> </v>
          </cell>
        </row>
        <row r="638">
          <cell r="J638">
            <v>676</v>
          </cell>
          <cell r="K638" t="str">
            <v>Solandra</v>
          </cell>
          <cell r="L638" t="str">
            <v>Solandra</v>
          </cell>
          <cell r="M638" t="str">
            <v xml:space="preserve"> =464</v>
          </cell>
          <cell r="O638" t="str">
            <v>Solanaceae</v>
          </cell>
          <cell r="P638" t="str">
            <v>Solandra</v>
          </cell>
          <cell r="Q638" t="str">
            <v>maxima</v>
          </cell>
          <cell r="R638" t="str">
            <v>Solandra maxima</v>
          </cell>
        </row>
        <row r="639">
          <cell r="J639">
            <v>677</v>
          </cell>
          <cell r="K639" t="str">
            <v>H.S.A. fuste blanco</v>
          </cell>
          <cell r="L639" t="str">
            <v>Celast_LA</v>
          </cell>
          <cell r="M639" t="str">
            <v xml:space="preserve"> =649</v>
          </cell>
          <cell r="O639" t="str">
            <v>Violaceae</v>
          </cell>
          <cell r="P639" t="str">
            <v>Corynostylis</v>
          </cell>
          <cell r="R639" t="str">
            <v xml:space="preserve">Corynostylis </v>
          </cell>
        </row>
        <row r="640">
          <cell r="J640">
            <v>678</v>
          </cell>
          <cell r="K640" t="str">
            <v>H. Bipi. Opu. Bignonia Raice</v>
          </cell>
          <cell r="L640" t="str">
            <v>Big_675</v>
          </cell>
          <cell r="M640" t="str">
            <v xml:space="preserve"> =675</v>
          </cell>
          <cell r="O640" t="str">
            <v>Bignoniaceae</v>
          </cell>
          <cell r="R640" t="str">
            <v xml:space="preserve"> </v>
          </cell>
        </row>
        <row r="641">
          <cell r="J641">
            <v>679</v>
          </cell>
          <cell r="K641" t="str">
            <v>Sin hojas</v>
          </cell>
          <cell r="L641" t="str">
            <v>Sin hojas_679</v>
          </cell>
          <cell r="R641" t="str">
            <v xml:space="preserve"> </v>
          </cell>
        </row>
        <row r="642">
          <cell r="J642">
            <v>680</v>
          </cell>
          <cell r="K642" t="str">
            <v>H.S.O. Glandulas</v>
          </cell>
          <cell r="L642" t="str">
            <v>HSO_Glandulas_591</v>
          </cell>
          <cell r="M642" t="str">
            <v xml:space="preserve"> =591</v>
          </cell>
          <cell r="O642" t="str">
            <v>Malpighiaceae</v>
          </cell>
          <cell r="R642" t="str">
            <v xml:space="preserve"> </v>
          </cell>
        </row>
        <row r="643">
          <cell r="J643">
            <v>681</v>
          </cell>
          <cell r="K643" t="str">
            <v>Bignonia hojuelas</v>
          </cell>
          <cell r="L643" t="str">
            <v>Big_636</v>
          </cell>
          <cell r="M643" t="str">
            <v xml:space="preserve"> =636</v>
          </cell>
          <cell r="O643" t="str">
            <v>Bignoniaceae</v>
          </cell>
          <cell r="R643" t="str">
            <v xml:space="preserve"> </v>
          </cell>
        </row>
        <row r="644">
          <cell r="J644">
            <v>682</v>
          </cell>
          <cell r="K644" t="str">
            <v>H.S.O. Glandulas</v>
          </cell>
          <cell r="L644" t="str">
            <v>HSO_Glandulas_591</v>
          </cell>
          <cell r="M644" t="str">
            <v xml:space="preserve"> =591</v>
          </cell>
          <cell r="O644" t="str">
            <v>Malpighiaceae</v>
          </cell>
          <cell r="R644" t="str">
            <v xml:space="preserve"> </v>
          </cell>
        </row>
        <row r="645">
          <cell r="J645">
            <v>683</v>
          </cell>
          <cell r="K645" t="str">
            <v>H.Bipi. O. bign raices.</v>
          </cell>
          <cell r="L645" t="str">
            <v>Big_675</v>
          </cell>
          <cell r="M645" t="str">
            <v xml:space="preserve"> =675</v>
          </cell>
          <cell r="O645" t="str">
            <v>Bignoniaceae</v>
          </cell>
          <cell r="R645" t="str">
            <v xml:space="preserve"> </v>
          </cell>
        </row>
        <row r="646">
          <cell r="J646">
            <v>684</v>
          </cell>
          <cell r="K646" t="str">
            <v>H.Bipi. O. bign raices.</v>
          </cell>
          <cell r="L646" t="str">
            <v>Big_675</v>
          </cell>
          <cell r="M646" t="str">
            <v xml:space="preserve"> =675</v>
          </cell>
          <cell r="O646" t="str">
            <v>Bignoniaceae</v>
          </cell>
          <cell r="R646" t="str">
            <v xml:space="preserve"> </v>
          </cell>
        </row>
        <row r="647">
          <cell r="J647">
            <v>685</v>
          </cell>
          <cell r="K647" t="str">
            <v>Binonia H. Trifo opu</v>
          </cell>
          <cell r="L647" t="str">
            <v>Big_166</v>
          </cell>
          <cell r="M647" t="str">
            <v xml:space="preserve"> =166</v>
          </cell>
          <cell r="N647" t="str">
            <v>Berthil (Bignoniaceae??)</v>
          </cell>
          <cell r="O647" t="str">
            <v>Bignoniaceae</v>
          </cell>
          <cell r="R647" t="str">
            <v xml:space="preserve"> </v>
          </cell>
        </row>
        <row r="648">
          <cell r="J648">
            <v>686</v>
          </cell>
          <cell r="K648" t="str">
            <v>Binonia H. Trifo opu</v>
          </cell>
          <cell r="L648" t="str">
            <v>Big_166</v>
          </cell>
          <cell r="M648" t="str">
            <v xml:space="preserve"> =166</v>
          </cell>
          <cell r="O648" t="str">
            <v>Bignoniaceae</v>
          </cell>
          <cell r="R648" t="str">
            <v xml:space="preserve"> </v>
          </cell>
        </row>
        <row r="649">
          <cell r="J649">
            <v>687</v>
          </cell>
          <cell r="K649" t="str">
            <v>H.S.O. Glandulas</v>
          </cell>
          <cell r="L649" t="str">
            <v>HSO_Glandulas_591</v>
          </cell>
          <cell r="M649" t="str">
            <v xml:space="preserve"> =591</v>
          </cell>
          <cell r="O649" t="str">
            <v>Malpighiaceae</v>
          </cell>
          <cell r="R649" t="str">
            <v xml:space="preserve"> </v>
          </cell>
        </row>
        <row r="650">
          <cell r="J650">
            <v>688</v>
          </cell>
          <cell r="K650" t="str">
            <v>H.S.O. Glandulas</v>
          </cell>
          <cell r="L650" t="str">
            <v>HSO_Glandulas_591</v>
          </cell>
          <cell r="M650" t="str">
            <v xml:space="preserve"> =591</v>
          </cell>
          <cell r="O650" t="str">
            <v>Malpighiaceae</v>
          </cell>
          <cell r="R650" t="str">
            <v xml:space="preserve"> </v>
          </cell>
        </row>
        <row r="651">
          <cell r="J651">
            <v>689</v>
          </cell>
          <cell r="K651" t="str">
            <v>Seguiera</v>
          </cell>
          <cell r="L651" t="str">
            <v>Seguiera_510</v>
          </cell>
          <cell r="O651" t="str">
            <v>Petiveriaceae</v>
          </cell>
          <cell r="P651" t="str">
            <v>Seguieria</v>
          </cell>
          <cell r="R651" t="str">
            <v xml:space="preserve">Seguieria </v>
          </cell>
        </row>
        <row r="652">
          <cell r="J652">
            <v>690</v>
          </cell>
          <cell r="K652" t="str">
            <v>Solanum</v>
          </cell>
          <cell r="L652" t="str">
            <v>Euphorbia_328</v>
          </cell>
          <cell r="M652" t="str">
            <v xml:space="preserve"> =328</v>
          </cell>
          <cell r="O652" t="str">
            <v>Rhamnaceae</v>
          </cell>
          <cell r="P652" t="str">
            <v>Gouania</v>
          </cell>
          <cell r="R652" t="str">
            <v xml:space="preserve">Gouania </v>
          </cell>
        </row>
        <row r="653">
          <cell r="J653">
            <v>691</v>
          </cell>
          <cell r="K653" t="str">
            <v>Gouania Rha</v>
          </cell>
          <cell r="L653" t="str">
            <v>Euphorbia_328</v>
          </cell>
          <cell r="M653" t="str">
            <v xml:space="preserve"> =328</v>
          </cell>
          <cell r="O653" t="str">
            <v>Rhamnaceae</v>
          </cell>
          <cell r="P653" t="str">
            <v>Gouania</v>
          </cell>
          <cell r="R653" t="str">
            <v xml:space="preserve">Gouania </v>
          </cell>
        </row>
        <row r="654">
          <cell r="J654">
            <v>692</v>
          </cell>
          <cell r="K654" t="str">
            <v>H.S.O. Glandulas</v>
          </cell>
          <cell r="L654" t="str">
            <v>HSO_Glandulas_591</v>
          </cell>
          <cell r="M654" t="str">
            <v xml:space="preserve"> =591, =718</v>
          </cell>
          <cell r="O654" t="str">
            <v>Malpighiaceae</v>
          </cell>
          <cell r="R654" t="str">
            <v xml:space="preserve"> </v>
          </cell>
        </row>
        <row r="655">
          <cell r="J655">
            <v>693</v>
          </cell>
          <cell r="K655" t="str">
            <v>cucurb</v>
          </cell>
          <cell r="L655" t="str">
            <v>convol_693</v>
          </cell>
          <cell r="N655" t="str">
            <v>Berthil (Ipomoea)</v>
          </cell>
          <cell r="O655" t="str">
            <v>Convolvulaceae</v>
          </cell>
          <cell r="P655" t="str">
            <v>0_Ipomoea phylloneura; I. reguelli; Asclepia curassavia</v>
          </cell>
          <cell r="Q655" t="str">
            <v>cf. alba</v>
          </cell>
          <cell r="R655" t="str">
            <v>0_Ipomoea phylloneura; I. reguelli; Asclepia curassavia cf. alba</v>
          </cell>
        </row>
        <row r="656">
          <cell r="J656">
            <v>694</v>
          </cell>
          <cell r="K656" t="str">
            <v>Sin hojas</v>
          </cell>
          <cell r="L656" t="str">
            <v>Euphorbia_328</v>
          </cell>
          <cell r="M656" t="str">
            <v xml:space="preserve"> =328, =698</v>
          </cell>
          <cell r="O656" t="str">
            <v>Rhamnaceae</v>
          </cell>
          <cell r="P656" t="str">
            <v>Gouania</v>
          </cell>
          <cell r="R656" t="str">
            <v xml:space="preserve">Gouania </v>
          </cell>
        </row>
        <row r="657">
          <cell r="J657">
            <v>695</v>
          </cell>
          <cell r="K657" t="str">
            <v>bignoni ajo</v>
          </cell>
          <cell r="L657" t="str">
            <v>Big_695</v>
          </cell>
          <cell r="N657" t="str">
            <v>Berthil (Bignoniaceae)</v>
          </cell>
          <cell r="O657" t="str">
            <v>Bignoniaceae</v>
          </cell>
          <cell r="R657" t="str">
            <v xml:space="preserve"> </v>
          </cell>
        </row>
        <row r="658">
          <cell r="J658">
            <v>696</v>
          </cell>
          <cell r="K658" t="str">
            <v>Paullinia</v>
          </cell>
          <cell r="L658" t="str">
            <v>Paullinia_triangulo</v>
          </cell>
          <cell r="O658" t="str">
            <v>Sapindaceae</v>
          </cell>
          <cell r="P658" t="str">
            <v>Paullinia</v>
          </cell>
          <cell r="R658" t="str">
            <v xml:space="preserve">Paullinia </v>
          </cell>
        </row>
        <row r="659">
          <cell r="J659">
            <v>697</v>
          </cell>
          <cell r="K659" t="str">
            <v>Paullinia</v>
          </cell>
          <cell r="L659" t="str">
            <v>Paullinia_triangulo</v>
          </cell>
          <cell r="O659" t="str">
            <v>Sapindaceae</v>
          </cell>
          <cell r="P659" t="str">
            <v>Paullinia</v>
          </cell>
          <cell r="R659" t="str">
            <v xml:space="preserve">Paullinia </v>
          </cell>
        </row>
        <row r="660">
          <cell r="J660">
            <v>698</v>
          </cell>
          <cell r="K660" t="str">
            <v>Gouania Rha</v>
          </cell>
          <cell r="L660" t="str">
            <v>Euphorbia_328</v>
          </cell>
          <cell r="M660" t="str">
            <v xml:space="preserve"> =328, =607, =Euphor p3, =698</v>
          </cell>
          <cell r="O660" t="str">
            <v>Rhamnaceae</v>
          </cell>
          <cell r="P660" t="str">
            <v>Gouania</v>
          </cell>
          <cell r="R660" t="str">
            <v xml:space="preserve">Gouania </v>
          </cell>
        </row>
        <row r="661">
          <cell r="J661">
            <v>699</v>
          </cell>
          <cell r="K661" t="str">
            <v>Serguiera</v>
          </cell>
          <cell r="L661" t="str">
            <v>Seguiera_510</v>
          </cell>
          <cell r="O661" t="str">
            <v>Petiveriaceae</v>
          </cell>
          <cell r="P661" t="str">
            <v>Seguieria</v>
          </cell>
          <cell r="R661" t="str">
            <v xml:space="preserve">Seguieria </v>
          </cell>
        </row>
        <row r="662">
          <cell r="J662">
            <v>700</v>
          </cell>
          <cell r="K662" t="str">
            <v>No se ve hojas</v>
          </cell>
          <cell r="L662" t="str">
            <v>indet_700</v>
          </cell>
          <cell r="R662" t="str">
            <v xml:space="preserve"> </v>
          </cell>
        </row>
        <row r="663">
          <cell r="J663">
            <v>701</v>
          </cell>
          <cell r="K663" t="str">
            <v>bougainvillea</v>
          </cell>
          <cell r="L663" t="str">
            <v>Bougainvillea</v>
          </cell>
          <cell r="M663" t="str">
            <v xml:space="preserve"> =325</v>
          </cell>
          <cell r="O663" t="str">
            <v>Nyctaginaceae</v>
          </cell>
          <cell r="P663" t="str">
            <v>Bougainvillea</v>
          </cell>
          <cell r="R663" t="str">
            <v xml:space="preserve">Bougainvillea </v>
          </cell>
        </row>
        <row r="664">
          <cell r="J664">
            <v>702</v>
          </cell>
          <cell r="K664" t="str">
            <v>Piptademia sp.</v>
          </cell>
          <cell r="L664" t="str">
            <v>Piptadenia_sp_tallo_cuadrado</v>
          </cell>
          <cell r="N664" t="str">
            <v>Berthil: todas las piptadenias de laipuna son la misma especies</v>
          </cell>
          <cell r="O664" t="str">
            <v>Fabaceae</v>
          </cell>
          <cell r="P664" t="str">
            <v>Piptadenia</v>
          </cell>
          <cell r="R664" t="str">
            <v xml:space="preserve">Piptadenia </v>
          </cell>
        </row>
        <row r="665">
          <cell r="J665">
            <v>703</v>
          </cell>
          <cell r="K665" t="str">
            <v>Gouania Rha</v>
          </cell>
          <cell r="L665" t="str">
            <v>Euphorbia_328</v>
          </cell>
          <cell r="M665" t="str">
            <v xml:space="preserve"> =328, =607</v>
          </cell>
          <cell r="O665" t="str">
            <v>Rhamnaceae</v>
          </cell>
          <cell r="P665" t="str">
            <v>Gouania</v>
          </cell>
          <cell r="R665" t="str">
            <v xml:space="preserve">Gouania </v>
          </cell>
        </row>
        <row r="666">
          <cell r="J666">
            <v>704</v>
          </cell>
          <cell r="K666" t="str">
            <v>H.S.O. Lentice</v>
          </cell>
          <cell r="L666" t="str">
            <v>H.S.O. Lentice</v>
          </cell>
          <cell r="R666" t="str">
            <v xml:space="preserve"> </v>
          </cell>
        </row>
        <row r="667">
          <cell r="J667">
            <v>705</v>
          </cell>
          <cell r="K667" t="str">
            <v>Piptadenia sp. 1</v>
          </cell>
          <cell r="L667" t="str">
            <v>Piptadenia_sp_tallo_cuadrado</v>
          </cell>
          <cell r="M667" t="str">
            <v xml:space="preserve"> =477</v>
          </cell>
          <cell r="N667" t="str">
            <v>Berthil: todas las piptadenias de laipuna son la misma especies</v>
          </cell>
          <cell r="O667" t="str">
            <v>Fabaceae</v>
          </cell>
          <cell r="P667" t="str">
            <v>Piptadenia</v>
          </cell>
          <cell r="R667" t="str">
            <v xml:space="preserve">Piptadenia </v>
          </cell>
        </row>
        <row r="668">
          <cell r="J668">
            <v>706</v>
          </cell>
          <cell r="K668" t="str">
            <v>Sp. Pulvinulo</v>
          </cell>
          <cell r="L668" t="str">
            <v>Sp. Pulvinulo</v>
          </cell>
          <cell r="N668" t="str">
            <v>Berthil (Bignoniaceae)</v>
          </cell>
          <cell r="O668" t="str">
            <v>Bignoniaceae</v>
          </cell>
          <cell r="R668" t="str">
            <v xml:space="preserve"> </v>
          </cell>
        </row>
        <row r="669">
          <cell r="J669">
            <v>707</v>
          </cell>
          <cell r="K669" t="str">
            <v>Piptadenia sp. 1</v>
          </cell>
          <cell r="L669" t="str">
            <v>Piptadenia_sp_tallo_cuadrado</v>
          </cell>
          <cell r="M669" t="str">
            <v xml:space="preserve"> =477</v>
          </cell>
          <cell r="N669" t="str">
            <v>Berthil: todas las piptadenias de laipuna son la misma especies</v>
          </cell>
          <cell r="O669" t="str">
            <v>Fabaceae</v>
          </cell>
          <cell r="P669" t="str">
            <v>Piptadenia</v>
          </cell>
          <cell r="R669" t="str">
            <v xml:space="preserve">Piptadenia </v>
          </cell>
        </row>
        <row r="670">
          <cell r="J670">
            <v>708</v>
          </cell>
          <cell r="K670" t="str">
            <v>H.bifolia. Opo. Raiz en fuste. Bigno</v>
          </cell>
          <cell r="L670" t="str">
            <v>Bigno_709</v>
          </cell>
          <cell r="O670" t="str">
            <v>Bignoniaceae</v>
          </cell>
          <cell r="R670" t="str">
            <v xml:space="preserve"> </v>
          </cell>
        </row>
        <row r="671">
          <cell r="J671">
            <v>709</v>
          </cell>
          <cell r="K671" t="str">
            <v>H.bifolia. Opo. Raiz en fuste</v>
          </cell>
          <cell r="L671" t="str">
            <v>Bigno_709</v>
          </cell>
          <cell r="O671" t="str">
            <v>Bignoniaceae</v>
          </cell>
          <cell r="R671" t="str">
            <v xml:space="preserve"> </v>
          </cell>
        </row>
        <row r="672">
          <cell r="J672">
            <v>710</v>
          </cell>
          <cell r="K672" t="str">
            <v>bigno raices</v>
          </cell>
          <cell r="L672" t="str">
            <v>Big_675</v>
          </cell>
          <cell r="M672" t="str">
            <v xml:space="preserve"> =675</v>
          </cell>
          <cell r="O672" t="str">
            <v>Bignoniaceae</v>
          </cell>
          <cell r="R672" t="str">
            <v xml:space="preserve"> </v>
          </cell>
        </row>
        <row r="673">
          <cell r="J673">
            <v>711</v>
          </cell>
          <cell r="K673" t="str">
            <v>Bignoni raices</v>
          </cell>
          <cell r="L673" t="str">
            <v>Big_675</v>
          </cell>
          <cell r="M673" t="str">
            <v xml:space="preserve"> =675</v>
          </cell>
          <cell r="O673" t="str">
            <v>Bignoniaceae</v>
          </cell>
          <cell r="R673" t="str">
            <v xml:space="preserve"> </v>
          </cell>
        </row>
        <row r="674">
          <cell r="J674">
            <v>712</v>
          </cell>
          <cell r="K674" t="str">
            <v>Piptadenia sp. 1</v>
          </cell>
          <cell r="L674" t="str">
            <v>Piptadenia_sp_tallo_cuadrado</v>
          </cell>
          <cell r="M674" t="str">
            <v xml:space="preserve"> =477</v>
          </cell>
          <cell r="N674" t="str">
            <v>Berthil: todas las piptadenias de laipuna son la misma especies</v>
          </cell>
          <cell r="O674" t="str">
            <v>Fabaceae</v>
          </cell>
          <cell r="P674" t="str">
            <v>Piptadenia</v>
          </cell>
          <cell r="R674" t="str">
            <v xml:space="preserve">Piptadenia </v>
          </cell>
        </row>
        <row r="675">
          <cell r="J675">
            <v>713</v>
          </cell>
          <cell r="K675" t="str">
            <v>bougainvillea</v>
          </cell>
          <cell r="L675" t="str">
            <v>Bougainvillea</v>
          </cell>
          <cell r="M675" t="str">
            <v xml:space="preserve"> =325</v>
          </cell>
          <cell r="O675" t="str">
            <v>Nyctaginaceae</v>
          </cell>
          <cell r="P675" t="str">
            <v>Bougainvillea</v>
          </cell>
          <cell r="Q675" t="str">
            <v>peruviana</v>
          </cell>
          <cell r="R675" t="str">
            <v>Bougainvillea peruviana</v>
          </cell>
        </row>
        <row r="676">
          <cell r="J676">
            <v>714</v>
          </cell>
          <cell r="K676" t="str">
            <v>Piptadenia sp. 1</v>
          </cell>
          <cell r="L676" t="str">
            <v>Piptadenia_sp_tallo_cuadrado</v>
          </cell>
          <cell r="M676" t="str">
            <v xml:space="preserve"> =477</v>
          </cell>
          <cell r="N676" t="str">
            <v>Berthil: todas las piptadenias de laipuna son la misma especies</v>
          </cell>
          <cell r="O676" t="str">
            <v>Fabaceae</v>
          </cell>
          <cell r="P676" t="str">
            <v>Piptadenia</v>
          </cell>
          <cell r="R676" t="str">
            <v xml:space="preserve">Piptadenia </v>
          </cell>
        </row>
        <row r="677">
          <cell r="J677">
            <v>715</v>
          </cell>
          <cell r="K677" t="str">
            <v>Piptadenia sp. 1</v>
          </cell>
          <cell r="L677" t="str">
            <v>Piptadenia_sp_tallo_cuadrado</v>
          </cell>
          <cell r="M677" t="str">
            <v xml:space="preserve"> =477</v>
          </cell>
          <cell r="N677" t="str">
            <v>Berthil: todas las piptadenias de laipuna son la misma especies</v>
          </cell>
          <cell r="O677" t="str">
            <v>Fabaceae</v>
          </cell>
          <cell r="P677" t="str">
            <v>Piptadenia</v>
          </cell>
          <cell r="R677" t="str">
            <v xml:space="preserve">Piptadenia </v>
          </cell>
        </row>
        <row r="678">
          <cell r="J678">
            <v>716</v>
          </cell>
          <cell r="K678" t="str">
            <v>Piptadenia sp. 1</v>
          </cell>
          <cell r="L678" t="str">
            <v>Piptadenia_sp_tallo_cuadrado</v>
          </cell>
          <cell r="M678" t="str">
            <v xml:space="preserve"> =477</v>
          </cell>
          <cell r="N678" t="str">
            <v>Berthil: todas las piptadenias de laipuna son la misma especies</v>
          </cell>
          <cell r="O678" t="str">
            <v>Fabaceae</v>
          </cell>
          <cell r="P678" t="str">
            <v>Piptadenia</v>
          </cell>
          <cell r="R678" t="str">
            <v xml:space="preserve">Piptadenia </v>
          </cell>
        </row>
        <row r="679">
          <cell r="J679">
            <v>717</v>
          </cell>
          <cell r="K679" t="str">
            <v>Solandra</v>
          </cell>
          <cell r="L679" t="str">
            <v>Solandra</v>
          </cell>
          <cell r="M679" t="str">
            <v xml:space="preserve"> =464</v>
          </cell>
          <cell r="O679" t="str">
            <v>Solanaceae</v>
          </cell>
          <cell r="P679" t="str">
            <v>Solandra</v>
          </cell>
          <cell r="Q679" t="str">
            <v>maxima</v>
          </cell>
          <cell r="R679" t="str">
            <v>Solandra maxima</v>
          </cell>
        </row>
        <row r="680">
          <cell r="J680">
            <v>718</v>
          </cell>
          <cell r="K680" t="str">
            <v>H.S.O. Glandulas</v>
          </cell>
          <cell r="L680" t="str">
            <v>HSO_Glandulas_591</v>
          </cell>
          <cell r="M680" t="str">
            <v xml:space="preserve"> =591</v>
          </cell>
          <cell r="O680" t="str">
            <v>Malpighiaceae</v>
          </cell>
          <cell r="R680" t="str">
            <v xml:space="preserve"> </v>
          </cell>
        </row>
        <row r="681">
          <cell r="J681">
            <v>719</v>
          </cell>
          <cell r="K681" t="str">
            <v>Piptadenia sp. 1</v>
          </cell>
          <cell r="L681" t="str">
            <v>Piptadenia_sp_tallo_cuadrado</v>
          </cell>
          <cell r="M681" t="str">
            <v xml:space="preserve"> =477</v>
          </cell>
          <cell r="N681" t="str">
            <v>Berthil: todas las piptadenias de laipuna son la misma especies</v>
          </cell>
          <cell r="O681" t="str">
            <v>Fabaceae</v>
          </cell>
          <cell r="P681" t="str">
            <v>Piptadenia</v>
          </cell>
          <cell r="R681" t="str">
            <v xml:space="preserve">Piptadenia </v>
          </cell>
        </row>
        <row r="682">
          <cell r="J682">
            <v>720</v>
          </cell>
          <cell r="K682" t="str">
            <v>Paullinia</v>
          </cell>
          <cell r="L682" t="str">
            <v>Paullinia_triangulo</v>
          </cell>
          <cell r="O682" t="str">
            <v>Sapindaceae</v>
          </cell>
          <cell r="P682" t="str">
            <v>Paullinia</v>
          </cell>
          <cell r="R682" t="str">
            <v xml:space="preserve">Paullinia </v>
          </cell>
        </row>
        <row r="683">
          <cell r="J683">
            <v>721</v>
          </cell>
          <cell r="K683" t="str">
            <v>Piptadenia sp. 1</v>
          </cell>
          <cell r="L683" t="str">
            <v>Piptadenia_sp_tallo_cuadrado</v>
          </cell>
          <cell r="M683" t="str">
            <v xml:space="preserve"> =477</v>
          </cell>
          <cell r="N683" t="str">
            <v>Berthil: todas las piptadenias de laipuna son la misma especies</v>
          </cell>
          <cell r="O683" t="str">
            <v>Fabaceae</v>
          </cell>
          <cell r="P683" t="str">
            <v>Piptadenia</v>
          </cell>
          <cell r="R683" t="str">
            <v xml:space="preserve">Piptadenia </v>
          </cell>
        </row>
        <row r="684">
          <cell r="J684">
            <v>722</v>
          </cell>
          <cell r="K684" t="str">
            <v>Piptadenia sp. 1</v>
          </cell>
          <cell r="L684" t="str">
            <v>Piptadenia_sp_tallo_cuadrado</v>
          </cell>
          <cell r="M684" t="str">
            <v xml:space="preserve"> =477</v>
          </cell>
          <cell r="N684" t="str">
            <v>Berthil: todas las piptadenias de laipuna son la misma especies</v>
          </cell>
          <cell r="O684" t="str">
            <v>Fabaceae</v>
          </cell>
          <cell r="P684" t="str">
            <v>Piptadenia</v>
          </cell>
          <cell r="R684" t="str">
            <v xml:space="preserve">Piptadenia </v>
          </cell>
        </row>
        <row r="685">
          <cell r="J685">
            <v>723</v>
          </cell>
          <cell r="K685" t="str">
            <v>Piptadenia sp. 1</v>
          </cell>
          <cell r="L685" t="str">
            <v>Piptadenia_sp_tallo_cuadrado</v>
          </cell>
          <cell r="M685" t="str">
            <v xml:space="preserve"> =477</v>
          </cell>
          <cell r="N685" t="str">
            <v>Berthil: todas las piptadenias de laipuna son la misma especies</v>
          </cell>
          <cell r="O685" t="str">
            <v>Fabaceae</v>
          </cell>
          <cell r="P685" t="str">
            <v>Piptadenia</v>
          </cell>
          <cell r="R685" t="str">
            <v xml:space="preserve">Piptadenia </v>
          </cell>
        </row>
        <row r="686">
          <cell r="J686">
            <v>724</v>
          </cell>
          <cell r="K686" t="str">
            <v>Piptadenia sp. 1</v>
          </cell>
          <cell r="L686" t="str">
            <v>Piptadenia_sp_tallo_cuadrado</v>
          </cell>
          <cell r="M686" t="str">
            <v xml:space="preserve"> =477</v>
          </cell>
          <cell r="N686" t="str">
            <v>Berthil: todas las piptadenias de laipuna son la misma especies</v>
          </cell>
          <cell r="O686" t="str">
            <v>Fabaceae</v>
          </cell>
          <cell r="P686" t="str">
            <v>Piptadenia</v>
          </cell>
          <cell r="R686" t="str">
            <v xml:space="preserve">Piptadenia </v>
          </cell>
        </row>
        <row r="687">
          <cell r="J687">
            <v>725</v>
          </cell>
          <cell r="K687" t="str">
            <v>Piptadenia sp. 1</v>
          </cell>
          <cell r="L687" t="str">
            <v>Piptadenia_sp_tallo_cuadrado</v>
          </cell>
          <cell r="M687" t="str">
            <v xml:space="preserve"> =477</v>
          </cell>
          <cell r="N687" t="str">
            <v>Berthil: todas las piptadenias de laipuna son la misma especies</v>
          </cell>
          <cell r="O687" t="str">
            <v>Fabaceae</v>
          </cell>
          <cell r="P687" t="str">
            <v>Piptadenia</v>
          </cell>
          <cell r="R687" t="str">
            <v xml:space="preserve">Piptadenia </v>
          </cell>
        </row>
        <row r="688">
          <cell r="J688">
            <v>726</v>
          </cell>
          <cell r="K688" t="str">
            <v>Piptadenia sp. 1</v>
          </cell>
          <cell r="L688" t="str">
            <v>Piptadenia_sp_tallo_cuadrado</v>
          </cell>
          <cell r="M688" t="str">
            <v xml:space="preserve"> =477</v>
          </cell>
          <cell r="N688" t="str">
            <v>Berthil: todas las piptadenias de laipuna son la misma especies</v>
          </cell>
          <cell r="O688" t="str">
            <v>Fabaceae</v>
          </cell>
          <cell r="P688" t="str">
            <v>Piptadenia</v>
          </cell>
          <cell r="R688" t="str">
            <v xml:space="preserve">Piptadenia </v>
          </cell>
        </row>
        <row r="689">
          <cell r="J689">
            <v>727</v>
          </cell>
          <cell r="K689" t="str">
            <v>H. trifol. O. Blanco. Bignoni</v>
          </cell>
          <cell r="L689" t="str">
            <v>Big_166</v>
          </cell>
          <cell r="M689" t="str">
            <v xml:space="preserve"> =166</v>
          </cell>
          <cell r="N689" t="str">
            <v>Berthil (Bignoniaceae)</v>
          </cell>
          <cell r="O689" t="str">
            <v>Bignoniaceae</v>
          </cell>
          <cell r="R689" t="str">
            <v xml:space="preserve"> </v>
          </cell>
        </row>
        <row r="690">
          <cell r="J690">
            <v>728</v>
          </cell>
          <cell r="K690" t="str">
            <v>H.S.O. sericea. Malpighia</v>
          </cell>
          <cell r="L690" t="str">
            <v>HSO_sericea_Malpighiaceae</v>
          </cell>
          <cell r="O690" t="str">
            <v>Malpighiaceae</v>
          </cell>
          <cell r="R690" t="str">
            <v xml:space="preserve"> </v>
          </cell>
        </row>
        <row r="691">
          <cell r="J691">
            <v>729</v>
          </cell>
          <cell r="K691" t="str">
            <v>H.S.O. sericea. Malpighia</v>
          </cell>
          <cell r="L691" t="str">
            <v>HSO_sericea_Malpighiaceae</v>
          </cell>
          <cell r="O691" t="str">
            <v>Malpighiaceae</v>
          </cell>
          <cell r="R691" t="str">
            <v xml:space="preserve"> </v>
          </cell>
        </row>
        <row r="692">
          <cell r="J692">
            <v>730</v>
          </cell>
          <cell r="K692" t="str">
            <v>H.S.O. sericea. Malpighia</v>
          </cell>
          <cell r="L692" t="str">
            <v>HSO_sericea_Malpighiaceae</v>
          </cell>
          <cell r="O692" t="str">
            <v>Malpighiaceae</v>
          </cell>
          <cell r="R692" t="str">
            <v xml:space="preserve"> </v>
          </cell>
        </row>
        <row r="693">
          <cell r="J693">
            <v>731</v>
          </cell>
          <cell r="K693" t="str">
            <v>H.S.O. sericea. Malpighia</v>
          </cell>
          <cell r="L693" t="str">
            <v>HSO_sericea_Malpighiaceae</v>
          </cell>
          <cell r="O693" t="str">
            <v>Malpighiaceae</v>
          </cell>
          <cell r="R693" t="str">
            <v xml:space="preserve"> </v>
          </cell>
        </row>
        <row r="694">
          <cell r="J694">
            <v>732</v>
          </cell>
          <cell r="K694" t="str">
            <v>H.S.O. sericea. Malpighia</v>
          </cell>
          <cell r="L694" t="str">
            <v>HSO_sericea_Malpighiaceae</v>
          </cell>
          <cell r="O694" t="str">
            <v>Malpighiaceae</v>
          </cell>
          <cell r="R694" t="str">
            <v xml:space="preserve"> </v>
          </cell>
        </row>
        <row r="695">
          <cell r="J695">
            <v>733</v>
          </cell>
          <cell r="K695" t="str">
            <v>Piptadenia sp. 1</v>
          </cell>
          <cell r="L695" t="str">
            <v>Piptadenia_sp_tallo_cuadrado</v>
          </cell>
          <cell r="M695" t="str">
            <v xml:space="preserve"> =477</v>
          </cell>
          <cell r="N695" t="str">
            <v>Berthil: todas las piptadenias de laipuna son la misma especies</v>
          </cell>
          <cell r="O695" t="str">
            <v>Fabaceae</v>
          </cell>
          <cell r="P695" t="str">
            <v>Piptadenia</v>
          </cell>
          <cell r="R695" t="str">
            <v xml:space="preserve">Piptadenia </v>
          </cell>
        </row>
        <row r="696">
          <cell r="J696">
            <v>734</v>
          </cell>
          <cell r="K696" t="str">
            <v>Seguiera</v>
          </cell>
          <cell r="L696" t="str">
            <v>Seguiera_510</v>
          </cell>
          <cell r="O696" t="str">
            <v>Petiveriaceae</v>
          </cell>
          <cell r="P696" t="str">
            <v>Seguieria</v>
          </cell>
          <cell r="R696" t="str">
            <v xml:space="preserve">Seguieria </v>
          </cell>
        </row>
        <row r="697">
          <cell r="J697">
            <v>735</v>
          </cell>
          <cell r="K697" t="str">
            <v>H. Trifol. Opu. Bignoni</v>
          </cell>
          <cell r="L697" t="str">
            <v>Big_166</v>
          </cell>
          <cell r="M697" t="str">
            <v xml:space="preserve"> =166</v>
          </cell>
          <cell r="O697" t="str">
            <v>Bignoniaceae</v>
          </cell>
          <cell r="R697" t="str">
            <v xml:space="preserve"> </v>
          </cell>
        </row>
        <row r="698">
          <cell r="J698">
            <v>736</v>
          </cell>
          <cell r="K698" t="str">
            <v>Paullinia</v>
          </cell>
          <cell r="L698" t="str">
            <v>Paullinia_triangulo</v>
          </cell>
          <cell r="O698" t="str">
            <v>Sapindaceae</v>
          </cell>
          <cell r="P698" t="str">
            <v>Paullinia</v>
          </cell>
          <cell r="R698" t="str">
            <v xml:space="preserve">Paullinia </v>
          </cell>
        </row>
        <row r="699">
          <cell r="J699">
            <v>737</v>
          </cell>
          <cell r="K699" t="str">
            <v>Baccharis</v>
          </cell>
          <cell r="L699" t="str">
            <v>Baccharis_485</v>
          </cell>
          <cell r="M699" t="str">
            <v xml:space="preserve"> =485</v>
          </cell>
          <cell r="O699" t="str">
            <v>Asteraceae</v>
          </cell>
          <cell r="R699" t="str">
            <v xml:space="preserve"> </v>
          </cell>
        </row>
        <row r="700">
          <cell r="J700">
            <v>738</v>
          </cell>
          <cell r="K700" t="str">
            <v>H. Trifol. Opu. Bignoni</v>
          </cell>
          <cell r="L700" t="str">
            <v>Big_166</v>
          </cell>
          <cell r="M700" t="str">
            <v xml:space="preserve"> =166</v>
          </cell>
          <cell r="O700" t="str">
            <v>Bignoniaceae</v>
          </cell>
          <cell r="R700" t="str">
            <v xml:space="preserve"> </v>
          </cell>
        </row>
        <row r="701">
          <cell r="J701">
            <v>761</v>
          </cell>
          <cell r="K701" t="str">
            <v>Aster fruto dulce</v>
          </cell>
          <cell r="L701" t="str">
            <v>Aster fruto dulce</v>
          </cell>
          <cell r="O701" t="str">
            <v>Asteraceae</v>
          </cell>
          <cell r="R701" t="str">
            <v xml:space="preserve"> </v>
          </cell>
        </row>
        <row r="702">
          <cell r="J702">
            <v>762</v>
          </cell>
          <cell r="K702" t="str">
            <v>Sp. Aster?</v>
          </cell>
          <cell r="L702" t="str">
            <v>Malpighiaceae_762</v>
          </cell>
          <cell r="M702" t="str">
            <v xml:space="preserve"> =762</v>
          </cell>
          <cell r="N702" t="str">
            <v>Berthil (Malpighiaceae)</v>
          </cell>
          <cell r="O702" t="str">
            <v>Malpighiaceae</v>
          </cell>
          <cell r="R702" t="str">
            <v xml:space="preserve"> </v>
          </cell>
        </row>
        <row r="703">
          <cell r="J703">
            <v>763</v>
          </cell>
          <cell r="K703" t="str">
            <v>indet</v>
          </cell>
          <cell r="L703" t="str">
            <v>indet_763</v>
          </cell>
          <cell r="R703" t="str">
            <v xml:space="preserve"> </v>
          </cell>
        </row>
        <row r="704">
          <cell r="J704">
            <v>764</v>
          </cell>
          <cell r="K704" t="str">
            <v>Aster Rayas Negras</v>
          </cell>
          <cell r="L704" t="str">
            <v>Aster_Rayas_Negra_769</v>
          </cell>
          <cell r="M704" t="str">
            <v xml:space="preserve"> =769</v>
          </cell>
          <cell r="O704" t="str">
            <v>Asteraceae</v>
          </cell>
          <cell r="P704" t="str">
            <v>Mikania</v>
          </cell>
          <cell r="R704" t="str">
            <v xml:space="preserve">Mikania </v>
          </cell>
        </row>
        <row r="705">
          <cell r="J705">
            <v>765</v>
          </cell>
          <cell r="K705" t="str">
            <v>Baccharis</v>
          </cell>
          <cell r="L705" t="str">
            <v>Sp_Suculenta_978</v>
          </cell>
          <cell r="M705" t="str">
            <v xml:space="preserve"> =978, =1100, =baccharis, suave o amarillas</v>
          </cell>
          <cell r="N705" t="str">
            <v>Berthil (=1100, 765)</v>
          </cell>
          <cell r="O705" t="str">
            <v>Asteraceae</v>
          </cell>
          <cell r="P705" t="str">
            <v>0_cf. Baccharis</v>
          </cell>
          <cell r="R705" t="str">
            <v xml:space="preserve">0_cf. Baccharis </v>
          </cell>
        </row>
        <row r="706">
          <cell r="J706">
            <v>767</v>
          </cell>
          <cell r="K706" t="str">
            <v>Aster fruto</v>
          </cell>
          <cell r="L706" t="str">
            <v>Aster_Rayas_Negra_769</v>
          </cell>
          <cell r="M706" t="str">
            <v xml:space="preserve"> =769</v>
          </cell>
          <cell r="O706" t="str">
            <v>Asteraceae</v>
          </cell>
          <cell r="P706" t="str">
            <v>Mikania</v>
          </cell>
          <cell r="R706" t="str">
            <v xml:space="preserve">Mikania </v>
          </cell>
        </row>
        <row r="707">
          <cell r="J707">
            <v>768</v>
          </cell>
          <cell r="K707" t="str">
            <v>Sp. Aster?</v>
          </cell>
          <cell r="L707" t="str">
            <v>Pentacalia_790</v>
          </cell>
          <cell r="M707" t="str">
            <v xml:space="preserve"> =770, =790</v>
          </cell>
          <cell r="O707" t="str">
            <v>Asteraceae</v>
          </cell>
          <cell r="P707" t="str">
            <v>Pentacalia</v>
          </cell>
          <cell r="R707" t="str">
            <v xml:space="preserve">Pentacalia </v>
          </cell>
        </row>
        <row r="708">
          <cell r="J708">
            <v>769</v>
          </cell>
          <cell r="K708" t="str">
            <v>Aster rayas negro</v>
          </cell>
          <cell r="L708" t="str">
            <v>Aster_Rayas_Negra_769</v>
          </cell>
          <cell r="M708" t="str">
            <v xml:space="preserve"> =769, =774, =854</v>
          </cell>
          <cell r="N708" t="str">
            <v>Berthil (= 1089, 769, 854, 774)</v>
          </cell>
          <cell r="O708" t="str">
            <v>Asteraceae</v>
          </cell>
          <cell r="P708" t="str">
            <v>Mikania</v>
          </cell>
          <cell r="R708" t="str">
            <v xml:space="preserve">Mikania </v>
          </cell>
        </row>
        <row r="709">
          <cell r="J709">
            <v>770</v>
          </cell>
          <cell r="K709" t="str">
            <v>Aster fis verde</v>
          </cell>
          <cell r="L709" t="str">
            <v>Pentacalia_790</v>
          </cell>
          <cell r="M709" t="str">
            <v xml:space="preserve"> =770, =790</v>
          </cell>
          <cell r="N709" t="str">
            <v>Berthil (=1123, 790)</v>
          </cell>
          <cell r="O709" t="str">
            <v>Asteraceae</v>
          </cell>
          <cell r="P709" t="str">
            <v>Pentacalia</v>
          </cell>
          <cell r="R709" t="str">
            <v xml:space="preserve">Pentacalia </v>
          </cell>
        </row>
        <row r="710">
          <cell r="J710">
            <v>771</v>
          </cell>
          <cell r="K710" t="str">
            <v>Aster blancos, pubes</v>
          </cell>
          <cell r="L710" t="str">
            <v>Ast_771</v>
          </cell>
          <cell r="O710" t="str">
            <v>Asteraceae</v>
          </cell>
          <cell r="R710" t="str">
            <v xml:space="preserve"> </v>
          </cell>
        </row>
        <row r="711">
          <cell r="J711">
            <v>772</v>
          </cell>
          <cell r="K711" t="str">
            <v>Aster fis verde</v>
          </cell>
          <cell r="L711" t="str">
            <v>Pentacalia_790</v>
          </cell>
          <cell r="M711" t="str">
            <v xml:space="preserve"> =770, =790</v>
          </cell>
          <cell r="O711" t="str">
            <v>Asteraceae</v>
          </cell>
          <cell r="P711" t="str">
            <v>Pentacalia</v>
          </cell>
          <cell r="R711" t="str">
            <v xml:space="preserve">Pentacalia </v>
          </cell>
        </row>
        <row r="712">
          <cell r="J712">
            <v>773</v>
          </cell>
          <cell r="K712" t="str">
            <v>Aster rayas negra</v>
          </cell>
          <cell r="L712" t="str">
            <v>Aster_Rayas_Negra_769</v>
          </cell>
          <cell r="M712" t="str">
            <v xml:space="preserve"> =769</v>
          </cell>
          <cell r="O712" t="str">
            <v>Asteraceae</v>
          </cell>
          <cell r="P712" t="str">
            <v>Mikania</v>
          </cell>
          <cell r="R712" t="str">
            <v xml:space="preserve">Mikania </v>
          </cell>
        </row>
        <row r="713">
          <cell r="J713">
            <v>774</v>
          </cell>
          <cell r="K713" t="str">
            <v>Aster Rayas negras</v>
          </cell>
          <cell r="L713" t="str">
            <v>Aster_Rayas_Negra_769</v>
          </cell>
          <cell r="M713" t="str">
            <v xml:space="preserve"> =769</v>
          </cell>
          <cell r="N713" t="str">
            <v>Berthil (= 1089, 766, 854, 774)</v>
          </cell>
          <cell r="O713" t="str">
            <v>Asteraceae</v>
          </cell>
          <cell r="P713" t="str">
            <v>Mikania</v>
          </cell>
          <cell r="R713" t="str">
            <v xml:space="preserve">Mikania </v>
          </cell>
        </row>
        <row r="714">
          <cell r="J714">
            <v>775</v>
          </cell>
          <cell r="K714" t="str">
            <v>Aster Rayas negras</v>
          </cell>
          <cell r="L714" t="str">
            <v>Aster_Rayas_Negra_769</v>
          </cell>
          <cell r="M714" t="str">
            <v xml:space="preserve"> =774, =769</v>
          </cell>
          <cell r="O714" t="str">
            <v>Asteraceae</v>
          </cell>
          <cell r="P714" t="str">
            <v>Mikania</v>
          </cell>
          <cell r="R714" t="str">
            <v xml:space="preserve">Mikania </v>
          </cell>
        </row>
        <row r="715">
          <cell r="J715">
            <v>776</v>
          </cell>
          <cell r="K715" t="str">
            <v>Aster Rayas negras</v>
          </cell>
          <cell r="L715" t="str">
            <v>Aster_Rayas_Negra_769</v>
          </cell>
          <cell r="M715" t="str">
            <v xml:space="preserve"> =774, =769</v>
          </cell>
          <cell r="O715" t="str">
            <v>Asteraceae</v>
          </cell>
          <cell r="P715" t="str">
            <v>Mikania</v>
          </cell>
          <cell r="R715" t="str">
            <v xml:space="preserve">Mikania </v>
          </cell>
        </row>
        <row r="716">
          <cell r="J716">
            <v>777</v>
          </cell>
          <cell r="K716" t="str">
            <v>Aster Rayas negras</v>
          </cell>
          <cell r="L716" t="str">
            <v>Aster_Rayas_Negra_769</v>
          </cell>
          <cell r="M716" t="str">
            <v xml:space="preserve"> =774, =769</v>
          </cell>
          <cell r="O716" t="str">
            <v>Asteraceae</v>
          </cell>
          <cell r="P716" t="str">
            <v>Mikania</v>
          </cell>
          <cell r="R716" t="str">
            <v xml:space="preserve">Mikania </v>
          </cell>
        </row>
        <row r="717">
          <cell r="J717">
            <v>778</v>
          </cell>
          <cell r="K717" t="str">
            <v>Aster Rayas negras</v>
          </cell>
          <cell r="L717" t="str">
            <v>Aster_Rayas_Negra_769</v>
          </cell>
          <cell r="M717" t="str">
            <v xml:space="preserve"> =774, =769</v>
          </cell>
          <cell r="O717" t="str">
            <v>Asteraceae</v>
          </cell>
          <cell r="P717" t="str">
            <v>Mikania</v>
          </cell>
          <cell r="R717" t="str">
            <v xml:space="preserve">Mikania </v>
          </cell>
        </row>
        <row r="718">
          <cell r="J718">
            <v>779</v>
          </cell>
          <cell r="K718" t="str">
            <v>Baccharis</v>
          </cell>
          <cell r="L718" t="str">
            <v>Pentacalia_790</v>
          </cell>
          <cell r="M718" t="str">
            <v xml:space="preserve"> =770, =790, =795</v>
          </cell>
          <cell r="O718" t="str">
            <v>Asteraceae</v>
          </cell>
          <cell r="P718" t="str">
            <v>Pentacalia</v>
          </cell>
          <cell r="R718" t="str">
            <v xml:space="preserve">Pentacalia </v>
          </cell>
        </row>
        <row r="719">
          <cell r="J719">
            <v>780</v>
          </cell>
          <cell r="K719" t="str">
            <v>Baccharis</v>
          </cell>
          <cell r="L719" t="str">
            <v>Baccharis_1144</v>
          </cell>
          <cell r="M719" t="str">
            <v xml:space="preserve"> =765</v>
          </cell>
          <cell r="O719" t="str">
            <v>Asteraceae</v>
          </cell>
          <cell r="R719" t="str">
            <v xml:space="preserve"> </v>
          </cell>
        </row>
        <row r="720">
          <cell r="J720">
            <v>781</v>
          </cell>
          <cell r="K720" t="str">
            <v>Baccharis</v>
          </cell>
          <cell r="L720" t="str">
            <v>Baccharis_1144</v>
          </cell>
          <cell r="M720" t="str">
            <v xml:space="preserve"> =765</v>
          </cell>
          <cell r="O720" t="str">
            <v>Asteraceae</v>
          </cell>
          <cell r="R720" t="str">
            <v xml:space="preserve"> </v>
          </cell>
        </row>
        <row r="721">
          <cell r="J721">
            <v>782</v>
          </cell>
          <cell r="K721" t="str">
            <v>Baccharis</v>
          </cell>
          <cell r="L721" t="str">
            <v>Baccharis_1144</v>
          </cell>
          <cell r="M721" t="str">
            <v xml:space="preserve"> =765</v>
          </cell>
          <cell r="O721" t="str">
            <v>Asteraceae</v>
          </cell>
          <cell r="R721" t="str">
            <v xml:space="preserve"> </v>
          </cell>
        </row>
        <row r="722">
          <cell r="J722">
            <v>783</v>
          </cell>
          <cell r="K722" t="str">
            <v>Baccharis</v>
          </cell>
          <cell r="L722" t="str">
            <v>Baccharis_1144</v>
          </cell>
          <cell r="M722" t="str">
            <v xml:space="preserve"> =765</v>
          </cell>
          <cell r="O722" t="str">
            <v>Asteraceae</v>
          </cell>
          <cell r="R722" t="str">
            <v xml:space="preserve"> </v>
          </cell>
        </row>
        <row r="723">
          <cell r="J723">
            <v>784</v>
          </cell>
          <cell r="K723" t="str">
            <v>Topobea</v>
          </cell>
          <cell r="L723" t="str">
            <v>Topobea sp. 1</v>
          </cell>
          <cell r="N723" t="str">
            <v>check: Berthil (Melastomataceae, Blakea), 987, 799, 784, 1095</v>
          </cell>
          <cell r="O723" t="str">
            <v>Melastomataceae</v>
          </cell>
          <cell r="P723" t="str">
            <v>Topobea</v>
          </cell>
          <cell r="R723" t="str">
            <v xml:space="preserve">Topobea </v>
          </cell>
        </row>
        <row r="724">
          <cell r="J724">
            <v>785</v>
          </cell>
          <cell r="K724" t="str">
            <v>Aster pubes</v>
          </cell>
          <cell r="L724" t="str">
            <v>Aster pubes</v>
          </cell>
          <cell r="O724" t="str">
            <v>Asteraceae</v>
          </cell>
          <cell r="R724" t="str">
            <v xml:space="preserve"> </v>
          </cell>
        </row>
        <row r="725">
          <cell r="J725">
            <v>786</v>
          </cell>
          <cell r="K725" t="str">
            <v>Aster raya negra</v>
          </cell>
          <cell r="L725" t="str">
            <v>Aster_Rayas_Negra_769</v>
          </cell>
          <cell r="M725" t="str">
            <v xml:space="preserve"> =769</v>
          </cell>
          <cell r="O725" t="str">
            <v>Asteraceae</v>
          </cell>
          <cell r="P725" t="str">
            <v>Mikania</v>
          </cell>
          <cell r="R725" t="str">
            <v xml:space="preserve">Mikania </v>
          </cell>
        </row>
        <row r="726">
          <cell r="J726">
            <v>787</v>
          </cell>
          <cell r="K726" t="str">
            <v>Aste fis dura</v>
          </cell>
          <cell r="L726" t="str">
            <v>Pentacalia_790</v>
          </cell>
          <cell r="M726" t="str">
            <v xml:space="preserve"> =770, 790</v>
          </cell>
          <cell r="O726" t="str">
            <v>Asteraceae</v>
          </cell>
          <cell r="P726" t="str">
            <v>Pentacalia</v>
          </cell>
          <cell r="R726" t="str">
            <v xml:space="preserve">Pentacalia </v>
          </cell>
        </row>
        <row r="727">
          <cell r="J727">
            <v>788</v>
          </cell>
          <cell r="K727" t="str">
            <v>Topobea</v>
          </cell>
          <cell r="L727" t="str">
            <v>Topobea sp. 1</v>
          </cell>
          <cell r="M727" t="str">
            <v xml:space="preserve"> =784</v>
          </cell>
          <cell r="O727" t="str">
            <v>Melastomataceae</v>
          </cell>
          <cell r="P727" t="str">
            <v>Topobea</v>
          </cell>
          <cell r="R727" t="str">
            <v xml:space="preserve">Topobea </v>
          </cell>
        </row>
        <row r="728">
          <cell r="J728">
            <v>789</v>
          </cell>
          <cell r="K728" t="str">
            <v>aster fruto</v>
          </cell>
          <cell r="L728" t="str">
            <v>Aster fruto dulce</v>
          </cell>
          <cell r="O728" t="str">
            <v>Asteraceae</v>
          </cell>
          <cell r="R728" t="str">
            <v xml:space="preserve"> </v>
          </cell>
        </row>
        <row r="729">
          <cell r="J729">
            <v>790</v>
          </cell>
          <cell r="K729" t="str">
            <v>aster fis verde</v>
          </cell>
          <cell r="L729" t="str">
            <v>Pentacalia_790</v>
          </cell>
          <cell r="M729" t="str">
            <v xml:space="preserve"> =770, =795, =1123</v>
          </cell>
          <cell r="N729" t="str">
            <v>Berthil (=1123, 790)</v>
          </cell>
          <cell r="O729" t="str">
            <v>Asteraceae</v>
          </cell>
          <cell r="P729" t="str">
            <v>Pentacalia</v>
          </cell>
          <cell r="R729" t="str">
            <v xml:space="preserve">Pentacalia </v>
          </cell>
        </row>
        <row r="730">
          <cell r="J730">
            <v>791</v>
          </cell>
          <cell r="K730" t="str">
            <v>aster fis verde</v>
          </cell>
          <cell r="L730" t="str">
            <v>Menis_glabra_MALPI</v>
          </cell>
          <cell r="M730" t="str">
            <v xml:space="preserve"> =791</v>
          </cell>
          <cell r="O730" t="str">
            <v>Malpighiaceae</v>
          </cell>
          <cell r="R730" t="str">
            <v xml:space="preserve"> </v>
          </cell>
        </row>
        <row r="731">
          <cell r="J731">
            <v>792</v>
          </cell>
          <cell r="K731" t="str">
            <v>Aster fruto dulce</v>
          </cell>
          <cell r="L731" t="str">
            <v>Aster fruto dulce</v>
          </cell>
          <cell r="O731" t="str">
            <v>Asteraceae</v>
          </cell>
          <cell r="R731" t="str">
            <v xml:space="preserve"> </v>
          </cell>
        </row>
        <row r="732">
          <cell r="J732">
            <v>793</v>
          </cell>
          <cell r="K732" t="str">
            <v>Aster fruto dulce</v>
          </cell>
          <cell r="L732" t="str">
            <v>Aster fruto dulce</v>
          </cell>
          <cell r="O732" t="str">
            <v>Asteraceae</v>
          </cell>
          <cell r="R732" t="str">
            <v xml:space="preserve"> </v>
          </cell>
        </row>
        <row r="733">
          <cell r="J733">
            <v>794</v>
          </cell>
          <cell r="K733" t="str">
            <v>Aster fruto dulce</v>
          </cell>
          <cell r="L733" t="str">
            <v>Aster fruto dulce</v>
          </cell>
          <cell r="O733" t="str">
            <v>Asteraceae</v>
          </cell>
          <cell r="R733" t="str">
            <v xml:space="preserve"> </v>
          </cell>
        </row>
        <row r="734">
          <cell r="J734">
            <v>795</v>
          </cell>
          <cell r="K734" t="str">
            <v>aster fis verde</v>
          </cell>
          <cell r="L734" t="str">
            <v>Pentacalia_790</v>
          </cell>
          <cell r="M734" t="str">
            <v xml:space="preserve"> =770, =790</v>
          </cell>
          <cell r="O734" t="str">
            <v>Asteraceae</v>
          </cell>
          <cell r="P734" t="str">
            <v>Pentacalia</v>
          </cell>
          <cell r="R734" t="str">
            <v xml:space="preserve">Pentacalia </v>
          </cell>
        </row>
        <row r="735">
          <cell r="J735">
            <v>796</v>
          </cell>
          <cell r="K735" t="str">
            <v>Aster fruto dulce</v>
          </cell>
          <cell r="L735" t="str">
            <v>Aster fruto dulce</v>
          </cell>
          <cell r="O735" t="str">
            <v>Asteraceae</v>
          </cell>
          <cell r="R735" t="str">
            <v xml:space="preserve"> </v>
          </cell>
        </row>
        <row r="736">
          <cell r="J736">
            <v>797</v>
          </cell>
          <cell r="K736" t="str">
            <v>Aster blanca larga</v>
          </cell>
          <cell r="L736" t="str">
            <v>Aster blanca larga</v>
          </cell>
          <cell r="O736" t="str">
            <v>Asteraceae</v>
          </cell>
          <cell r="R736" t="str">
            <v xml:space="preserve"> </v>
          </cell>
        </row>
        <row r="737">
          <cell r="J737">
            <v>798</v>
          </cell>
          <cell r="K737" t="str">
            <v>Aster blanca larga</v>
          </cell>
          <cell r="L737" t="str">
            <v>Aster blanca larga</v>
          </cell>
          <cell r="O737" t="str">
            <v>Asteraceae</v>
          </cell>
          <cell r="R737" t="str">
            <v xml:space="preserve"> </v>
          </cell>
        </row>
        <row r="738">
          <cell r="J738">
            <v>799</v>
          </cell>
          <cell r="K738" t="str">
            <v>Topobea</v>
          </cell>
          <cell r="L738" t="str">
            <v>Topobea sp. 1</v>
          </cell>
          <cell r="N738" t="str">
            <v>check: Berthil (Melastomataceae, Blakea), 987, 799, 784, 1095</v>
          </cell>
          <cell r="O738" t="str">
            <v>Melastomataceae</v>
          </cell>
          <cell r="P738" t="str">
            <v>Topobea</v>
          </cell>
          <cell r="R738" t="str">
            <v xml:space="preserve">Topobea </v>
          </cell>
        </row>
        <row r="739">
          <cell r="J739">
            <v>800</v>
          </cell>
          <cell r="K739" t="str">
            <v>Apocy</v>
          </cell>
          <cell r="L739" t="str">
            <v>Campa_burm</v>
          </cell>
          <cell r="O739" t="str">
            <v>Campanulaceae</v>
          </cell>
          <cell r="R739" t="str">
            <v xml:space="preserve"> </v>
          </cell>
        </row>
        <row r="740">
          <cell r="J740">
            <v>801</v>
          </cell>
          <cell r="K740" t="str">
            <v>Malpigiacea enroscada atun</v>
          </cell>
          <cell r="L740" t="str">
            <v>malpi_829</v>
          </cell>
          <cell r="M740" t="str">
            <v xml:space="preserve"> =829</v>
          </cell>
          <cell r="O740" t="str">
            <v>Malpighiaceae</v>
          </cell>
          <cell r="R740" t="str">
            <v xml:space="preserve"> </v>
          </cell>
        </row>
        <row r="741">
          <cell r="J741">
            <v>802</v>
          </cell>
          <cell r="K741" t="str">
            <v>Phyto c. exfoliante</v>
          </cell>
          <cell r="L741" t="str">
            <v>phyto_802</v>
          </cell>
          <cell r="M741" t="str">
            <v xml:space="preserve"> =802</v>
          </cell>
          <cell r="N741" t="str">
            <v>Berthil (Phytolaccaceae)</v>
          </cell>
          <cell r="O741" t="str">
            <v>Phytolaccaceae</v>
          </cell>
          <cell r="R741" t="str">
            <v xml:space="preserve"> </v>
          </cell>
        </row>
        <row r="742">
          <cell r="J742">
            <v>803</v>
          </cell>
          <cell r="K742" t="str">
            <v>celastraceae</v>
          </cell>
          <cell r="L742" t="str">
            <v>Celast_803</v>
          </cell>
          <cell r="N742" t="str">
            <v>Berthil (Celastraceae)</v>
          </cell>
          <cell r="O742" t="str">
            <v>Celastraceae</v>
          </cell>
          <cell r="R742" t="str">
            <v xml:space="preserve"> </v>
          </cell>
        </row>
        <row r="743">
          <cell r="J743">
            <v>804</v>
          </cell>
          <cell r="K743" t="str">
            <v>Piper</v>
          </cell>
          <cell r="L743" t="str">
            <v>Piper_804</v>
          </cell>
          <cell r="N743" t="str">
            <v>Berthil (piper)</v>
          </cell>
          <cell r="O743" t="str">
            <v>Piperaceae</v>
          </cell>
          <cell r="P743" t="str">
            <v>Piper</v>
          </cell>
          <cell r="R743" t="str">
            <v xml:space="preserve">Piper </v>
          </cell>
        </row>
        <row r="744">
          <cell r="J744">
            <v>805</v>
          </cell>
          <cell r="K744" t="str">
            <v>aster foto</v>
          </cell>
          <cell r="L744" t="str">
            <v>aster foto</v>
          </cell>
          <cell r="O744" t="str">
            <v>Asteraceae</v>
          </cell>
          <cell r="R744" t="str">
            <v xml:space="preserve"> </v>
          </cell>
        </row>
        <row r="745">
          <cell r="J745">
            <v>806</v>
          </cell>
          <cell r="K745" t="str">
            <v>phyto c. exfol nudos</v>
          </cell>
          <cell r="L745" t="str">
            <v>Malpighia_806</v>
          </cell>
          <cell r="M745" t="str">
            <v xml:space="preserve"> =806</v>
          </cell>
          <cell r="O745" t="str">
            <v>Malpighiaceae</v>
          </cell>
          <cell r="R745" t="str">
            <v xml:space="preserve"> </v>
          </cell>
        </row>
        <row r="746">
          <cell r="J746">
            <v>807</v>
          </cell>
          <cell r="K746" t="str">
            <v>l. café-leche</v>
          </cell>
          <cell r="L746" t="str">
            <v>siphocampylus_995</v>
          </cell>
          <cell r="O746" t="str">
            <v>Campanulaceae</v>
          </cell>
          <cell r="P746" t="str">
            <v>Siphocampylus</v>
          </cell>
          <cell r="R746" t="str">
            <v xml:space="preserve">Siphocampylus </v>
          </cell>
        </row>
        <row r="747">
          <cell r="J747">
            <v>808</v>
          </cell>
          <cell r="K747" t="str">
            <v>phyto c. exfol nudos</v>
          </cell>
          <cell r="L747" t="str">
            <v>Malpighia_806</v>
          </cell>
          <cell r="M747" t="str">
            <v xml:space="preserve"> =806</v>
          </cell>
          <cell r="O747" t="str">
            <v>Malpighiaceae</v>
          </cell>
          <cell r="R747" t="str">
            <v xml:space="preserve"> </v>
          </cell>
        </row>
        <row r="748">
          <cell r="J748">
            <v>809</v>
          </cell>
          <cell r="K748" t="str">
            <v>Phyto c. exfol</v>
          </cell>
          <cell r="L748" t="str">
            <v>phyto_802</v>
          </cell>
          <cell r="M748" t="str">
            <v xml:space="preserve"> =802, =885</v>
          </cell>
          <cell r="O748" t="str">
            <v>Phytolaccaceae</v>
          </cell>
          <cell r="R748" t="str">
            <v xml:space="preserve"> </v>
          </cell>
        </row>
        <row r="749">
          <cell r="J749">
            <v>810</v>
          </cell>
          <cell r="K749" t="str">
            <v>Phyto c. exfol</v>
          </cell>
          <cell r="L749" t="str">
            <v>phyto_802</v>
          </cell>
          <cell r="M749" t="str">
            <v xml:space="preserve"> =802, =885</v>
          </cell>
          <cell r="O749" t="str">
            <v>Phytolaccaceae</v>
          </cell>
          <cell r="R749" t="str">
            <v xml:space="preserve"> </v>
          </cell>
        </row>
        <row r="750">
          <cell r="J750">
            <v>811</v>
          </cell>
          <cell r="K750" t="str">
            <v>l. café-leche</v>
          </cell>
          <cell r="L750" t="str">
            <v>siphocampylus_995</v>
          </cell>
          <cell r="O750" t="str">
            <v>Campanulaceae</v>
          </cell>
          <cell r="P750" t="str">
            <v>Siphocampylus</v>
          </cell>
          <cell r="R750" t="str">
            <v xml:space="preserve">Siphocampylus </v>
          </cell>
        </row>
        <row r="751">
          <cell r="J751">
            <v>812</v>
          </cell>
          <cell r="K751" t="str">
            <v>Puntos l. blanco fuste nudos alt, lenti dispers</v>
          </cell>
          <cell r="L751" t="str">
            <v>Paullinia</v>
          </cell>
          <cell r="N751" t="str">
            <v>Berthil (Paullinia cf.)</v>
          </cell>
          <cell r="O751" t="str">
            <v>Sapindaceae</v>
          </cell>
          <cell r="P751" t="str">
            <v>0_Paulinia, cerania??</v>
          </cell>
          <cell r="R751" t="str">
            <v xml:space="preserve">0_Paulinia, cerania?? </v>
          </cell>
        </row>
        <row r="752">
          <cell r="J752">
            <v>813</v>
          </cell>
          <cell r="K752" t="str">
            <v>Fuste blanco, nudo opu. H.s.o.</v>
          </cell>
          <cell r="L752" t="str">
            <v>Mendoncia_813</v>
          </cell>
          <cell r="M752" t="str">
            <v xml:space="preserve"> =813, =1131</v>
          </cell>
          <cell r="N752" t="str">
            <v>Berthil (Asteraceae cf.), =813, 1131</v>
          </cell>
          <cell r="O752" t="str">
            <v>Acanthaceae</v>
          </cell>
          <cell r="R752" t="str">
            <v xml:space="preserve"> </v>
          </cell>
        </row>
        <row r="753">
          <cell r="J753">
            <v>814</v>
          </cell>
          <cell r="K753" t="str">
            <v>Lenticel - promine, sin hojas, sapinda</v>
          </cell>
          <cell r="L753" t="str">
            <v>Paullinia_814</v>
          </cell>
          <cell r="M753" t="str">
            <v xml:space="preserve"> =814, =892</v>
          </cell>
          <cell r="O753" t="str">
            <v>Sapindaceae</v>
          </cell>
          <cell r="P753" t="str">
            <v>Paullinia</v>
          </cell>
          <cell r="R753" t="str">
            <v xml:space="preserve">Paullinia </v>
          </cell>
        </row>
        <row r="754">
          <cell r="J754">
            <v>815</v>
          </cell>
          <cell r="K754" t="str">
            <v>Menis</v>
          </cell>
          <cell r="L754" t="str">
            <v>Menis_815</v>
          </cell>
          <cell r="N754" t="str">
            <v>Berthil (Menispermaceae)</v>
          </cell>
          <cell r="O754" t="str">
            <v>Menispermaceae</v>
          </cell>
          <cell r="R754" t="str">
            <v xml:space="preserve"> </v>
          </cell>
        </row>
        <row r="755">
          <cell r="J755">
            <v>816</v>
          </cell>
          <cell r="K755" t="str">
            <v>apo. ?? C. café-leche</v>
          </cell>
          <cell r="L755" t="str">
            <v>siphocampylus_995</v>
          </cell>
          <cell r="O755" t="str">
            <v>Campanulaceae</v>
          </cell>
          <cell r="P755" t="str">
            <v>Siphocampylus</v>
          </cell>
          <cell r="R755" t="str">
            <v xml:space="preserve">Siphocampylus </v>
          </cell>
        </row>
        <row r="756">
          <cell r="J756">
            <v>817</v>
          </cell>
          <cell r="K756" t="str">
            <v>corteza exfol. Blancas</v>
          </cell>
          <cell r="L756" t="str">
            <v>C. exfol blanca</v>
          </cell>
          <cell r="M756" t="str">
            <v xml:space="preserve"> =820</v>
          </cell>
          <cell r="R756" t="str">
            <v xml:space="preserve"> </v>
          </cell>
        </row>
        <row r="757">
          <cell r="J757">
            <v>818</v>
          </cell>
          <cell r="K757" t="str">
            <v>magra</v>
          </cell>
          <cell r="L757" t="str">
            <v>Marcgravia_849</v>
          </cell>
          <cell r="M757" t="str">
            <v xml:space="preserve"> =836</v>
          </cell>
          <cell r="O757" t="str">
            <v>Marcgraviaceae</v>
          </cell>
          <cell r="P757" t="str">
            <v>Marcgravia</v>
          </cell>
          <cell r="R757" t="str">
            <v xml:space="preserve">Marcgravia </v>
          </cell>
        </row>
        <row r="758">
          <cell r="J758">
            <v>819</v>
          </cell>
          <cell r="K758" t="str">
            <v>Hydrangea glabra</v>
          </cell>
          <cell r="L758" t="str">
            <v>Hydrangea_glabra_819</v>
          </cell>
          <cell r="M758" t="str">
            <v xml:space="preserve"> =819</v>
          </cell>
          <cell r="N758" t="str">
            <v>Berthil (Hydrangea)</v>
          </cell>
          <cell r="O758" t="str">
            <v>Hydrangeaceae</v>
          </cell>
          <cell r="P758" t="str">
            <v>Hydrangea</v>
          </cell>
          <cell r="R758" t="str">
            <v xml:space="preserve">Hydrangea </v>
          </cell>
        </row>
        <row r="759">
          <cell r="J759">
            <v>820</v>
          </cell>
          <cell r="K759" t="str">
            <v>C. exfol blanca</v>
          </cell>
          <cell r="L759" t="str">
            <v>C. exfol blanca</v>
          </cell>
          <cell r="M759" t="str">
            <v xml:space="preserve"> =820</v>
          </cell>
          <cell r="R759" t="str">
            <v xml:space="preserve"> </v>
          </cell>
        </row>
        <row r="760">
          <cell r="J760">
            <v>821</v>
          </cell>
          <cell r="K760" t="str">
            <v>sapindacea</v>
          </cell>
          <cell r="L760" t="str">
            <v>sapindacea_821</v>
          </cell>
          <cell r="M760" t="str">
            <v xml:space="preserve"> =821</v>
          </cell>
          <cell r="N760" t="str">
            <v>berthil (Sapindaceae)</v>
          </cell>
          <cell r="O760" t="str">
            <v>Sapindaceae</v>
          </cell>
          <cell r="R760" t="str">
            <v xml:space="preserve"> </v>
          </cell>
        </row>
        <row r="761">
          <cell r="J761">
            <v>822</v>
          </cell>
          <cell r="K761" t="str">
            <v>celtis iguanea</v>
          </cell>
          <cell r="L761" t="str">
            <v>celtis_iguanea</v>
          </cell>
          <cell r="N761" t="str">
            <v>Berthil (Celtis)</v>
          </cell>
          <cell r="O761" t="str">
            <v>Cannabaceae</v>
          </cell>
          <cell r="P761" t="str">
            <v>Celtis</v>
          </cell>
          <cell r="Q761" t="str">
            <v>iguanaea</v>
          </cell>
          <cell r="R761" t="str">
            <v>Celtis iguanaea</v>
          </cell>
        </row>
        <row r="762">
          <cell r="J762">
            <v>823</v>
          </cell>
          <cell r="K762" t="str">
            <v>colect fis int rosa</v>
          </cell>
          <cell r="L762" t="str">
            <v>Salacia_823</v>
          </cell>
          <cell r="N762" t="str">
            <v>Berthil (Hippocrataceae, Salacia)</v>
          </cell>
          <cell r="O762" t="str">
            <v>Celastraceae</v>
          </cell>
          <cell r="P762" t="str">
            <v>Salacia</v>
          </cell>
          <cell r="Q762" t="str">
            <v>cf. cordata</v>
          </cell>
          <cell r="R762" t="str">
            <v>Salacia cf. cordata</v>
          </cell>
        </row>
        <row r="763">
          <cell r="J763">
            <v>824</v>
          </cell>
          <cell r="K763" t="str">
            <v>Paullinia</v>
          </cell>
          <cell r="L763" t="str">
            <v>Paullinia</v>
          </cell>
          <cell r="O763" t="str">
            <v>Sapindaceae</v>
          </cell>
          <cell r="P763" t="str">
            <v>Paullinia</v>
          </cell>
          <cell r="R763" t="str">
            <v xml:space="preserve">Paullinia </v>
          </cell>
        </row>
        <row r="764">
          <cell r="J764">
            <v>825</v>
          </cell>
          <cell r="K764" t="str">
            <v>sapinda</v>
          </cell>
          <cell r="L764" t="str">
            <v>sapindacea_821</v>
          </cell>
          <cell r="M764" t="str">
            <v xml:space="preserve"> =821</v>
          </cell>
          <cell r="N764" t="str">
            <v>Berthil (Sapindaceae)</v>
          </cell>
          <cell r="O764" t="str">
            <v>Sapindaceae</v>
          </cell>
          <cell r="R764" t="str">
            <v xml:space="preserve"> </v>
          </cell>
        </row>
        <row r="765">
          <cell r="J765">
            <v>826</v>
          </cell>
          <cell r="K765" t="str">
            <v>menis grande</v>
          </cell>
          <cell r="L765" t="str">
            <v>Marcgravia_849</v>
          </cell>
          <cell r="O765" t="str">
            <v>Menispermaceae</v>
          </cell>
          <cell r="R765" t="str">
            <v xml:space="preserve"> </v>
          </cell>
        </row>
        <row r="766">
          <cell r="J766">
            <v>827</v>
          </cell>
          <cell r="K766" t="str">
            <v>fuste fisurado</v>
          </cell>
          <cell r="L766" t="str">
            <v>fuste fisurado</v>
          </cell>
          <cell r="R766" t="str">
            <v xml:space="preserve"> </v>
          </cell>
        </row>
        <row r="767">
          <cell r="J767">
            <v>828</v>
          </cell>
          <cell r="K767" t="str">
            <v>solana</v>
          </cell>
          <cell r="L767" t="str">
            <v>solana_828</v>
          </cell>
          <cell r="N767" t="str">
            <v>Berthil (Solanum)</v>
          </cell>
          <cell r="O767" t="str">
            <v>Solanaceae</v>
          </cell>
          <cell r="P767" t="str">
            <v>Solanum</v>
          </cell>
          <cell r="R767" t="str">
            <v xml:space="preserve">Solanum </v>
          </cell>
        </row>
        <row r="768">
          <cell r="J768">
            <v>829</v>
          </cell>
          <cell r="K768" t="str">
            <v>H.S.O. enroscado malpi atun</v>
          </cell>
          <cell r="L768" t="str">
            <v>malpi_829</v>
          </cell>
          <cell r="M768" t="str">
            <v xml:space="preserve"> =829</v>
          </cell>
          <cell r="O768" t="str">
            <v>Malpighiaceae</v>
          </cell>
          <cell r="R768" t="str">
            <v xml:space="preserve"> </v>
          </cell>
        </row>
        <row r="769">
          <cell r="J769">
            <v>830</v>
          </cell>
          <cell r="K769" t="str">
            <v>magra</v>
          </cell>
          <cell r="L769" t="str">
            <v>Marcgravia_849</v>
          </cell>
          <cell r="M769" t="str">
            <v xml:space="preserve"> =836</v>
          </cell>
          <cell r="O769" t="str">
            <v>Marcgraviaceae</v>
          </cell>
          <cell r="P769" t="str">
            <v>Marcgravia</v>
          </cell>
          <cell r="R769" t="str">
            <v xml:space="preserve">Marcgravia </v>
          </cell>
        </row>
        <row r="770">
          <cell r="J770">
            <v>831</v>
          </cell>
          <cell r="K770" t="str">
            <v>Paullinia</v>
          </cell>
          <cell r="L770" t="str">
            <v>Paullinia</v>
          </cell>
          <cell r="O770" t="str">
            <v>Sapindaceae</v>
          </cell>
          <cell r="P770" t="str">
            <v>Paullinia</v>
          </cell>
          <cell r="R770" t="str">
            <v xml:space="preserve">Paullinia </v>
          </cell>
        </row>
        <row r="771">
          <cell r="J771">
            <v>832</v>
          </cell>
          <cell r="K771" t="str">
            <v>Paullinia</v>
          </cell>
          <cell r="L771" t="str">
            <v>Paullinia</v>
          </cell>
          <cell r="O771" t="str">
            <v>Sapindaceae</v>
          </cell>
          <cell r="P771" t="str">
            <v>Paullinia</v>
          </cell>
          <cell r="R771" t="str">
            <v xml:space="preserve">Paullinia </v>
          </cell>
        </row>
        <row r="772">
          <cell r="J772">
            <v>833</v>
          </cell>
          <cell r="K772" t="str">
            <v>menisperma fruto</v>
          </cell>
          <cell r="L772" t="str">
            <v>Menis_fruto_1134</v>
          </cell>
          <cell r="M772" t="str">
            <v xml:space="preserve"> =882,  =1134</v>
          </cell>
          <cell r="O772" t="str">
            <v>Menispermaceae</v>
          </cell>
          <cell r="R772" t="str">
            <v xml:space="preserve"> </v>
          </cell>
        </row>
        <row r="773">
          <cell r="J773">
            <v>834</v>
          </cell>
          <cell r="K773" t="str">
            <v>menis sp</v>
          </cell>
          <cell r="L773" t="str">
            <v>menis_834</v>
          </cell>
          <cell r="N773" t="str">
            <v>Berthil (Menispermaceae)</v>
          </cell>
          <cell r="O773" t="str">
            <v>Menispermaceae</v>
          </cell>
          <cell r="R773" t="str">
            <v xml:space="preserve"> </v>
          </cell>
        </row>
        <row r="774">
          <cell r="J774">
            <v>835</v>
          </cell>
          <cell r="K774" t="str">
            <v>celtis iguanea</v>
          </cell>
          <cell r="L774" t="str">
            <v>celtis_iguanea</v>
          </cell>
          <cell r="O774" t="str">
            <v>Cannabaceae</v>
          </cell>
          <cell r="P774" t="str">
            <v>Celtis</v>
          </cell>
          <cell r="Q774" t="str">
            <v>iguanaea</v>
          </cell>
          <cell r="R774" t="str">
            <v>Celtis iguanaea</v>
          </cell>
        </row>
        <row r="775">
          <cell r="J775">
            <v>836</v>
          </cell>
          <cell r="K775" t="str">
            <v>magra</v>
          </cell>
          <cell r="L775" t="str">
            <v>Marcgravia_849</v>
          </cell>
          <cell r="M775" t="str">
            <v xml:space="preserve"> =784</v>
          </cell>
          <cell r="O775" t="str">
            <v>Marcgraviaceae</v>
          </cell>
          <cell r="P775" t="str">
            <v>Marcgravia</v>
          </cell>
          <cell r="R775" t="str">
            <v xml:space="preserve">Marcgravia </v>
          </cell>
        </row>
        <row r="776">
          <cell r="J776">
            <v>837</v>
          </cell>
          <cell r="K776" t="str">
            <v>menis grande</v>
          </cell>
          <cell r="L776" t="str">
            <v>Marcgravia_849</v>
          </cell>
          <cell r="N776" t="str">
            <v>check: Berthil (marcgravia)</v>
          </cell>
          <cell r="O776" t="str">
            <v>Marcgraviaceae</v>
          </cell>
          <cell r="P776" t="str">
            <v>Marcgravia</v>
          </cell>
          <cell r="R776" t="str">
            <v xml:space="preserve">Marcgravia </v>
          </cell>
        </row>
        <row r="777">
          <cell r="J777">
            <v>838</v>
          </cell>
          <cell r="K777" t="str">
            <v>menis glabra</v>
          </cell>
          <cell r="L777" t="str">
            <v>Menis_glabra</v>
          </cell>
          <cell r="M777" t="str">
            <v xml:space="preserve"> =838</v>
          </cell>
          <cell r="N777" t="str">
            <v>Berthil (Menispermaceae)</v>
          </cell>
          <cell r="O777" t="str">
            <v>Menispermaceae</v>
          </cell>
          <cell r="R777" t="str">
            <v xml:space="preserve"> </v>
          </cell>
        </row>
        <row r="778">
          <cell r="J778">
            <v>839</v>
          </cell>
          <cell r="K778" t="str">
            <v>magra</v>
          </cell>
          <cell r="L778" t="str">
            <v>Marcgravia_849</v>
          </cell>
          <cell r="M778" t="str">
            <v xml:space="preserve"> =836</v>
          </cell>
          <cell r="O778" t="str">
            <v>Marcgraviaceae</v>
          </cell>
          <cell r="P778" t="str">
            <v>Marcgravia</v>
          </cell>
          <cell r="R778" t="str">
            <v xml:space="preserve">Marcgravia </v>
          </cell>
        </row>
        <row r="779">
          <cell r="J779">
            <v>840</v>
          </cell>
          <cell r="K779" t="str">
            <v>magra</v>
          </cell>
          <cell r="L779" t="str">
            <v>Marcgravia_849</v>
          </cell>
          <cell r="M779" t="str">
            <v xml:space="preserve"> =836</v>
          </cell>
          <cell r="O779" t="str">
            <v>Marcgraviaceae</v>
          </cell>
          <cell r="P779" t="str">
            <v>Marcgravia</v>
          </cell>
          <cell r="R779" t="str">
            <v xml:space="preserve">Marcgravia </v>
          </cell>
        </row>
        <row r="780">
          <cell r="J780">
            <v>842</v>
          </cell>
          <cell r="K780" t="str">
            <v>menis glabra</v>
          </cell>
          <cell r="L780" t="str">
            <v>menis_838</v>
          </cell>
          <cell r="M780" t="str">
            <v xml:space="preserve"> =838</v>
          </cell>
          <cell r="O780" t="str">
            <v>Menispermaceae</v>
          </cell>
          <cell r="R780" t="str">
            <v xml:space="preserve"> </v>
          </cell>
        </row>
        <row r="781">
          <cell r="J781">
            <v>843</v>
          </cell>
          <cell r="K781" t="str">
            <v>Paullinia</v>
          </cell>
          <cell r="L781" t="str">
            <v>Paullinia</v>
          </cell>
          <cell r="O781" t="str">
            <v>Sapindaceae</v>
          </cell>
          <cell r="P781" t="str">
            <v>Paullinia</v>
          </cell>
          <cell r="R781" t="str">
            <v xml:space="preserve">Paullinia </v>
          </cell>
        </row>
        <row r="782">
          <cell r="J782">
            <v>844</v>
          </cell>
          <cell r="K782" t="str">
            <v>menis glabra</v>
          </cell>
          <cell r="L782" t="str">
            <v>menis_838</v>
          </cell>
          <cell r="M782" t="str">
            <v xml:space="preserve"> =838</v>
          </cell>
          <cell r="O782" t="str">
            <v>Menispermaceae</v>
          </cell>
          <cell r="R782" t="str">
            <v xml:space="preserve"> </v>
          </cell>
        </row>
        <row r="783">
          <cell r="J783">
            <v>845</v>
          </cell>
          <cell r="K783" t="str">
            <v>aster latex</v>
          </cell>
          <cell r="L783" t="str">
            <v>aster_845</v>
          </cell>
          <cell r="O783" t="str">
            <v>Asteraceae</v>
          </cell>
          <cell r="R783" t="str">
            <v xml:space="preserve"> </v>
          </cell>
        </row>
        <row r="784">
          <cell r="J784">
            <v>846</v>
          </cell>
          <cell r="K784" t="str">
            <v>aster tallo suave</v>
          </cell>
          <cell r="L784" t="str">
            <v>Marcgravia_846</v>
          </cell>
          <cell r="N784" t="str">
            <v>Berthil (=846, 872, 848)</v>
          </cell>
          <cell r="O784" t="str">
            <v>0_ Asteraceae o marcgraviaceae</v>
          </cell>
          <cell r="R784" t="str">
            <v xml:space="preserve"> </v>
          </cell>
        </row>
        <row r="785">
          <cell r="J785">
            <v>847</v>
          </cell>
          <cell r="K785" t="str">
            <v>menis glabra</v>
          </cell>
          <cell r="L785" t="str">
            <v>Menis_glabra_MALPI</v>
          </cell>
          <cell r="O785" t="str">
            <v>Malpighiaceae</v>
          </cell>
          <cell r="R785" t="str">
            <v xml:space="preserve"> </v>
          </cell>
        </row>
        <row r="786">
          <cell r="J786">
            <v>848</v>
          </cell>
          <cell r="K786" t="str">
            <v>magra</v>
          </cell>
          <cell r="L786" t="str">
            <v>Topobea sp. 1</v>
          </cell>
          <cell r="M786" t="str">
            <v xml:space="preserve"> =784</v>
          </cell>
          <cell r="O786" t="str">
            <v>Melastomataceae</v>
          </cell>
          <cell r="P786" t="str">
            <v>Topobea</v>
          </cell>
          <cell r="R786" t="str">
            <v xml:space="preserve">Topobea </v>
          </cell>
        </row>
        <row r="787">
          <cell r="J787">
            <v>849</v>
          </cell>
          <cell r="K787" t="str">
            <v>magra</v>
          </cell>
          <cell r="L787" t="str">
            <v>Marcgravia_849</v>
          </cell>
          <cell r="M787" t="str">
            <v xml:space="preserve"> =836</v>
          </cell>
          <cell r="N787" t="str">
            <v>Berthil (marcgravia), =849, 980</v>
          </cell>
          <cell r="O787" t="str">
            <v>Marcgraviaceae</v>
          </cell>
          <cell r="P787" t="str">
            <v>Marcgravia</v>
          </cell>
          <cell r="R787" t="str">
            <v xml:space="preserve">Marcgravia </v>
          </cell>
        </row>
        <row r="788">
          <cell r="J788">
            <v>850</v>
          </cell>
          <cell r="K788" t="str">
            <v>menis glabra</v>
          </cell>
          <cell r="L788" t="str">
            <v>menis_838</v>
          </cell>
          <cell r="M788" t="str">
            <v xml:space="preserve"> =838</v>
          </cell>
          <cell r="O788" t="str">
            <v>Menispermaceae</v>
          </cell>
          <cell r="R788" t="str">
            <v xml:space="preserve"> </v>
          </cell>
        </row>
        <row r="789">
          <cell r="J789">
            <v>851</v>
          </cell>
          <cell r="K789" t="str">
            <v>mikania larga</v>
          </cell>
          <cell r="L789" t="str">
            <v>Pentacalia_sin_pubescencia</v>
          </cell>
          <cell r="M789" t="str">
            <v xml:space="preserve"> =770, 851, 858</v>
          </cell>
          <cell r="O789" t="str">
            <v>Asteraceae</v>
          </cell>
          <cell r="P789" t="str">
            <v>Mikania</v>
          </cell>
          <cell r="R789" t="str">
            <v xml:space="preserve">Mikania </v>
          </cell>
        </row>
        <row r="790">
          <cell r="J790">
            <v>852</v>
          </cell>
          <cell r="K790" t="str">
            <v>mikania larga</v>
          </cell>
          <cell r="L790" t="str">
            <v>Pentacalia_sin_pubescencia</v>
          </cell>
          <cell r="O790" t="str">
            <v>Asteraceae</v>
          </cell>
          <cell r="P790" t="str">
            <v>Mikania</v>
          </cell>
          <cell r="R790" t="str">
            <v xml:space="preserve">Mikania </v>
          </cell>
        </row>
        <row r="791">
          <cell r="J791">
            <v>853</v>
          </cell>
          <cell r="K791" t="str">
            <v>mikania larga</v>
          </cell>
          <cell r="L791" t="str">
            <v>Pentacalia_sin_pubescencia</v>
          </cell>
          <cell r="O791" t="str">
            <v>Asteraceae</v>
          </cell>
          <cell r="P791" t="str">
            <v>Mikania</v>
          </cell>
          <cell r="R791" t="str">
            <v xml:space="preserve">Mikania </v>
          </cell>
        </row>
        <row r="792">
          <cell r="J792">
            <v>854</v>
          </cell>
          <cell r="K792" t="str">
            <v>Mikania dulce. Fuste lisa-negra</v>
          </cell>
          <cell r="L792" t="str">
            <v>Aster_Rayas_Negra_769</v>
          </cell>
          <cell r="M792" t="str">
            <v xml:space="preserve"> =769, =774, =854</v>
          </cell>
          <cell r="N792" t="str">
            <v>Berthil (= 1089, 769, 854, 774)</v>
          </cell>
          <cell r="O792" t="str">
            <v>Asteraceae</v>
          </cell>
          <cell r="P792" t="str">
            <v>Mikania</v>
          </cell>
          <cell r="R792" t="str">
            <v xml:space="preserve">Mikania </v>
          </cell>
        </row>
        <row r="793">
          <cell r="J793">
            <v>855</v>
          </cell>
          <cell r="K793" t="str">
            <v>Mikania dulce. Fuste lisa-negra</v>
          </cell>
          <cell r="L793" t="str">
            <v>Aster_Rayas_Negra_769</v>
          </cell>
          <cell r="M793" t="str">
            <v xml:space="preserve"> =769, =774, =854</v>
          </cell>
          <cell r="O793" t="str">
            <v>Asteraceae</v>
          </cell>
          <cell r="P793" t="str">
            <v>Mikania</v>
          </cell>
          <cell r="R793" t="str">
            <v xml:space="preserve">Mikania </v>
          </cell>
        </row>
        <row r="794">
          <cell r="J794">
            <v>856</v>
          </cell>
          <cell r="K794" t="str">
            <v>Syphocampilus</v>
          </cell>
          <cell r="L794" t="str">
            <v>siphocampylus_995</v>
          </cell>
          <cell r="O794" t="str">
            <v>Campanulaceae</v>
          </cell>
          <cell r="P794" t="str">
            <v>Siphocampylus</v>
          </cell>
          <cell r="R794" t="str">
            <v xml:space="preserve">Siphocampylus </v>
          </cell>
        </row>
        <row r="795">
          <cell r="J795">
            <v>857</v>
          </cell>
          <cell r="K795" t="str">
            <v>mikania larga</v>
          </cell>
          <cell r="L795" t="str">
            <v>Pentacalia_sin_pubescencia</v>
          </cell>
          <cell r="O795" t="str">
            <v>Asteraceae</v>
          </cell>
          <cell r="P795" t="str">
            <v>Mikania</v>
          </cell>
          <cell r="R795" t="str">
            <v xml:space="preserve">Mikania </v>
          </cell>
        </row>
        <row r="796">
          <cell r="J796">
            <v>858</v>
          </cell>
          <cell r="K796" t="str">
            <v>mikania larga</v>
          </cell>
          <cell r="L796" t="str">
            <v>Pentacalia_sin_pubescencia</v>
          </cell>
          <cell r="M796" t="str">
            <v xml:space="preserve"> =851, 858</v>
          </cell>
          <cell r="N796" t="str">
            <v>Berthil (mikania)</v>
          </cell>
          <cell r="O796" t="str">
            <v>Asteraceae</v>
          </cell>
          <cell r="P796" t="str">
            <v>Mikania</v>
          </cell>
          <cell r="R796" t="str">
            <v xml:space="preserve">Mikania </v>
          </cell>
        </row>
        <row r="797">
          <cell r="J797">
            <v>859</v>
          </cell>
          <cell r="K797" t="str">
            <v>mikania h.s.o. negra lisa</v>
          </cell>
          <cell r="L797" t="str">
            <v>mikania_863</v>
          </cell>
          <cell r="O797" t="str">
            <v>Asteraceae</v>
          </cell>
          <cell r="R797" t="str">
            <v xml:space="preserve"> </v>
          </cell>
        </row>
        <row r="798">
          <cell r="J798">
            <v>860</v>
          </cell>
          <cell r="K798" t="str">
            <v>Mikania larga h.s.o.</v>
          </cell>
          <cell r="L798" t="str">
            <v>mikania_860</v>
          </cell>
          <cell r="O798" t="str">
            <v>Asteraceae</v>
          </cell>
          <cell r="R798" t="str">
            <v xml:space="preserve"> </v>
          </cell>
        </row>
        <row r="799">
          <cell r="J799">
            <v>861</v>
          </cell>
          <cell r="K799" t="str">
            <v>Syphocampilus</v>
          </cell>
          <cell r="L799" t="str">
            <v>siphocampylus_995</v>
          </cell>
          <cell r="O799" t="str">
            <v>Campanulaceae</v>
          </cell>
          <cell r="P799" t="str">
            <v>Siphocampylus</v>
          </cell>
          <cell r="R799" t="str">
            <v xml:space="preserve">Siphocampylus </v>
          </cell>
        </row>
        <row r="800">
          <cell r="J800">
            <v>862</v>
          </cell>
          <cell r="K800" t="str">
            <v xml:space="preserve">Aster fis h.s.o. suculenta </v>
          </cell>
          <cell r="L800" t="str">
            <v xml:space="preserve">Aster fis h.s.o. suculenta </v>
          </cell>
          <cell r="M800"/>
          <cell r="O800" t="str">
            <v>Asteraceae</v>
          </cell>
          <cell r="R800" t="str">
            <v xml:space="preserve"> </v>
          </cell>
        </row>
        <row r="801">
          <cell r="J801">
            <v>863</v>
          </cell>
          <cell r="K801" t="str">
            <v>mikania lisa negra h.s.o.</v>
          </cell>
          <cell r="L801" t="str">
            <v>mikania_863</v>
          </cell>
          <cell r="O801" t="str">
            <v>Asteraceae</v>
          </cell>
          <cell r="R801" t="str">
            <v xml:space="preserve"> </v>
          </cell>
        </row>
        <row r="802">
          <cell r="J802">
            <v>864</v>
          </cell>
          <cell r="K802" t="str">
            <v>mikania lisa negra h.s.o.</v>
          </cell>
          <cell r="L802" t="str">
            <v>mikania_863</v>
          </cell>
          <cell r="O802" t="str">
            <v>Asteraceae</v>
          </cell>
          <cell r="R802" t="str">
            <v xml:space="preserve"> </v>
          </cell>
        </row>
        <row r="803">
          <cell r="J803">
            <v>865</v>
          </cell>
          <cell r="K803" t="str">
            <v>mikania h.s.o. lisa negra</v>
          </cell>
          <cell r="L803" t="str">
            <v>mikania_863</v>
          </cell>
          <cell r="O803" t="str">
            <v>Asteraceae</v>
          </cell>
          <cell r="R803" t="str">
            <v xml:space="preserve"> </v>
          </cell>
        </row>
        <row r="804">
          <cell r="J804">
            <v>866</v>
          </cell>
          <cell r="K804" t="str">
            <v>mikania h.s.a. larga</v>
          </cell>
          <cell r="L804" t="str">
            <v>No_mikania_860</v>
          </cell>
          <cell r="O804" t="str">
            <v>Asteraceae</v>
          </cell>
          <cell r="R804" t="str">
            <v xml:space="preserve"> </v>
          </cell>
        </row>
        <row r="805">
          <cell r="J805">
            <v>867</v>
          </cell>
          <cell r="K805" t="str">
            <v>mikania h.s.a. larga blancos</v>
          </cell>
          <cell r="L805" t="str">
            <v>Aster blanca larga</v>
          </cell>
          <cell r="O805" t="str">
            <v>Asteraceae</v>
          </cell>
          <cell r="R805" t="str">
            <v xml:space="preserve"> </v>
          </cell>
        </row>
        <row r="806">
          <cell r="J806">
            <v>868</v>
          </cell>
          <cell r="K806" t="str">
            <v>smilax</v>
          </cell>
          <cell r="L806" t="str">
            <v>smilax_868</v>
          </cell>
          <cell r="N806" t="str">
            <v>Berthil (Smilax)</v>
          </cell>
          <cell r="O806" t="str">
            <v>Smilacaceae</v>
          </cell>
          <cell r="P806" t="str">
            <v>Smilax</v>
          </cell>
          <cell r="R806" t="str">
            <v xml:space="preserve">Smilax </v>
          </cell>
        </row>
        <row r="807">
          <cell r="J807">
            <v>869</v>
          </cell>
          <cell r="K807" t="str">
            <v>sp. Lenticel h.s.a.</v>
          </cell>
          <cell r="L807" t="str">
            <v>sp. Lenticel h.s.a.</v>
          </cell>
          <cell r="R807" t="str">
            <v xml:space="preserve"> </v>
          </cell>
        </row>
        <row r="808">
          <cell r="J808">
            <v>870</v>
          </cell>
          <cell r="K808" t="str">
            <v>mikania h.s.o. lisa negra</v>
          </cell>
          <cell r="L808" t="str">
            <v>mikania_863</v>
          </cell>
          <cell r="O808" t="str">
            <v>Asteraceae</v>
          </cell>
          <cell r="R808" t="str">
            <v xml:space="preserve"> </v>
          </cell>
        </row>
        <row r="809">
          <cell r="J809">
            <v>871</v>
          </cell>
          <cell r="K809" t="str">
            <v>mikania h.s.o. lisa negra</v>
          </cell>
          <cell r="L809" t="str">
            <v>mikania_863</v>
          </cell>
          <cell r="O809" t="str">
            <v>Asteraceae</v>
          </cell>
          <cell r="R809" t="str">
            <v xml:space="preserve"> </v>
          </cell>
        </row>
        <row r="810">
          <cell r="J810">
            <v>873</v>
          </cell>
          <cell r="K810" t="str">
            <v>mikania h.s.a. larga</v>
          </cell>
          <cell r="L810" t="str">
            <v>Pentacalia_790</v>
          </cell>
          <cell r="M810" t="str">
            <v xml:space="preserve"> =770, =790, =795</v>
          </cell>
          <cell r="O810" t="str">
            <v>Asteraceae</v>
          </cell>
          <cell r="P810" t="str">
            <v>Pentacalia</v>
          </cell>
          <cell r="R810" t="str">
            <v xml:space="preserve">Pentacalia </v>
          </cell>
        </row>
        <row r="811">
          <cell r="J811">
            <v>874</v>
          </cell>
          <cell r="K811" t="str">
            <v>mikania h.s.a. larga</v>
          </cell>
          <cell r="L811" t="str">
            <v>Pentacalia_790</v>
          </cell>
          <cell r="M811" t="str">
            <v xml:space="preserve"> =770, =790, =795</v>
          </cell>
          <cell r="O811" t="str">
            <v>Asteraceae</v>
          </cell>
          <cell r="P811" t="str">
            <v>Pentacalia</v>
          </cell>
          <cell r="R811" t="str">
            <v xml:space="preserve">Pentacalia </v>
          </cell>
        </row>
        <row r="812">
          <cell r="J812">
            <v>875</v>
          </cell>
          <cell r="K812" t="str">
            <v>mikania h.s.a. larga</v>
          </cell>
          <cell r="L812" t="str">
            <v>Pentacalia_790</v>
          </cell>
          <cell r="M812" t="str">
            <v xml:space="preserve"> =770, =790, =795</v>
          </cell>
          <cell r="O812" t="str">
            <v>Asteraceae</v>
          </cell>
          <cell r="P812" t="str">
            <v>Pentacalia</v>
          </cell>
          <cell r="R812" t="str">
            <v xml:space="preserve">Pentacalia </v>
          </cell>
        </row>
        <row r="813">
          <cell r="J813">
            <v>876</v>
          </cell>
          <cell r="K813" t="str">
            <v>mikania h.s.o. lisa negra</v>
          </cell>
          <cell r="L813" t="str">
            <v>mikania_863</v>
          </cell>
          <cell r="O813" t="str">
            <v>Asteraceae</v>
          </cell>
          <cell r="R813" t="str">
            <v xml:space="preserve"> </v>
          </cell>
        </row>
        <row r="814">
          <cell r="J814">
            <v>877</v>
          </cell>
          <cell r="K814" t="str">
            <v>mikania h.s.o. larga</v>
          </cell>
          <cell r="L814" t="str">
            <v>Pentacalia_sin_pubescencia</v>
          </cell>
          <cell r="O814" t="str">
            <v>Asteraceae</v>
          </cell>
          <cell r="P814" t="str">
            <v>Mikania</v>
          </cell>
          <cell r="R814" t="str">
            <v xml:space="preserve">Mikania </v>
          </cell>
        </row>
        <row r="815">
          <cell r="J815">
            <v>878</v>
          </cell>
          <cell r="K815" t="str">
            <v>smilax sp. 1. h.s.a. fuste blanco</v>
          </cell>
          <cell r="L815" t="str">
            <v>smilax sp. 1. h.s.a. fuste blanco</v>
          </cell>
          <cell r="N815" t="str">
            <v>check: Berthil (Ericaceae)</v>
          </cell>
          <cell r="O815" t="str">
            <v>Smilacaceae</v>
          </cell>
          <cell r="P815" t="str">
            <v>Smilax</v>
          </cell>
          <cell r="R815" t="str">
            <v xml:space="preserve">Smilax </v>
          </cell>
        </row>
        <row r="816">
          <cell r="J816">
            <v>879</v>
          </cell>
          <cell r="K816" t="str">
            <v>malpighia mal olor leve atun</v>
          </cell>
          <cell r="L816" t="str">
            <v>malpi_829</v>
          </cell>
          <cell r="M816" t="str">
            <v xml:space="preserve"> =829</v>
          </cell>
          <cell r="N816" t="str">
            <v>Berthil (malpighiaceae)</v>
          </cell>
          <cell r="O816" t="str">
            <v>Malpighiaceae</v>
          </cell>
          <cell r="R816" t="str">
            <v xml:space="preserve"> </v>
          </cell>
        </row>
        <row r="817">
          <cell r="J817">
            <v>880</v>
          </cell>
          <cell r="K817" t="str">
            <v>phytolaca</v>
          </cell>
          <cell r="L817" t="str">
            <v>phyto_802</v>
          </cell>
          <cell r="M817" t="str">
            <v xml:space="preserve"> =802</v>
          </cell>
          <cell r="O817" t="str">
            <v>Phytolaccaceae</v>
          </cell>
          <cell r="R817" t="str">
            <v xml:space="preserve"> </v>
          </cell>
        </row>
        <row r="818">
          <cell r="J818">
            <v>881</v>
          </cell>
          <cell r="K818" t="str">
            <v>phytolaca</v>
          </cell>
          <cell r="L818" t="str">
            <v>phyto_802</v>
          </cell>
          <cell r="M818" t="str">
            <v xml:space="preserve"> =802</v>
          </cell>
          <cell r="O818" t="str">
            <v>Phytolaccaceae</v>
          </cell>
          <cell r="R818" t="str">
            <v xml:space="preserve"> </v>
          </cell>
        </row>
        <row r="819">
          <cell r="J819">
            <v>882</v>
          </cell>
          <cell r="K819" t="str">
            <v>Menis fruto dulce</v>
          </cell>
          <cell r="L819" t="str">
            <v>Menis_fruto_1134</v>
          </cell>
          <cell r="M819" t="str">
            <v xml:space="preserve"> =882,  =1134</v>
          </cell>
          <cell r="O819" t="str">
            <v>Menispermaceae</v>
          </cell>
          <cell r="R819" t="str">
            <v xml:space="preserve"> </v>
          </cell>
        </row>
        <row r="820">
          <cell r="J820">
            <v>883</v>
          </cell>
          <cell r="K820" t="str">
            <v>Menis fruto dulce</v>
          </cell>
          <cell r="L820" t="str">
            <v>Menis_fruto_1134</v>
          </cell>
          <cell r="M820" t="str">
            <v xml:space="preserve"> =882,  =1134</v>
          </cell>
          <cell r="O820" t="str">
            <v>Menispermaceae</v>
          </cell>
          <cell r="R820" t="str">
            <v xml:space="preserve"> </v>
          </cell>
        </row>
        <row r="821">
          <cell r="J821">
            <v>884</v>
          </cell>
          <cell r="K821" t="str">
            <v>Menis fruto dulce</v>
          </cell>
          <cell r="L821" t="str">
            <v>Menis_fruto_1134</v>
          </cell>
          <cell r="M821" t="str">
            <v xml:space="preserve"> =882,  =1134</v>
          </cell>
          <cell r="O821" t="str">
            <v>Menispermaceae</v>
          </cell>
          <cell r="R821" t="str">
            <v xml:space="preserve"> </v>
          </cell>
        </row>
        <row r="822">
          <cell r="J822">
            <v>885</v>
          </cell>
          <cell r="K822" t="str">
            <v>phytolaca</v>
          </cell>
          <cell r="L822" t="str">
            <v>phyto_802</v>
          </cell>
          <cell r="M822" t="str">
            <v xml:space="preserve"> =802, =885</v>
          </cell>
          <cell r="O822" t="str">
            <v>Phytolaccaceae</v>
          </cell>
          <cell r="R822" t="str">
            <v xml:space="preserve"> </v>
          </cell>
        </row>
        <row r="823">
          <cell r="J823">
            <v>886</v>
          </cell>
          <cell r="K823" t="str">
            <v>malpig atun</v>
          </cell>
          <cell r="L823" t="str">
            <v>Malpi_886</v>
          </cell>
          <cell r="M823" t="str">
            <v xml:space="preserve"> =886</v>
          </cell>
          <cell r="N823" t="str">
            <v>Berthil (malpighiaceae)</v>
          </cell>
          <cell r="O823" t="str">
            <v>Malpighiaceae</v>
          </cell>
          <cell r="R823" t="str">
            <v xml:space="preserve"> </v>
          </cell>
        </row>
        <row r="824">
          <cell r="J824">
            <v>887</v>
          </cell>
          <cell r="K824" t="str">
            <v>phytolaca</v>
          </cell>
          <cell r="L824" t="str">
            <v>phyto_802</v>
          </cell>
          <cell r="M824" t="str">
            <v xml:space="preserve"> =802</v>
          </cell>
          <cell r="O824" t="str">
            <v>Phytolaccaceae</v>
          </cell>
          <cell r="R824" t="str">
            <v xml:space="preserve"> </v>
          </cell>
        </row>
        <row r="825">
          <cell r="J825">
            <v>888</v>
          </cell>
          <cell r="K825" t="str">
            <v>h.s.a. fuste blanco</v>
          </cell>
          <cell r="L825" t="str">
            <v>h.s.a. fuste blanco</v>
          </cell>
          <cell r="R825" t="str">
            <v xml:space="preserve"> </v>
          </cell>
        </row>
        <row r="826">
          <cell r="J826">
            <v>889</v>
          </cell>
          <cell r="K826" t="str">
            <v>menis fruto</v>
          </cell>
          <cell r="L826" t="str">
            <v>Menis_fruto_1134</v>
          </cell>
          <cell r="M826" t="str">
            <v xml:space="preserve"> =882,  =1134</v>
          </cell>
          <cell r="O826" t="str">
            <v>Menispermaceae</v>
          </cell>
          <cell r="R826" t="str">
            <v xml:space="preserve"> </v>
          </cell>
        </row>
        <row r="827">
          <cell r="J827">
            <v>890</v>
          </cell>
          <cell r="K827" t="str">
            <v>malpigi atun</v>
          </cell>
          <cell r="L827" t="str">
            <v>Malpi_886</v>
          </cell>
          <cell r="M827" t="str">
            <v xml:space="preserve"> =886</v>
          </cell>
          <cell r="O827" t="str">
            <v>Malpighiaceae</v>
          </cell>
          <cell r="R827" t="str">
            <v xml:space="preserve"> </v>
          </cell>
        </row>
        <row r="828">
          <cell r="J828">
            <v>891</v>
          </cell>
          <cell r="K828" t="str">
            <v>mikania lenticel</v>
          </cell>
          <cell r="L828" t="str">
            <v>mikania_891</v>
          </cell>
          <cell r="N828" t="str">
            <v>Berthil (mikania)</v>
          </cell>
          <cell r="O828" t="str">
            <v>Asteraceae</v>
          </cell>
          <cell r="P828" t="str">
            <v>Mikania</v>
          </cell>
          <cell r="R828" t="str">
            <v xml:space="preserve">Mikania </v>
          </cell>
        </row>
        <row r="829">
          <cell r="J829">
            <v>892</v>
          </cell>
          <cell r="K829" t="str">
            <v>Paullinia</v>
          </cell>
          <cell r="L829" t="str">
            <v>Paullinia_814</v>
          </cell>
          <cell r="M829" t="str">
            <v xml:space="preserve"> =814, =892</v>
          </cell>
          <cell r="O829" t="str">
            <v>Sapindaceae</v>
          </cell>
          <cell r="P829" t="str">
            <v>Paullinia</v>
          </cell>
          <cell r="R829" t="str">
            <v xml:space="preserve">Paullinia </v>
          </cell>
        </row>
        <row r="830">
          <cell r="J830">
            <v>893</v>
          </cell>
          <cell r="K830" t="str">
            <v>magravia</v>
          </cell>
          <cell r="L830" t="str">
            <v>Marcgravia_849</v>
          </cell>
          <cell r="M830" t="str">
            <v xml:space="preserve"> =836</v>
          </cell>
          <cell r="O830" t="str">
            <v>Marcgraviaceae</v>
          </cell>
          <cell r="P830" t="str">
            <v>Marcgravia</v>
          </cell>
          <cell r="R830" t="str">
            <v xml:space="preserve">Marcgravia </v>
          </cell>
        </row>
        <row r="831">
          <cell r="J831">
            <v>894</v>
          </cell>
          <cell r="K831" t="str">
            <v>menis glabra</v>
          </cell>
          <cell r="L831" t="str">
            <v>Menis_glabra</v>
          </cell>
          <cell r="M831" t="str">
            <v xml:space="preserve"> =838</v>
          </cell>
          <cell r="O831" t="str">
            <v>Menispermaceae</v>
          </cell>
          <cell r="R831" t="str">
            <v xml:space="preserve"> </v>
          </cell>
        </row>
        <row r="832">
          <cell r="J832">
            <v>895</v>
          </cell>
          <cell r="K832" t="str">
            <v>menis glabra</v>
          </cell>
          <cell r="L832" t="str">
            <v>Menis_glabra</v>
          </cell>
          <cell r="M832" t="str">
            <v xml:space="preserve"> =838</v>
          </cell>
          <cell r="O832" t="str">
            <v>Menispermaceae</v>
          </cell>
          <cell r="R832" t="str">
            <v xml:space="preserve"> </v>
          </cell>
        </row>
        <row r="833">
          <cell r="J833">
            <v>896</v>
          </cell>
          <cell r="K833" t="str">
            <v>phytolaca</v>
          </cell>
          <cell r="L833" t="str">
            <v>phyto_802</v>
          </cell>
          <cell r="M833" t="str">
            <v xml:space="preserve"> =802</v>
          </cell>
          <cell r="O833" t="str">
            <v>Phytolaccaceae</v>
          </cell>
          <cell r="R833" t="str">
            <v xml:space="preserve"> </v>
          </cell>
        </row>
        <row r="834">
          <cell r="J834">
            <v>897</v>
          </cell>
          <cell r="K834" t="str">
            <v>tallo trinagular exfol</v>
          </cell>
          <cell r="L834" t="str">
            <v>tallo_triangular_exfol_897</v>
          </cell>
          <cell r="N834" t="str">
            <v>berthil (Sapindaceae)</v>
          </cell>
          <cell r="O834" t="str">
            <v>Sapindaceae</v>
          </cell>
          <cell r="R834" t="str">
            <v xml:space="preserve"> </v>
          </cell>
        </row>
        <row r="835">
          <cell r="J835">
            <v>898</v>
          </cell>
          <cell r="K835" t="str">
            <v>mikania lenticel</v>
          </cell>
          <cell r="L835" t="str">
            <v>mikania_891</v>
          </cell>
          <cell r="M835" t="str">
            <v xml:space="preserve"> =891</v>
          </cell>
          <cell r="O835" t="str">
            <v>Asteraceae</v>
          </cell>
          <cell r="P835" t="str">
            <v>Mikania</v>
          </cell>
          <cell r="R835" t="str">
            <v xml:space="preserve">Mikania </v>
          </cell>
        </row>
        <row r="836">
          <cell r="J836">
            <v>899</v>
          </cell>
          <cell r="K836" t="str">
            <v>mikania lenticel</v>
          </cell>
          <cell r="L836" t="str">
            <v>mikania_891</v>
          </cell>
          <cell r="M836" t="str">
            <v xml:space="preserve"> =891</v>
          </cell>
          <cell r="O836" t="str">
            <v>Asteraceae</v>
          </cell>
          <cell r="P836" t="str">
            <v>Mikania</v>
          </cell>
          <cell r="R836" t="str">
            <v xml:space="preserve">Mikania </v>
          </cell>
        </row>
        <row r="837">
          <cell r="J837">
            <v>900</v>
          </cell>
          <cell r="K837" t="str">
            <v>H.S.O. Mendoncia f. negro</v>
          </cell>
          <cell r="L837" t="str">
            <v>Mikania_900</v>
          </cell>
          <cell r="N837" t="str">
            <v>Berthil (mikania)</v>
          </cell>
          <cell r="O837" t="str">
            <v>Asteraceae</v>
          </cell>
          <cell r="P837" t="str">
            <v>Mikania</v>
          </cell>
          <cell r="R837" t="str">
            <v xml:space="preserve">Mikania </v>
          </cell>
        </row>
        <row r="838">
          <cell r="J838">
            <v>901</v>
          </cell>
          <cell r="K838" t="str">
            <v>H.S.O. Mendoncia f. negro</v>
          </cell>
          <cell r="L838" t="str">
            <v>Mikania_900</v>
          </cell>
          <cell r="O838" t="str">
            <v>Asteraceae</v>
          </cell>
          <cell r="P838" t="str">
            <v>Mikania</v>
          </cell>
          <cell r="R838" t="str">
            <v xml:space="preserve">Mikania </v>
          </cell>
        </row>
        <row r="839">
          <cell r="J839">
            <v>902</v>
          </cell>
          <cell r="K839" t="str">
            <v>malpi fis blancos</v>
          </cell>
          <cell r="L839" t="str">
            <v>Malpi_886</v>
          </cell>
          <cell r="M839" t="str">
            <v xml:space="preserve"> =886</v>
          </cell>
          <cell r="N839" t="str">
            <v>Check: Berthil (malpighiaceae), 956, 541, 902</v>
          </cell>
          <cell r="O839" t="str">
            <v>Malpighiaceae</v>
          </cell>
          <cell r="R839" t="str">
            <v xml:space="preserve"> </v>
          </cell>
        </row>
        <row r="840">
          <cell r="J840">
            <v>903</v>
          </cell>
          <cell r="K840" t="str">
            <v>mikania lenticel</v>
          </cell>
          <cell r="L840" t="str">
            <v>mikania_891</v>
          </cell>
          <cell r="M840" t="str">
            <v xml:space="preserve"> =891</v>
          </cell>
          <cell r="O840" t="str">
            <v>Asteraceae</v>
          </cell>
          <cell r="P840" t="str">
            <v>Mikania</v>
          </cell>
          <cell r="R840" t="str">
            <v xml:space="preserve">Mikania </v>
          </cell>
        </row>
        <row r="841">
          <cell r="J841">
            <v>904</v>
          </cell>
          <cell r="K841" t="str">
            <v>menis fruto naranja</v>
          </cell>
          <cell r="L841" t="str">
            <v>menis_906</v>
          </cell>
          <cell r="M841" t="str">
            <v xml:space="preserve"> =906</v>
          </cell>
          <cell r="O841" t="str">
            <v>Menispermaceae</v>
          </cell>
          <cell r="R841" t="str">
            <v xml:space="preserve"> </v>
          </cell>
        </row>
        <row r="842">
          <cell r="J842">
            <v>905</v>
          </cell>
          <cell r="K842" t="str">
            <v>Paullinia</v>
          </cell>
          <cell r="L842" t="str">
            <v>Paullinia</v>
          </cell>
          <cell r="O842" t="str">
            <v>Sapindaceae</v>
          </cell>
          <cell r="P842" t="str">
            <v>Paullinia</v>
          </cell>
          <cell r="R842" t="str">
            <v xml:space="preserve">Paullinia </v>
          </cell>
        </row>
        <row r="843">
          <cell r="J843">
            <v>906</v>
          </cell>
          <cell r="K843" t="str">
            <v>menis fruto naranja</v>
          </cell>
          <cell r="L843" t="str">
            <v>menis_906</v>
          </cell>
          <cell r="M843" t="str">
            <v xml:space="preserve"> =906</v>
          </cell>
          <cell r="N843" t="str">
            <v>Berthil (menispermaceae), =988, 906</v>
          </cell>
          <cell r="O843" t="str">
            <v>Menispermaceae</v>
          </cell>
          <cell r="R843" t="str">
            <v xml:space="preserve"> </v>
          </cell>
        </row>
        <row r="844">
          <cell r="J844">
            <v>907</v>
          </cell>
          <cell r="K844" t="str">
            <v>Paullinia</v>
          </cell>
          <cell r="L844" t="str">
            <v>Paullinia</v>
          </cell>
          <cell r="O844" t="str">
            <v>Sapindaceae</v>
          </cell>
          <cell r="P844" t="str">
            <v>Paullinia</v>
          </cell>
          <cell r="R844" t="str">
            <v xml:space="preserve">Paullinia </v>
          </cell>
        </row>
        <row r="845">
          <cell r="J845">
            <v>908</v>
          </cell>
          <cell r="K845" t="str">
            <v>phytolaca</v>
          </cell>
          <cell r="L845" t="str">
            <v>phyto_802</v>
          </cell>
          <cell r="M845" t="str">
            <v xml:space="preserve"> =802</v>
          </cell>
          <cell r="O845" t="str">
            <v>Phytolaccaceae</v>
          </cell>
          <cell r="R845" t="str">
            <v xml:space="preserve"> </v>
          </cell>
        </row>
        <row r="846">
          <cell r="J846">
            <v>909</v>
          </cell>
          <cell r="K846" t="str">
            <v>Malpi atun</v>
          </cell>
          <cell r="L846" t="str">
            <v>Malpi_886</v>
          </cell>
          <cell r="M846" t="str">
            <v xml:space="preserve"> =886</v>
          </cell>
          <cell r="O846" t="str">
            <v>Malpighiaceae</v>
          </cell>
          <cell r="R846" t="str">
            <v xml:space="preserve"> </v>
          </cell>
        </row>
        <row r="847">
          <cell r="J847">
            <v>910</v>
          </cell>
          <cell r="K847" t="str">
            <v>Malpi atun</v>
          </cell>
          <cell r="L847" t="str">
            <v>Malpi_886</v>
          </cell>
          <cell r="M847" t="str">
            <v xml:space="preserve"> =886</v>
          </cell>
          <cell r="O847" t="str">
            <v>Malpighiaceae</v>
          </cell>
          <cell r="R847" t="str">
            <v xml:space="preserve"> </v>
          </cell>
        </row>
        <row r="848">
          <cell r="J848">
            <v>911</v>
          </cell>
          <cell r="K848" t="str">
            <v>phytolaca</v>
          </cell>
          <cell r="L848" t="str">
            <v>phyto_802</v>
          </cell>
          <cell r="M848" t="str">
            <v xml:space="preserve"> =802</v>
          </cell>
          <cell r="O848" t="str">
            <v>Phytolaccaceae</v>
          </cell>
          <cell r="R848" t="str">
            <v xml:space="preserve"> </v>
          </cell>
        </row>
        <row r="849">
          <cell r="J849">
            <v>912</v>
          </cell>
          <cell r="K849" t="str">
            <v>sp. Tallo duro rosca lenti</v>
          </cell>
          <cell r="L849" t="str">
            <v>Tallo_duro_rosca_lenti_912</v>
          </cell>
          <cell r="O849" t="str">
            <v>Phytolaccaceae</v>
          </cell>
          <cell r="R849" t="str">
            <v xml:space="preserve"> </v>
          </cell>
        </row>
        <row r="850">
          <cell r="J850">
            <v>913</v>
          </cell>
          <cell r="K850" t="str">
            <v>malpi atun</v>
          </cell>
          <cell r="L850" t="str">
            <v>Malpi_886</v>
          </cell>
          <cell r="M850" t="str">
            <v xml:space="preserve"> =886</v>
          </cell>
          <cell r="O850" t="str">
            <v>Malpighiaceae</v>
          </cell>
          <cell r="R850" t="str">
            <v xml:space="preserve"> </v>
          </cell>
        </row>
        <row r="851">
          <cell r="J851">
            <v>914</v>
          </cell>
          <cell r="K851" t="str">
            <v>Malpi atun</v>
          </cell>
          <cell r="L851" t="str">
            <v>Malpi_886</v>
          </cell>
          <cell r="M851" t="str">
            <v xml:space="preserve"> =886</v>
          </cell>
          <cell r="O851" t="str">
            <v>Malpighiaceae</v>
          </cell>
          <cell r="R851" t="str">
            <v xml:space="preserve"> </v>
          </cell>
        </row>
        <row r="852">
          <cell r="J852">
            <v>915</v>
          </cell>
          <cell r="K852" t="str">
            <v>Malpi atun</v>
          </cell>
          <cell r="L852" t="str">
            <v>Malpi_886</v>
          </cell>
          <cell r="M852" t="str">
            <v xml:space="preserve"> =886</v>
          </cell>
          <cell r="O852" t="str">
            <v>Malpighiaceae</v>
          </cell>
          <cell r="R852" t="str">
            <v xml:space="preserve"> </v>
          </cell>
        </row>
        <row r="853">
          <cell r="J853">
            <v>916</v>
          </cell>
          <cell r="K853" t="str">
            <v>phytolaca</v>
          </cell>
          <cell r="L853" t="str">
            <v>phyto_802</v>
          </cell>
          <cell r="M853" t="str">
            <v xml:space="preserve"> =802</v>
          </cell>
          <cell r="O853" t="str">
            <v>Phytolaccaceae</v>
          </cell>
          <cell r="R853" t="str">
            <v xml:space="preserve"> </v>
          </cell>
        </row>
        <row r="854">
          <cell r="J854">
            <v>917</v>
          </cell>
          <cell r="K854" t="str">
            <v>Malpi atun</v>
          </cell>
          <cell r="L854" t="str">
            <v>Malpi_886</v>
          </cell>
          <cell r="M854" t="str">
            <v xml:space="preserve"> =886</v>
          </cell>
          <cell r="O854" t="str">
            <v>Malpighiaceae</v>
          </cell>
          <cell r="R854" t="str">
            <v xml:space="preserve"> </v>
          </cell>
        </row>
        <row r="855">
          <cell r="J855">
            <v>918</v>
          </cell>
          <cell r="K855" t="str">
            <v>Malpi atun</v>
          </cell>
          <cell r="L855" t="str">
            <v>Malpi_886</v>
          </cell>
          <cell r="M855" t="str">
            <v xml:space="preserve"> =886</v>
          </cell>
          <cell r="O855" t="str">
            <v>Malpighiaceae</v>
          </cell>
          <cell r="R855" t="str">
            <v xml:space="preserve"> </v>
          </cell>
        </row>
        <row r="856">
          <cell r="J856">
            <v>919</v>
          </cell>
          <cell r="K856" t="str">
            <v>phytolaca</v>
          </cell>
          <cell r="L856" t="str">
            <v>phyto_802</v>
          </cell>
          <cell r="M856" t="str">
            <v xml:space="preserve"> =802</v>
          </cell>
          <cell r="O856" t="str">
            <v>Phytolaccaceae</v>
          </cell>
          <cell r="R856" t="str">
            <v xml:space="preserve"> </v>
          </cell>
        </row>
        <row r="857">
          <cell r="J857">
            <v>920</v>
          </cell>
          <cell r="K857" t="str">
            <v>menis glabra</v>
          </cell>
          <cell r="L857" t="str">
            <v>Menis_glabra</v>
          </cell>
          <cell r="M857" t="str">
            <v xml:space="preserve"> =838</v>
          </cell>
          <cell r="O857" t="str">
            <v>Menispermaceae</v>
          </cell>
          <cell r="R857" t="str">
            <v xml:space="preserve"> </v>
          </cell>
        </row>
        <row r="858">
          <cell r="J858">
            <v>921</v>
          </cell>
          <cell r="K858" t="str">
            <v>Paullinia</v>
          </cell>
          <cell r="L858" t="str">
            <v>Paullinia</v>
          </cell>
          <cell r="O858" t="str">
            <v>Sapindaceae</v>
          </cell>
          <cell r="P858" t="str">
            <v>Paullinia</v>
          </cell>
          <cell r="R858" t="str">
            <v xml:space="preserve">Paullinia </v>
          </cell>
        </row>
        <row r="859">
          <cell r="J859">
            <v>922</v>
          </cell>
          <cell r="K859" t="str">
            <v>Paullinia</v>
          </cell>
          <cell r="L859" t="str">
            <v>Paullinia</v>
          </cell>
          <cell r="O859" t="str">
            <v>Sapindaceae</v>
          </cell>
          <cell r="P859" t="str">
            <v>Paullinia</v>
          </cell>
          <cell r="R859" t="str">
            <v xml:space="preserve">Paullinia </v>
          </cell>
        </row>
        <row r="860">
          <cell r="J860">
            <v>923</v>
          </cell>
          <cell r="K860" t="str">
            <v>smilax sp. 1</v>
          </cell>
          <cell r="L860" t="str">
            <v>smilax_868</v>
          </cell>
          <cell r="O860" t="str">
            <v>Smilacaceae</v>
          </cell>
          <cell r="P860" t="str">
            <v>Smilax</v>
          </cell>
          <cell r="R860" t="str">
            <v xml:space="preserve">Smilax </v>
          </cell>
        </row>
        <row r="861">
          <cell r="J861">
            <v>924</v>
          </cell>
          <cell r="K861" t="str">
            <v>mikania lenticel</v>
          </cell>
          <cell r="L861" t="str">
            <v>mikania_891</v>
          </cell>
          <cell r="O861" t="str">
            <v>Asteraceae</v>
          </cell>
          <cell r="P861" t="str">
            <v>Mikania</v>
          </cell>
          <cell r="R861" t="str">
            <v xml:space="preserve">Mikania </v>
          </cell>
        </row>
        <row r="862">
          <cell r="J862">
            <v>925</v>
          </cell>
          <cell r="K862" t="str">
            <v>hydrangea pares</v>
          </cell>
          <cell r="L862" t="str">
            <v>phyto_802</v>
          </cell>
          <cell r="M862" t="str">
            <v xml:space="preserve"> =802</v>
          </cell>
          <cell r="O862" t="str">
            <v>Hydrangeaceae</v>
          </cell>
          <cell r="R862" t="str">
            <v xml:space="preserve"> </v>
          </cell>
        </row>
        <row r="863">
          <cell r="J863">
            <v>926</v>
          </cell>
          <cell r="K863" t="str">
            <v>mikania lenticel</v>
          </cell>
          <cell r="L863" t="str">
            <v>mikania_891</v>
          </cell>
          <cell r="O863" t="str">
            <v>Asteraceae</v>
          </cell>
          <cell r="P863" t="str">
            <v>Mikania</v>
          </cell>
          <cell r="R863" t="str">
            <v xml:space="preserve">Mikania </v>
          </cell>
        </row>
        <row r="864">
          <cell r="J864">
            <v>927</v>
          </cell>
          <cell r="K864" t="str">
            <v>phytolaca</v>
          </cell>
          <cell r="L864" t="str">
            <v>phyto_802</v>
          </cell>
          <cell r="M864" t="str">
            <v xml:space="preserve"> =802</v>
          </cell>
          <cell r="O864" t="str">
            <v>Phytolaccaceae</v>
          </cell>
          <cell r="R864" t="str">
            <v xml:space="preserve"> </v>
          </cell>
        </row>
        <row r="865">
          <cell r="J865">
            <v>928</v>
          </cell>
          <cell r="K865" t="str">
            <v>lenticelado</v>
          </cell>
          <cell r="L865" t="str">
            <v>lenticelado</v>
          </cell>
          <cell r="R865" t="str">
            <v xml:space="preserve"> </v>
          </cell>
        </row>
        <row r="866">
          <cell r="J866">
            <v>929</v>
          </cell>
          <cell r="K866" t="str">
            <v>aster larga f. verde bla</v>
          </cell>
          <cell r="L866" t="str">
            <v>Aster blanca larga</v>
          </cell>
          <cell r="O866" t="str">
            <v>Asteraceae</v>
          </cell>
          <cell r="R866" t="str">
            <v xml:space="preserve"> </v>
          </cell>
        </row>
        <row r="867">
          <cell r="J867">
            <v>930</v>
          </cell>
          <cell r="K867" t="str">
            <v>aster lenticel negro</v>
          </cell>
          <cell r="L867" t="str">
            <v>Mikania lenticel negra</v>
          </cell>
          <cell r="O867" t="str">
            <v>Asteraceae</v>
          </cell>
          <cell r="R867" t="str">
            <v xml:space="preserve"> </v>
          </cell>
        </row>
        <row r="868">
          <cell r="J868">
            <v>931</v>
          </cell>
          <cell r="K868" t="str">
            <v>big tallo blanco nudos pubes hojuelas</v>
          </cell>
          <cell r="L868" t="str">
            <v>big_pubes_931</v>
          </cell>
          <cell r="N868" t="str">
            <v>Berthil (Bignoniaceae)</v>
          </cell>
          <cell r="O868" t="str">
            <v>Bignoniaceae</v>
          </cell>
          <cell r="R868" t="str">
            <v xml:space="preserve"> </v>
          </cell>
        </row>
        <row r="869">
          <cell r="J869">
            <v>932</v>
          </cell>
          <cell r="K869" t="str">
            <v>aster fis dulce</v>
          </cell>
          <cell r="L869" t="str">
            <v>Ast_932</v>
          </cell>
          <cell r="O869" t="str">
            <v>Asteraceae</v>
          </cell>
          <cell r="R869" t="str">
            <v xml:space="preserve"> </v>
          </cell>
        </row>
        <row r="870">
          <cell r="J870">
            <v>933</v>
          </cell>
          <cell r="K870" t="str">
            <v>menis glabra</v>
          </cell>
          <cell r="L870" t="str">
            <v>Menis_glabra</v>
          </cell>
          <cell r="M870" t="str">
            <v xml:space="preserve"> =838</v>
          </cell>
          <cell r="O870" t="str">
            <v>Menispermaceae</v>
          </cell>
          <cell r="R870" t="str">
            <v xml:space="preserve"> </v>
          </cell>
        </row>
        <row r="871">
          <cell r="J871">
            <v>934</v>
          </cell>
          <cell r="K871" t="str">
            <v>hydran pubers, tallo ox. Café clanco mal dulce</v>
          </cell>
          <cell r="L871" t="str">
            <v>hydr_934</v>
          </cell>
          <cell r="N871" t="str">
            <v>Berthil (Hydrangeaceae)</v>
          </cell>
          <cell r="O871" t="str">
            <v>Hydrangeaceae</v>
          </cell>
          <cell r="P871" t="str">
            <v>Hydrangea</v>
          </cell>
          <cell r="R871" t="str">
            <v xml:space="preserve">Hydrangea </v>
          </cell>
        </row>
        <row r="872">
          <cell r="J872">
            <v>935</v>
          </cell>
          <cell r="K872" t="str">
            <v>no se ve hojas</v>
          </cell>
          <cell r="L872" t="str">
            <v>indet_935</v>
          </cell>
          <cell r="R872" t="str">
            <v xml:space="preserve"> </v>
          </cell>
        </row>
        <row r="873">
          <cell r="J873">
            <v>936</v>
          </cell>
          <cell r="K873" t="str">
            <v>big pubes</v>
          </cell>
          <cell r="L873" t="str">
            <v>Pentacalia_790</v>
          </cell>
          <cell r="O873" t="str">
            <v>Asteraceae</v>
          </cell>
          <cell r="P873" t="str">
            <v>Pentacalia</v>
          </cell>
          <cell r="R873" t="str">
            <v xml:space="preserve">Pentacalia </v>
          </cell>
        </row>
        <row r="874">
          <cell r="J874">
            <v>937</v>
          </cell>
          <cell r="K874" t="str">
            <v>Syphocampilus</v>
          </cell>
          <cell r="L874" t="str">
            <v>siphocampylus_995</v>
          </cell>
          <cell r="O874" t="str">
            <v>Campanulaceae</v>
          </cell>
          <cell r="P874" t="str">
            <v>Siphocampylus</v>
          </cell>
          <cell r="R874" t="str">
            <v xml:space="preserve">Siphocampylus </v>
          </cell>
        </row>
        <row r="875">
          <cell r="J875">
            <v>938</v>
          </cell>
          <cell r="K875" t="str">
            <v>mikania hso-negro-dulce</v>
          </cell>
          <cell r="L875" t="str">
            <v>mikania hso-negro-dulce</v>
          </cell>
          <cell r="O875" t="str">
            <v>Asteraceae</v>
          </cell>
          <cell r="R875" t="str">
            <v xml:space="preserve"> </v>
          </cell>
        </row>
        <row r="876">
          <cell r="J876">
            <v>939</v>
          </cell>
          <cell r="K876" t="str">
            <v>big pubes</v>
          </cell>
          <cell r="L876" t="str">
            <v>big_pubes_931</v>
          </cell>
          <cell r="M876" t="str">
            <v xml:space="preserve"> =931</v>
          </cell>
          <cell r="O876" t="str">
            <v>Bignoniaceae</v>
          </cell>
          <cell r="R876" t="str">
            <v xml:space="preserve"> </v>
          </cell>
        </row>
        <row r="877">
          <cell r="J877">
            <v>940</v>
          </cell>
          <cell r="K877" t="str">
            <v>big pubes</v>
          </cell>
          <cell r="L877" t="str">
            <v>big_pubes_931</v>
          </cell>
          <cell r="M877" t="str">
            <v xml:space="preserve"> =931</v>
          </cell>
          <cell r="O877" t="str">
            <v>Bignoniaceae</v>
          </cell>
          <cell r="R877" t="str">
            <v xml:space="preserve"> </v>
          </cell>
        </row>
        <row r="878">
          <cell r="J878">
            <v>941</v>
          </cell>
          <cell r="K878" t="str">
            <v>hydrangea glabra</v>
          </cell>
          <cell r="L878" t="str">
            <v>Malpi_886</v>
          </cell>
          <cell r="M878" t="str">
            <v xml:space="preserve"> =886</v>
          </cell>
          <cell r="O878" t="str">
            <v>Malpighiaceae</v>
          </cell>
          <cell r="R878" t="str">
            <v xml:space="preserve"> </v>
          </cell>
        </row>
        <row r="879">
          <cell r="J879">
            <v>942</v>
          </cell>
          <cell r="K879" t="str">
            <v>Malpi atun</v>
          </cell>
          <cell r="L879" t="str">
            <v>Malpi_886</v>
          </cell>
          <cell r="M879" t="str">
            <v xml:space="preserve"> =886</v>
          </cell>
          <cell r="O879" t="str">
            <v>Malpighiaceae</v>
          </cell>
          <cell r="R879" t="str">
            <v xml:space="preserve"> </v>
          </cell>
        </row>
        <row r="880">
          <cell r="J880">
            <v>943</v>
          </cell>
          <cell r="K880" t="str">
            <v>Malpi atun</v>
          </cell>
          <cell r="L880" t="str">
            <v>Malpi_886</v>
          </cell>
          <cell r="M880" t="str">
            <v xml:space="preserve"> =886</v>
          </cell>
          <cell r="O880" t="str">
            <v>Malpighiaceae</v>
          </cell>
          <cell r="R880" t="str">
            <v xml:space="preserve"> </v>
          </cell>
        </row>
        <row r="881">
          <cell r="J881">
            <v>944</v>
          </cell>
          <cell r="K881" t="str">
            <v>Malpi atun</v>
          </cell>
          <cell r="L881" t="str">
            <v>Malpi_886</v>
          </cell>
          <cell r="M881" t="str">
            <v xml:space="preserve"> =886</v>
          </cell>
          <cell r="O881" t="str">
            <v>Malpighiaceae</v>
          </cell>
          <cell r="R881" t="str">
            <v xml:space="preserve"> </v>
          </cell>
        </row>
        <row r="882">
          <cell r="J882">
            <v>945</v>
          </cell>
          <cell r="K882" t="str">
            <v>mikania tallo blanca lenticel-bla</v>
          </cell>
          <cell r="L882" t="str">
            <v>Ast_946</v>
          </cell>
          <cell r="M882" t="str">
            <v xml:space="preserve"> =946</v>
          </cell>
          <cell r="O882" t="str">
            <v>Asteraceae</v>
          </cell>
          <cell r="P882" t="str">
            <v>Mikania</v>
          </cell>
          <cell r="R882" t="str">
            <v xml:space="preserve">Mikania </v>
          </cell>
        </row>
        <row r="883">
          <cell r="J883">
            <v>946</v>
          </cell>
          <cell r="K883" t="str">
            <v>mikania tallo blanca lenticel-bla</v>
          </cell>
          <cell r="L883" t="str">
            <v>Ast_946</v>
          </cell>
          <cell r="M883" t="str">
            <v xml:space="preserve"> =946</v>
          </cell>
          <cell r="N883" t="str">
            <v>Berthil (=946, 1122, 1127)</v>
          </cell>
          <cell r="O883" t="str">
            <v>Asteraceae</v>
          </cell>
          <cell r="P883" t="str">
            <v>Mikania</v>
          </cell>
          <cell r="R883" t="str">
            <v xml:space="preserve">Mikania </v>
          </cell>
        </row>
        <row r="884">
          <cell r="J884">
            <v>947</v>
          </cell>
          <cell r="K884" t="str">
            <v>Paullinia</v>
          </cell>
          <cell r="L884" t="str">
            <v>Paullinia</v>
          </cell>
          <cell r="O884" t="str">
            <v>Sapindaceae</v>
          </cell>
          <cell r="P884" t="str">
            <v>Paullinia</v>
          </cell>
          <cell r="R884" t="str">
            <v xml:space="preserve">Paullinia </v>
          </cell>
        </row>
        <row r="885">
          <cell r="J885">
            <v>948</v>
          </cell>
          <cell r="K885" t="str">
            <v>magravia</v>
          </cell>
          <cell r="L885" t="str">
            <v>Marcgravia_849</v>
          </cell>
          <cell r="M885" t="str">
            <v xml:space="preserve"> =836</v>
          </cell>
          <cell r="O885" t="str">
            <v>Marcgraviaceae</v>
          </cell>
          <cell r="P885" t="str">
            <v>Marcgravia</v>
          </cell>
          <cell r="R885" t="str">
            <v xml:space="preserve">Marcgravia </v>
          </cell>
        </row>
        <row r="886">
          <cell r="J886">
            <v>949</v>
          </cell>
          <cell r="K886" t="str">
            <v>hydrangea glabra</v>
          </cell>
          <cell r="L886" t="str">
            <v>Hydrangea_glabra_819</v>
          </cell>
          <cell r="M886" t="str">
            <v xml:space="preserve"> =819</v>
          </cell>
          <cell r="O886" t="str">
            <v>Hydrangeaceae</v>
          </cell>
          <cell r="P886" t="str">
            <v>Hydrangea</v>
          </cell>
          <cell r="R886" t="str">
            <v xml:space="preserve">Hydrangea </v>
          </cell>
        </row>
        <row r="887">
          <cell r="J887">
            <v>950</v>
          </cell>
          <cell r="K887" t="str">
            <v>Paullinia</v>
          </cell>
          <cell r="L887" t="str">
            <v>Paullinia</v>
          </cell>
          <cell r="O887" t="str">
            <v>Sapindaceae</v>
          </cell>
          <cell r="P887" t="str">
            <v>Paullinia</v>
          </cell>
          <cell r="R887" t="str">
            <v xml:space="preserve">Paullinia </v>
          </cell>
        </row>
        <row r="888">
          <cell r="J888">
            <v>951</v>
          </cell>
          <cell r="K888" t="str">
            <v>Paullinia</v>
          </cell>
          <cell r="L888" t="str">
            <v>Paullinia</v>
          </cell>
          <cell r="O888" t="str">
            <v>Sapindaceae</v>
          </cell>
          <cell r="P888" t="str">
            <v>Paullinia</v>
          </cell>
          <cell r="R888" t="str">
            <v xml:space="preserve">Paullinia </v>
          </cell>
        </row>
        <row r="889">
          <cell r="J889">
            <v>952</v>
          </cell>
          <cell r="K889" t="str">
            <v>Paullinia</v>
          </cell>
          <cell r="L889" t="str">
            <v>Paullinia</v>
          </cell>
          <cell r="O889" t="str">
            <v>Sapindaceae</v>
          </cell>
          <cell r="P889" t="str">
            <v>Paullinia</v>
          </cell>
          <cell r="R889" t="str">
            <v xml:space="preserve">Paullinia </v>
          </cell>
        </row>
        <row r="890">
          <cell r="J890">
            <v>953</v>
          </cell>
          <cell r="K890" t="str">
            <v>Malpi atun</v>
          </cell>
          <cell r="L890" t="str">
            <v>Malpi_886</v>
          </cell>
          <cell r="M890" t="str">
            <v xml:space="preserve"> =886</v>
          </cell>
          <cell r="O890" t="str">
            <v>Malpighiaceae</v>
          </cell>
          <cell r="R890" t="str">
            <v xml:space="preserve"> </v>
          </cell>
        </row>
        <row r="891">
          <cell r="J891">
            <v>954</v>
          </cell>
          <cell r="K891" t="str">
            <v>hydrangea glabra</v>
          </cell>
          <cell r="L891" t="str">
            <v>Hydrangea_glabra_819</v>
          </cell>
          <cell r="M891" t="str">
            <v xml:space="preserve"> =819</v>
          </cell>
          <cell r="O891" t="str">
            <v>Hydrangeaceae</v>
          </cell>
          <cell r="P891" t="str">
            <v>Hydrangea</v>
          </cell>
          <cell r="R891" t="str">
            <v xml:space="preserve">Hydrangea </v>
          </cell>
        </row>
        <row r="892">
          <cell r="J892">
            <v>955</v>
          </cell>
          <cell r="K892" t="str">
            <v>Malpi atun</v>
          </cell>
          <cell r="L892" t="str">
            <v>Malpi_886</v>
          </cell>
          <cell r="M892" t="str">
            <v xml:space="preserve"> =886</v>
          </cell>
          <cell r="O892" t="str">
            <v>Malpighiaceae</v>
          </cell>
          <cell r="R892" t="str">
            <v xml:space="preserve"> </v>
          </cell>
        </row>
        <row r="893">
          <cell r="J893">
            <v>956</v>
          </cell>
          <cell r="K893" t="str">
            <v>hydrangea glabra</v>
          </cell>
          <cell r="L893" t="str">
            <v>Malpi_886</v>
          </cell>
          <cell r="M893" t="str">
            <v xml:space="preserve"> =886</v>
          </cell>
          <cell r="N893" t="str">
            <v>Check: Berthil (malpighiaceae), 956, 541, 902</v>
          </cell>
          <cell r="O893" t="str">
            <v>Malpighiaceae</v>
          </cell>
          <cell r="R893" t="str">
            <v xml:space="preserve"> </v>
          </cell>
        </row>
        <row r="894">
          <cell r="J894">
            <v>957</v>
          </cell>
          <cell r="K894" t="str">
            <v>hydrangea glabra</v>
          </cell>
          <cell r="L894" t="str">
            <v>Hydrangea_glabra_819</v>
          </cell>
          <cell r="M894" t="str">
            <v xml:space="preserve"> =819</v>
          </cell>
          <cell r="O894" t="str">
            <v>Hydrangeaceae</v>
          </cell>
          <cell r="P894" t="str">
            <v>Hydrangea</v>
          </cell>
          <cell r="R894" t="str">
            <v xml:space="preserve">Hydrangea </v>
          </cell>
        </row>
        <row r="895">
          <cell r="J895">
            <v>958</v>
          </cell>
          <cell r="K895" t="str">
            <v>hydrangea glabra</v>
          </cell>
          <cell r="L895" t="str">
            <v>Hydrangea_glabra_819</v>
          </cell>
          <cell r="M895" t="str">
            <v xml:space="preserve"> =819</v>
          </cell>
          <cell r="O895" t="str">
            <v>Hydrangeaceae</v>
          </cell>
          <cell r="P895" t="str">
            <v>Hydrangea</v>
          </cell>
          <cell r="R895" t="str">
            <v xml:space="preserve">Hydrangea </v>
          </cell>
        </row>
        <row r="896">
          <cell r="J896">
            <v>959</v>
          </cell>
          <cell r="K896" t="str">
            <v>mikania lenti</v>
          </cell>
          <cell r="L896" t="str">
            <v>mikania lenticel</v>
          </cell>
          <cell r="O896" t="str">
            <v>Asteraceae</v>
          </cell>
          <cell r="R896" t="str">
            <v xml:space="preserve"> </v>
          </cell>
        </row>
        <row r="897">
          <cell r="J897">
            <v>960</v>
          </cell>
          <cell r="K897" t="str">
            <v>mikania lisa-negra</v>
          </cell>
          <cell r="L897" t="str">
            <v>mikania_863</v>
          </cell>
          <cell r="O897" t="str">
            <v>Asteraceae</v>
          </cell>
          <cell r="R897" t="str">
            <v xml:space="preserve"> </v>
          </cell>
        </row>
        <row r="898">
          <cell r="J898">
            <v>961</v>
          </cell>
          <cell r="K898" t="str">
            <v>Malpi atun</v>
          </cell>
          <cell r="L898" t="str">
            <v>Malpi_886</v>
          </cell>
          <cell r="M898" t="str">
            <v xml:space="preserve"> =886</v>
          </cell>
          <cell r="O898" t="str">
            <v>Malpighiaceae</v>
          </cell>
          <cell r="R898" t="str">
            <v xml:space="preserve"> </v>
          </cell>
        </row>
        <row r="899">
          <cell r="J899">
            <v>962</v>
          </cell>
          <cell r="K899" t="str">
            <v>Malpi atun</v>
          </cell>
          <cell r="L899" t="str">
            <v>Malpi_886</v>
          </cell>
          <cell r="M899" t="str">
            <v xml:space="preserve"> =886</v>
          </cell>
          <cell r="O899" t="str">
            <v>Malpighiaceae</v>
          </cell>
          <cell r="R899" t="str">
            <v xml:space="preserve"> </v>
          </cell>
        </row>
        <row r="900">
          <cell r="J900">
            <v>963</v>
          </cell>
          <cell r="K900" t="str">
            <v>Malpi atun</v>
          </cell>
          <cell r="L900" t="str">
            <v>Malpi_886</v>
          </cell>
          <cell r="M900" t="str">
            <v xml:space="preserve"> =886</v>
          </cell>
          <cell r="O900" t="str">
            <v>Malpighiaceae</v>
          </cell>
          <cell r="R900" t="str">
            <v xml:space="preserve"> </v>
          </cell>
        </row>
        <row r="901">
          <cell r="J901">
            <v>964</v>
          </cell>
          <cell r="K901" t="str">
            <v>mikania lenticel</v>
          </cell>
          <cell r="L901" t="str">
            <v>mikania_891</v>
          </cell>
          <cell r="O901" t="str">
            <v>Asteraceae</v>
          </cell>
          <cell r="P901" t="str">
            <v>Mikania</v>
          </cell>
          <cell r="R901" t="str">
            <v xml:space="preserve">Mikania </v>
          </cell>
        </row>
        <row r="902">
          <cell r="J902">
            <v>965</v>
          </cell>
          <cell r="K902" t="str">
            <v>mikania lenticel</v>
          </cell>
          <cell r="L902" t="str">
            <v>mikania_891</v>
          </cell>
          <cell r="O902" t="str">
            <v>Asteraceae</v>
          </cell>
          <cell r="P902" t="str">
            <v>Mikania</v>
          </cell>
          <cell r="R902" t="str">
            <v xml:space="preserve">Mikania </v>
          </cell>
        </row>
        <row r="903">
          <cell r="J903">
            <v>966</v>
          </cell>
          <cell r="K903" t="str">
            <v>mikania lenticel</v>
          </cell>
          <cell r="L903" t="str">
            <v>mikania_891</v>
          </cell>
          <cell r="O903" t="str">
            <v>Asteraceae</v>
          </cell>
          <cell r="P903" t="str">
            <v>Mikania</v>
          </cell>
          <cell r="R903" t="str">
            <v xml:space="preserve">Mikania </v>
          </cell>
        </row>
        <row r="904">
          <cell r="J904">
            <v>967</v>
          </cell>
          <cell r="K904" t="str">
            <v>big pubes</v>
          </cell>
          <cell r="L904" t="str">
            <v>big_pubes_931</v>
          </cell>
          <cell r="M904" t="str">
            <v xml:space="preserve"> =931</v>
          </cell>
          <cell r="O904" t="str">
            <v>Bignoniaceae</v>
          </cell>
          <cell r="R904" t="str">
            <v xml:space="preserve"> </v>
          </cell>
        </row>
        <row r="905">
          <cell r="J905">
            <v>968</v>
          </cell>
          <cell r="K905" t="str">
            <v>mikania lenticel-dulce</v>
          </cell>
          <cell r="L905" t="str">
            <v>mikania lenticel-dulce</v>
          </cell>
          <cell r="O905" t="str">
            <v>Asteraceae</v>
          </cell>
          <cell r="R905" t="str">
            <v xml:space="preserve"> </v>
          </cell>
        </row>
        <row r="906">
          <cell r="J906">
            <v>969</v>
          </cell>
          <cell r="K906" t="str">
            <v>phytolaca</v>
          </cell>
          <cell r="L906" t="str">
            <v>phyto_802</v>
          </cell>
          <cell r="M906" t="str">
            <v xml:space="preserve"> =802</v>
          </cell>
          <cell r="O906" t="str">
            <v>Phytolaccaceae</v>
          </cell>
          <cell r="R906" t="str">
            <v xml:space="preserve"> </v>
          </cell>
        </row>
        <row r="907">
          <cell r="J907">
            <v>970</v>
          </cell>
          <cell r="K907" t="str">
            <v>phytolaca</v>
          </cell>
          <cell r="L907" t="str">
            <v>phyto_802</v>
          </cell>
          <cell r="M907" t="str">
            <v xml:space="preserve"> =802</v>
          </cell>
          <cell r="O907" t="str">
            <v>Phytolaccaceae</v>
          </cell>
          <cell r="R907" t="str">
            <v xml:space="preserve"> </v>
          </cell>
        </row>
        <row r="908">
          <cell r="J908">
            <v>971</v>
          </cell>
          <cell r="K908" t="str">
            <v>big pubescente</v>
          </cell>
          <cell r="L908" t="str">
            <v>big_pubes_931</v>
          </cell>
          <cell r="M908" t="str">
            <v xml:space="preserve"> =931</v>
          </cell>
          <cell r="O908" t="str">
            <v>Bignoniaceae</v>
          </cell>
          <cell r="R908" t="str">
            <v xml:space="preserve"> </v>
          </cell>
        </row>
        <row r="909">
          <cell r="J909">
            <v>972</v>
          </cell>
          <cell r="K909" t="str">
            <v>mikania lisa lenticel</v>
          </cell>
          <cell r="L909" t="str">
            <v>mikania lisa lenticel</v>
          </cell>
          <cell r="O909" t="str">
            <v>Asteraceae</v>
          </cell>
          <cell r="R909" t="str">
            <v xml:space="preserve"> </v>
          </cell>
        </row>
        <row r="910">
          <cell r="J910">
            <v>973</v>
          </cell>
          <cell r="K910" t="str">
            <v>Paullinia</v>
          </cell>
          <cell r="L910" t="str">
            <v>Paullinia</v>
          </cell>
          <cell r="O910" t="str">
            <v>Sapindaceae</v>
          </cell>
          <cell r="P910" t="str">
            <v>Paullinia</v>
          </cell>
          <cell r="R910" t="str">
            <v xml:space="preserve">Paullinia </v>
          </cell>
        </row>
        <row r="911">
          <cell r="J911">
            <v>974</v>
          </cell>
          <cell r="K911" t="str">
            <v>big pubescente</v>
          </cell>
          <cell r="L911" t="str">
            <v>big_pubes_931</v>
          </cell>
          <cell r="M911" t="str">
            <v xml:space="preserve"> =931</v>
          </cell>
          <cell r="O911" t="str">
            <v>Bignoniaceae</v>
          </cell>
          <cell r="R911" t="str">
            <v xml:space="preserve"> </v>
          </cell>
        </row>
        <row r="912">
          <cell r="J912">
            <v>975</v>
          </cell>
          <cell r="K912" t="str">
            <v>Paullinia</v>
          </cell>
          <cell r="L912" t="str">
            <v>Paullinia</v>
          </cell>
          <cell r="O912" t="str">
            <v>Sapindaceae</v>
          </cell>
          <cell r="P912" t="str">
            <v>Paullinia</v>
          </cell>
          <cell r="R912" t="str">
            <v xml:space="preserve">Paullinia </v>
          </cell>
        </row>
        <row r="913">
          <cell r="J913">
            <v>976</v>
          </cell>
          <cell r="K913" t="str">
            <v>mikania fisurado, blanco grande</v>
          </cell>
          <cell r="L913" t="str">
            <v>Ast_946</v>
          </cell>
          <cell r="M913" t="str">
            <v xml:space="preserve"> =946</v>
          </cell>
          <cell r="O913" t="str">
            <v>Asteraceae</v>
          </cell>
          <cell r="P913" t="str">
            <v>Mikania</v>
          </cell>
          <cell r="R913" t="str">
            <v xml:space="preserve">Mikania </v>
          </cell>
        </row>
        <row r="914">
          <cell r="J914">
            <v>977</v>
          </cell>
          <cell r="K914" t="str">
            <v>Melas v pilosa café</v>
          </cell>
          <cell r="L914" t="str">
            <v>Topobea sp. 1</v>
          </cell>
          <cell r="M914" t="str">
            <v xml:space="preserve"> =981, =1072</v>
          </cell>
          <cell r="O914" t="str">
            <v>Melastomataceae</v>
          </cell>
          <cell r="P914" t="str">
            <v>Topobea</v>
          </cell>
          <cell r="R914" t="str">
            <v xml:space="preserve">Topobea </v>
          </cell>
        </row>
        <row r="915">
          <cell r="J915">
            <v>978</v>
          </cell>
          <cell r="K915" t="str">
            <v>Sp. Suculenta</v>
          </cell>
          <cell r="L915" t="str">
            <v>Sp_Suculenta_978</v>
          </cell>
          <cell r="M915" t="str">
            <v xml:space="preserve"> =978, =1070</v>
          </cell>
          <cell r="O915" t="str">
            <v>Asteraceae</v>
          </cell>
          <cell r="P915" t="str">
            <v>0_cf. Baccharis</v>
          </cell>
          <cell r="R915" t="str">
            <v xml:space="preserve">0_cf. Baccharis </v>
          </cell>
        </row>
        <row r="916">
          <cell r="J916">
            <v>979</v>
          </cell>
          <cell r="K916" t="str">
            <v>Sp. Suculenta</v>
          </cell>
          <cell r="L916" t="str">
            <v>Sp_Suculenta_978</v>
          </cell>
          <cell r="M916" t="str">
            <v xml:space="preserve"> =978, =1070</v>
          </cell>
          <cell r="N916" t="str">
            <v>Berthil (Asteraceae o Solanaceae)</v>
          </cell>
          <cell r="O916" t="str">
            <v>Asteraceae</v>
          </cell>
          <cell r="P916" t="str">
            <v>0_cf. Baccharis</v>
          </cell>
          <cell r="R916" t="str">
            <v xml:space="preserve">0_cf. Baccharis </v>
          </cell>
        </row>
        <row r="917">
          <cell r="J917">
            <v>980</v>
          </cell>
          <cell r="K917" t="str">
            <v>magravia</v>
          </cell>
          <cell r="L917" t="str">
            <v>Marcgravia_849</v>
          </cell>
          <cell r="M917" t="str">
            <v xml:space="preserve"> =836</v>
          </cell>
          <cell r="N917" t="str">
            <v>Berthil (marcgravia), =849, 980</v>
          </cell>
          <cell r="O917" t="str">
            <v>Marcgraviaceae</v>
          </cell>
          <cell r="P917" t="str">
            <v>Marcgravia</v>
          </cell>
          <cell r="R917" t="str">
            <v xml:space="preserve">Marcgravia </v>
          </cell>
        </row>
        <row r="918">
          <cell r="J918">
            <v>981</v>
          </cell>
          <cell r="K918" t="str">
            <v>magravia</v>
          </cell>
          <cell r="L918" t="str">
            <v>Topobea sp. 1</v>
          </cell>
          <cell r="M918" t="str">
            <v xml:space="preserve"> =836, =981</v>
          </cell>
          <cell r="O918" t="str">
            <v>Marcgraviaceae</v>
          </cell>
          <cell r="P918" t="str">
            <v>Marcgravia</v>
          </cell>
          <cell r="R918" t="str">
            <v xml:space="preserve">Marcgravia </v>
          </cell>
        </row>
        <row r="919">
          <cell r="J919">
            <v>982</v>
          </cell>
          <cell r="K919" t="str">
            <v>magravia</v>
          </cell>
          <cell r="L919" t="str">
            <v>Marcgravia_849</v>
          </cell>
          <cell r="M919" t="str">
            <v xml:space="preserve"> =836</v>
          </cell>
          <cell r="O919" t="str">
            <v>Marcgraviaceae</v>
          </cell>
          <cell r="P919" t="str">
            <v>Marcgravia</v>
          </cell>
          <cell r="R919" t="str">
            <v xml:space="preserve">Marcgravia </v>
          </cell>
        </row>
        <row r="920">
          <cell r="J920">
            <v>983</v>
          </cell>
          <cell r="K920" t="str">
            <v>Sp. Suculenta</v>
          </cell>
          <cell r="L920" t="str">
            <v>Sp_Suculenta_978</v>
          </cell>
          <cell r="O920" t="str">
            <v>Asteraceae</v>
          </cell>
          <cell r="P920" t="str">
            <v>0_cf. Baccharis</v>
          </cell>
          <cell r="R920" t="str">
            <v xml:space="preserve">0_cf. Baccharis </v>
          </cell>
        </row>
        <row r="921">
          <cell r="J921">
            <v>984</v>
          </cell>
          <cell r="K921" t="str">
            <v>Sp. Suculenta</v>
          </cell>
          <cell r="L921" t="str">
            <v>Sp_Suculenta_978</v>
          </cell>
          <cell r="O921" t="str">
            <v>Asteraceae</v>
          </cell>
          <cell r="P921" t="str">
            <v>0_cf. Baccharis</v>
          </cell>
          <cell r="R921" t="str">
            <v xml:space="preserve">0_cf. Baccharis </v>
          </cell>
        </row>
        <row r="922">
          <cell r="J922">
            <v>985</v>
          </cell>
          <cell r="K922" t="str">
            <v>Clusia</v>
          </cell>
          <cell r="L922" t="str">
            <v>Clusia_985</v>
          </cell>
          <cell r="N922" t="str">
            <v>Check: Berthil (rubiaceae, schradera)</v>
          </cell>
          <cell r="O922" t="str">
            <v>0_Clusiaceae o rubiaceae</v>
          </cell>
          <cell r="P922" t="str">
            <v>0_Clusia o Scharadera</v>
          </cell>
          <cell r="R922" t="str">
            <v xml:space="preserve">0_Clusia o Scharadera </v>
          </cell>
        </row>
        <row r="923">
          <cell r="J923">
            <v>986</v>
          </cell>
          <cell r="K923" t="str">
            <v>Asteraceae Pentacalia, hojas largas</v>
          </cell>
          <cell r="L923" t="str">
            <v>Pentacalia_790</v>
          </cell>
          <cell r="M923" t="str">
            <v xml:space="preserve"> =770, 790, =986, =1044</v>
          </cell>
          <cell r="N923" t="str">
            <v>Berthil (Asteraceae)</v>
          </cell>
          <cell r="O923" t="str">
            <v>Asteraceae</v>
          </cell>
          <cell r="P923" t="str">
            <v>Pentacalia</v>
          </cell>
          <cell r="R923" t="str">
            <v xml:space="preserve">Pentacalia </v>
          </cell>
        </row>
        <row r="924">
          <cell r="J924">
            <v>987</v>
          </cell>
          <cell r="K924" t="str">
            <v>Magravia</v>
          </cell>
          <cell r="L924" t="str">
            <v>Marcgravia_849</v>
          </cell>
          <cell r="M924" t="str">
            <v xml:space="preserve"> =784</v>
          </cell>
          <cell r="N924" t="str">
            <v>check: Berthil (Melastomataceae, Blakea), 987, 799, 784, 1095</v>
          </cell>
          <cell r="O924" t="str">
            <v>Marcgraviaceae</v>
          </cell>
          <cell r="P924" t="str">
            <v>Marcgravia</v>
          </cell>
          <cell r="R924" t="str">
            <v xml:space="preserve">Marcgravia </v>
          </cell>
        </row>
        <row r="925">
          <cell r="J925">
            <v>988</v>
          </cell>
          <cell r="K925" t="str">
            <v>Menis fruto tomate</v>
          </cell>
          <cell r="L925" t="str">
            <v>menis_906</v>
          </cell>
          <cell r="M925" t="str">
            <v xml:space="preserve"> =906</v>
          </cell>
          <cell r="N925" t="str">
            <v>Berthil (menispermaceae), =988, 906</v>
          </cell>
          <cell r="O925" t="str">
            <v>Menispermaceae</v>
          </cell>
          <cell r="R925" t="str">
            <v xml:space="preserve"> </v>
          </cell>
        </row>
        <row r="926">
          <cell r="J926">
            <v>989</v>
          </cell>
          <cell r="K926" t="str">
            <v>Menis fruto tomate</v>
          </cell>
          <cell r="L926" t="str">
            <v>menis_906</v>
          </cell>
          <cell r="M926" t="str">
            <v xml:space="preserve"> =906</v>
          </cell>
          <cell r="N926" t="str">
            <v>Berthil (menispermaceae), =988, 906</v>
          </cell>
          <cell r="O926" t="str">
            <v>Menispermaceae</v>
          </cell>
          <cell r="R926" t="str">
            <v xml:space="preserve"> </v>
          </cell>
        </row>
        <row r="927">
          <cell r="J927">
            <v>990</v>
          </cell>
          <cell r="K927" t="str">
            <v>solandra?</v>
          </cell>
          <cell r="L927" t="str">
            <v>solandra_990</v>
          </cell>
          <cell r="N927" t="str">
            <v>Berthil (Solanaceae)</v>
          </cell>
          <cell r="O927" t="str">
            <v>Solanaceae</v>
          </cell>
          <cell r="P927" t="str">
            <v>Solandra</v>
          </cell>
          <cell r="R927" t="str">
            <v xml:space="preserve">Solandra </v>
          </cell>
        </row>
        <row r="928">
          <cell r="J928">
            <v>991</v>
          </cell>
          <cell r="K928" t="str">
            <v>Mikania crassa, mal olor</v>
          </cell>
          <cell r="L928" t="str">
            <v>Mikania crassa, mal olor</v>
          </cell>
          <cell r="O928" t="str">
            <v>Asteraceae</v>
          </cell>
          <cell r="P928" t="str">
            <v>Mikania</v>
          </cell>
          <cell r="R928" t="str">
            <v xml:space="preserve">Mikania </v>
          </cell>
        </row>
        <row r="929">
          <cell r="J929">
            <v>992</v>
          </cell>
          <cell r="K929" t="str">
            <v>Mikania crassa, mal olor</v>
          </cell>
          <cell r="L929" t="str">
            <v>Mikania crassa, mal olor</v>
          </cell>
          <cell r="N929" t="str">
            <v>Berthil (mikania)</v>
          </cell>
          <cell r="O929" t="str">
            <v>Asteraceae</v>
          </cell>
          <cell r="P929" t="str">
            <v>Mikania</v>
          </cell>
          <cell r="R929" t="str">
            <v xml:space="preserve">Mikania </v>
          </cell>
        </row>
        <row r="930">
          <cell r="J930">
            <v>993</v>
          </cell>
          <cell r="K930" t="str">
            <v>Mikania crassa, mal olor</v>
          </cell>
          <cell r="L930" t="str">
            <v>Mikania crassa, mal olor</v>
          </cell>
          <cell r="O930" t="str">
            <v>Asteraceae</v>
          </cell>
          <cell r="P930" t="str">
            <v>Mikania</v>
          </cell>
          <cell r="R930" t="str">
            <v xml:space="preserve">Mikania </v>
          </cell>
        </row>
        <row r="931">
          <cell r="J931">
            <v>994</v>
          </cell>
          <cell r="K931" t="str">
            <v>Melas sesil</v>
          </cell>
          <cell r="L931" t="str">
            <v>Melas sesil</v>
          </cell>
          <cell r="M931" t="str">
            <v xml:space="preserve"> =994</v>
          </cell>
          <cell r="N931" t="str">
            <v>Berthil (=994, 1078)</v>
          </cell>
          <cell r="O931" t="str">
            <v>Melastomataceae</v>
          </cell>
          <cell r="P931" t="str">
            <v>0_adelobotyrs o blakea</v>
          </cell>
          <cell r="R931" t="str">
            <v xml:space="preserve">0_adelobotyrs o blakea </v>
          </cell>
        </row>
        <row r="932">
          <cell r="J932">
            <v>995</v>
          </cell>
          <cell r="K932" t="str">
            <v>siphocampylus, blanco-café leche</v>
          </cell>
          <cell r="L932" t="str">
            <v>siphocampylus_995</v>
          </cell>
          <cell r="N932" t="str">
            <v>Berthil (Siphocampylus)</v>
          </cell>
          <cell r="O932" t="str">
            <v>Campanulaceae</v>
          </cell>
          <cell r="P932" t="str">
            <v>Siphocampylus</v>
          </cell>
          <cell r="R932" t="str">
            <v xml:space="preserve">Siphocampylus </v>
          </cell>
        </row>
        <row r="933">
          <cell r="J933">
            <v>996</v>
          </cell>
          <cell r="K933" t="str">
            <v>Mikania crassa, mal olor</v>
          </cell>
          <cell r="L933" t="str">
            <v>Mikania crassa, mal olor</v>
          </cell>
          <cell r="O933" t="str">
            <v>Asteraceae</v>
          </cell>
          <cell r="P933" t="str">
            <v>Mikania</v>
          </cell>
          <cell r="R933" t="str">
            <v xml:space="preserve">Mikania </v>
          </cell>
        </row>
        <row r="934">
          <cell r="J934">
            <v>997</v>
          </cell>
          <cell r="K934" t="str">
            <v>Sp. suculenta</v>
          </cell>
          <cell r="L934" t="str">
            <v>Sp_Suculenta_978</v>
          </cell>
          <cell r="M934" t="str">
            <v xml:space="preserve"> =978, =979</v>
          </cell>
          <cell r="O934" t="str">
            <v>Asteraceae</v>
          </cell>
          <cell r="P934" t="str">
            <v>0_cf. Baccharis</v>
          </cell>
          <cell r="R934" t="str">
            <v xml:space="preserve">0_cf. Baccharis </v>
          </cell>
        </row>
        <row r="935">
          <cell r="J935">
            <v>998</v>
          </cell>
          <cell r="K935" t="str">
            <v>Sp. Suculenta, tallo verde</v>
          </cell>
          <cell r="L935" t="str">
            <v>Sp_Suculenta_978</v>
          </cell>
          <cell r="M935" t="str">
            <v xml:space="preserve"> =978, =979</v>
          </cell>
          <cell r="O935" t="str">
            <v>Asteraceae</v>
          </cell>
          <cell r="P935" t="str">
            <v>0_cf. Baccharis</v>
          </cell>
          <cell r="R935" t="str">
            <v xml:space="preserve">0_cf. Baccharis </v>
          </cell>
        </row>
        <row r="936">
          <cell r="J936">
            <v>999</v>
          </cell>
          <cell r="K936" t="str">
            <v>Sp. Suculenta, tallo verde</v>
          </cell>
          <cell r="L936" t="str">
            <v>Sp_Suculenta_978</v>
          </cell>
          <cell r="O936" t="str">
            <v>Asteraceae</v>
          </cell>
          <cell r="P936" t="str">
            <v>0_cf. Baccharis</v>
          </cell>
          <cell r="R936" t="str">
            <v xml:space="preserve">0_cf. Baccharis </v>
          </cell>
        </row>
        <row r="937">
          <cell r="J937">
            <v>1000</v>
          </cell>
          <cell r="K937" t="str">
            <v>Malpi glandula, tallo irregular</v>
          </cell>
          <cell r="L937" t="str">
            <v>Malpi_1000</v>
          </cell>
          <cell r="M937" t="str">
            <v xml:space="preserve"> =1000</v>
          </cell>
          <cell r="O937" t="str">
            <v>Malpighiaceae</v>
          </cell>
          <cell r="R937" t="str">
            <v xml:space="preserve"> </v>
          </cell>
        </row>
        <row r="938">
          <cell r="J938">
            <v>1001</v>
          </cell>
          <cell r="K938" t="str">
            <v>Trifol</v>
          </cell>
          <cell r="L938" t="str">
            <v>Cissus_trifol</v>
          </cell>
          <cell r="O938" t="str">
            <v>Vitaceae</v>
          </cell>
          <cell r="P938" t="str">
            <v xml:space="preserve">Cissus </v>
          </cell>
          <cell r="Q938" t="str">
            <v>trifoliata</v>
          </cell>
          <cell r="R938" t="str">
            <v>Cissus  trifoliata</v>
          </cell>
        </row>
        <row r="939">
          <cell r="J939">
            <v>1002</v>
          </cell>
          <cell r="K939" t="str">
            <v>Trifol</v>
          </cell>
          <cell r="L939" t="str">
            <v>Cissus_trifol</v>
          </cell>
          <cell r="O939" t="str">
            <v>Vitaceae</v>
          </cell>
          <cell r="P939" t="str">
            <v xml:space="preserve">Cissus </v>
          </cell>
          <cell r="Q939" t="str">
            <v>trifoliata</v>
          </cell>
          <cell r="R939" t="str">
            <v>Cissus  trifoliata</v>
          </cell>
        </row>
        <row r="940">
          <cell r="J940">
            <v>1003</v>
          </cell>
          <cell r="K940" t="str">
            <v>Trifol</v>
          </cell>
          <cell r="L940" t="str">
            <v>Cissus_trifol</v>
          </cell>
          <cell r="O940" t="str">
            <v>Vitaceae</v>
          </cell>
          <cell r="P940" t="str">
            <v xml:space="preserve">Cissus </v>
          </cell>
          <cell r="Q940" t="str">
            <v>trifoliata</v>
          </cell>
          <cell r="R940" t="str">
            <v>Cissus  trifoliata</v>
          </cell>
        </row>
        <row r="941">
          <cell r="J941">
            <v>1004</v>
          </cell>
          <cell r="K941" t="str">
            <v>Lenticel terna</v>
          </cell>
          <cell r="L941" t="str">
            <v>Lenticel terna</v>
          </cell>
          <cell r="R941" t="str">
            <v xml:space="preserve"> </v>
          </cell>
        </row>
        <row r="942">
          <cell r="J942">
            <v>1005</v>
          </cell>
          <cell r="K942" t="str">
            <v>apo peludo</v>
          </cell>
          <cell r="L942" t="str">
            <v>Apoc_303</v>
          </cell>
          <cell r="M942" t="str">
            <v xml:space="preserve"> =303</v>
          </cell>
          <cell r="O942" t="str">
            <v>Apocynaceae</v>
          </cell>
          <cell r="P942" t="str">
            <v>Macroscepis</v>
          </cell>
          <cell r="Q942" t="str">
            <v>hirsuta</v>
          </cell>
          <cell r="R942" t="str">
            <v>Macroscepis hirsuta</v>
          </cell>
        </row>
        <row r="943">
          <cell r="J943">
            <v>1006</v>
          </cell>
          <cell r="K943" t="str">
            <v>Rama sp. 6 fisurada</v>
          </cell>
          <cell r="L943" t="str">
            <v>blanca suave</v>
          </cell>
          <cell r="M943" t="str">
            <v xml:space="preserve"> =1006</v>
          </cell>
          <cell r="R943" t="str">
            <v xml:space="preserve"> </v>
          </cell>
        </row>
        <row r="944">
          <cell r="J944">
            <v>1007</v>
          </cell>
          <cell r="K944" t="str">
            <v>Rama sp. 6 fisurada</v>
          </cell>
          <cell r="L944" t="str">
            <v>blanca suave</v>
          </cell>
          <cell r="M944" t="str">
            <v xml:space="preserve"> =1006</v>
          </cell>
          <cell r="R944" t="str">
            <v xml:space="preserve"> </v>
          </cell>
        </row>
        <row r="945">
          <cell r="J945">
            <v>1008</v>
          </cell>
          <cell r="K945" t="str">
            <v>gurania cucur</v>
          </cell>
          <cell r="L945" t="str">
            <v>Cuc_1019</v>
          </cell>
          <cell r="M945" t="str">
            <v xml:space="preserve"> =326, =1019</v>
          </cell>
          <cell r="O945" t="str">
            <v>Cucurbitaceae</v>
          </cell>
          <cell r="P945" t="str">
            <v>Selysia</v>
          </cell>
          <cell r="Q945" t="str">
            <v>cf. prunifera</v>
          </cell>
          <cell r="R945" t="str">
            <v>Selysia cf. prunifera</v>
          </cell>
        </row>
        <row r="946">
          <cell r="J946">
            <v>1009</v>
          </cell>
          <cell r="K946" t="str">
            <v>sejania lenticel sapiu</v>
          </cell>
          <cell r="L946" t="str">
            <v>sejania lenticel sapiu</v>
          </cell>
          <cell r="N946" t="str">
            <v>Berthil (Sapindaceae, cardiospermum), = 315, 1009</v>
          </cell>
          <cell r="O946" t="str">
            <v>Sapindaceae</v>
          </cell>
          <cell r="P946" t="str">
            <v>0_cf. Cardiospermum</v>
          </cell>
          <cell r="R946" t="str">
            <v xml:space="preserve">0_cf. Cardiospermum </v>
          </cell>
        </row>
        <row r="947">
          <cell r="J947">
            <v>1010</v>
          </cell>
          <cell r="K947" t="str">
            <v>Cissus trifol</v>
          </cell>
          <cell r="L947" t="str">
            <v>Cissus_trifol</v>
          </cell>
          <cell r="O947" t="str">
            <v>Vitaceae</v>
          </cell>
          <cell r="P947" t="str">
            <v xml:space="preserve">Cissus </v>
          </cell>
          <cell r="Q947" t="str">
            <v>trifoliata</v>
          </cell>
          <cell r="R947" t="str">
            <v>Cissus  trifoliata</v>
          </cell>
        </row>
        <row r="948">
          <cell r="J948">
            <v>1011</v>
          </cell>
          <cell r="K948" t="str">
            <v>Cissus trifol</v>
          </cell>
          <cell r="L948" t="str">
            <v>Cissus_trifol</v>
          </cell>
          <cell r="O948" t="str">
            <v>Vitaceae</v>
          </cell>
          <cell r="P948" t="str">
            <v xml:space="preserve">Cissus </v>
          </cell>
          <cell r="Q948" t="str">
            <v>trifoliata</v>
          </cell>
          <cell r="R948" t="str">
            <v>Cissus  trifoliata</v>
          </cell>
        </row>
        <row r="949">
          <cell r="J949">
            <v>1012</v>
          </cell>
          <cell r="K949" t="str">
            <v>Cissus trifol</v>
          </cell>
          <cell r="L949" t="str">
            <v>Cissus_trifol</v>
          </cell>
          <cell r="O949" t="str">
            <v>Vitaceae</v>
          </cell>
          <cell r="P949" t="str">
            <v xml:space="preserve">Cissus </v>
          </cell>
          <cell r="Q949" t="str">
            <v>trifoliata</v>
          </cell>
          <cell r="R949" t="str">
            <v>Cissus  trifoliata</v>
          </cell>
        </row>
        <row r="950">
          <cell r="J950">
            <v>1013</v>
          </cell>
          <cell r="K950" t="str">
            <v>Cissus trifol</v>
          </cell>
          <cell r="L950" t="str">
            <v>Cissus_trifol</v>
          </cell>
          <cell r="O950" t="str">
            <v>Vitaceae</v>
          </cell>
          <cell r="P950" t="str">
            <v xml:space="preserve">Cissus </v>
          </cell>
          <cell r="Q950" t="str">
            <v>trifoliata</v>
          </cell>
          <cell r="R950" t="str">
            <v>Cissus  trifoliata</v>
          </cell>
        </row>
        <row r="951">
          <cell r="J951">
            <v>1014</v>
          </cell>
          <cell r="K951" t="str">
            <v>Cissus trifol</v>
          </cell>
          <cell r="L951" t="str">
            <v>Cissus_trifol_raiz</v>
          </cell>
          <cell r="O951" t="str">
            <v>Vitaceae</v>
          </cell>
          <cell r="P951" t="str">
            <v xml:space="preserve">Cissus </v>
          </cell>
          <cell r="Q951" t="str">
            <v>trifoliata</v>
          </cell>
          <cell r="R951" t="str">
            <v>Cissus  trifoliata</v>
          </cell>
        </row>
        <row r="952">
          <cell r="J952">
            <v>1015</v>
          </cell>
          <cell r="K952" t="str">
            <v>Cissus trifol</v>
          </cell>
          <cell r="L952" t="str">
            <v>Cissus_trifol_raiz</v>
          </cell>
          <cell r="O952" t="str">
            <v>Vitaceae</v>
          </cell>
          <cell r="P952" t="str">
            <v xml:space="preserve">Cissus </v>
          </cell>
          <cell r="Q952" t="str">
            <v>trifoliata</v>
          </cell>
          <cell r="R952" t="str">
            <v>Cissus  trifoliata</v>
          </cell>
        </row>
        <row r="953">
          <cell r="J953">
            <v>1016</v>
          </cell>
          <cell r="K953" t="str">
            <v>Cissus trifol</v>
          </cell>
          <cell r="L953" t="str">
            <v>Cissus_trifol</v>
          </cell>
          <cell r="O953" t="str">
            <v>Vitaceae</v>
          </cell>
          <cell r="P953" t="str">
            <v xml:space="preserve">Cissus </v>
          </cell>
          <cell r="Q953" t="str">
            <v>trifoliata</v>
          </cell>
          <cell r="R953" t="str">
            <v>Cissus  trifoliata</v>
          </cell>
        </row>
        <row r="954">
          <cell r="J954">
            <v>1017</v>
          </cell>
          <cell r="K954" t="str">
            <v>fab</v>
          </cell>
          <cell r="L954" t="str">
            <v>Fab_284</v>
          </cell>
          <cell r="M954" t="str">
            <v xml:space="preserve"> =284</v>
          </cell>
          <cell r="N954" t="str">
            <v>Berthil (fabaceae)</v>
          </cell>
          <cell r="O954" t="str">
            <v>Fabaceae</v>
          </cell>
          <cell r="P954" t="str">
            <v>0_cf. Dalbergia</v>
          </cell>
          <cell r="R954" t="str">
            <v xml:space="preserve">0_cf. Dalbergia </v>
          </cell>
        </row>
        <row r="955">
          <cell r="J955">
            <v>1018</v>
          </cell>
          <cell r="K955" t="str">
            <v>Baccharis sp. 1</v>
          </cell>
          <cell r="L955" t="str">
            <v>Baccharis_517</v>
          </cell>
          <cell r="N955" t="str">
            <v>Berthil (Asteraceae)</v>
          </cell>
          <cell r="O955" t="str">
            <v>Asteraceae</v>
          </cell>
          <cell r="R955" t="str">
            <v xml:space="preserve"> </v>
          </cell>
        </row>
        <row r="956">
          <cell r="J956">
            <v>1019</v>
          </cell>
          <cell r="K956" t="str">
            <v>Gurania cucurbita</v>
          </cell>
          <cell r="L956" t="str">
            <v>Cuc_1019</v>
          </cell>
          <cell r="M956" t="str">
            <v xml:space="preserve"> =326, =1019</v>
          </cell>
          <cell r="N956" t="str">
            <v>Berthil (Gurania)</v>
          </cell>
          <cell r="O956" t="str">
            <v>Cucurbitaceae</v>
          </cell>
          <cell r="P956" t="str">
            <v>Selysia</v>
          </cell>
          <cell r="Q956" t="str">
            <v>cf. prunifera</v>
          </cell>
          <cell r="R956" t="str">
            <v>Selysia cf. prunifera</v>
          </cell>
        </row>
        <row r="957">
          <cell r="J957">
            <v>1020</v>
          </cell>
          <cell r="K957" t="str">
            <v>Gurania cucur</v>
          </cell>
          <cell r="L957" t="str">
            <v>Cuc_1019</v>
          </cell>
          <cell r="M957" t="str">
            <v xml:space="preserve"> =326, =1019</v>
          </cell>
          <cell r="O957" t="str">
            <v>Cucurbitaceae</v>
          </cell>
          <cell r="P957" t="str">
            <v>Selysia</v>
          </cell>
          <cell r="Q957" t="str">
            <v>cf. prunifera</v>
          </cell>
          <cell r="R957" t="str">
            <v>Selysia cf. prunifera</v>
          </cell>
        </row>
        <row r="958">
          <cell r="J958">
            <v>1021</v>
          </cell>
          <cell r="K958" t="str">
            <v>fab</v>
          </cell>
          <cell r="L958" t="str">
            <v>Fab_284</v>
          </cell>
          <cell r="M958" t="str">
            <v xml:space="preserve"> =284</v>
          </cell>
          <cell r="O958" t="str">
            <v>Fabaceae</v>
          </cell>
          <cell r="P958" t="str">
            <v>0_cf. Dalbergia</v>
          </cell>
          <cell r="R958" t="str">
            <v xml:space="preserve">0_cf. Dalbergia </v>
          </cell>
        </row>
        <row r="959">
          <cell r="J959">
            <v>1022</v>
          </cell>
          <cell r="K959" t="str">
            <v>Paullinia</v>
          </cell>
          <cell r="L959" t="str">
            <v>Paullinia_lisa</v>
          </cell>
          <cell r="O959" t="str">
            <v>Sapindaceae</v>
          </cell>
          <cell r="P959" t="str">
            <v>Paullinia</v>
          </cell>
          <cell r="R959" t="str">
            <v xml:space="preserve">Paullinia </v>
          </cell>
        </row>
        <row r="960">
          <cell r="J960">
            <v>1023</v>
          </cell>
          <cell r="K960" t="str">
            <v>Paullinia</v>
          </cell>
          <cell r="L960" t="str">
            <v>Paullinia_lisa</v>
          </cell>
          <cell r="O960" t="str">
            <v>Sapindaceae</v>
          </cell>
          <cell r="P960" t="str">
            <v>Paullinia</v>
          </cell>
          <cell r="R960" t="str">
            <v xml:space="preserve">Paullinia </v>
          </cell>
        </row>
        <row r="961">
          <cell r="J961">
            <v>1024</v>
          </cell>
          <cell r="K961" t="str">
            <v>Cissus trifol</v>
          </cell>
          <cell r="L961" t="str">
            <v>Cissus_trifol</v>
          </cell>
          <cell r="O961" t="str">
            <v>Vitaceae</v>
          </cell>
          <cell r="P961" t="str">
            <v xml:space="preserve">Cissus </v>
          </cell>
          <cell r="Q961" t="str">
            <v>trifoliata</v>
          </cell>
          <cell r="R961" t="str">
            <v>Cissus  trifoliata</v>
          </cell>
        </row>
        <row r="962">
          <cell r="J962">
            <v>1025</v>
          </cell>
          <cell r="K962" t="str">
            <v>H.S.A. Cp.</v>
          </cell>
          <cell r="L962" t="str">
            <v>No_Tropeolum_1026</v>
          </cell>
          <cell r="M962" t="str">
            <v xml:space="preserve"> =1025</v>
          </cell>
          <cell r="O962" t="str">
            <v>0_Tropeollaceae, aristolochia, menispermaceae</v>
          </cell>
          <cell r="P962" t="str">
            <v>Tropeolum</v>
          </cell>
          <cell r="Q962" t="str">
            <v>aff. papillosum</v>
          </cell>
          <cell r="R962" t="str">
            <v>Tropeolum aff. papillosum</v>
          </cell>
        </row>
        <row r="963">
          <cell r="J963">
            <v>1026</v>
          </cell>
          <cell r="K963" t="str">
            <v>H.S.A. Cp.</v>
          </cell>
          <cell r="L963" t="str">
            <v>No_Tropeolum_1026</v>
          </cell>
          <cell r="M963" t="str">
            <v xml:space="preserve"> =1025</v>
          </cell>
          <cell r="N963" t="str">
            <v>Berthil (Tropeolum, Aristolochia??, Menispermaceae??))</v>
          </cell>
          <cell r="O963" t="str">
            <v>0_Tropeollaceae, aristolochia, menispermaceae</v>
          </cell>
          <cell r="P963" t="str">
            <v>Tropeolum</v>
          </cell>
          <cell r="Q963" t="str">
            <v>aff. papillosum</v>
          </cell>
          <cell r="R963" t="str">
            <v>Tropeolum aff. papillosum</v>
          </cell>
        </row>
        <row r="964">
          <cell r="J964">
            <v>1027</v>
          </cell>
          <cell r="K964" t="str">
            <v>Gurania</v>
          </cell>
          <cell r="L964" t="str">
            <v>Cuc_1019</v>
          </cell>
          <cell r="M964" t="str">
            <v xml:space="preserve"> =326, =1019</v>
          </cell>
          <cell r="O964" t="str">
            <v>Cucurbitaceae</v>
          </cell>
          <cell r="P964" t="str">
            <v>Selysia</v>
          </cell>
          <cell r="Q964" t="str">
            <v>cf. prunifera</v>
          </cell>
          <cell r="R964" t="str">
            <v>Selysia cf. prunifera</v>
          </cell>
        </row>
        <row r="965">
          <cell r="J965">
            <v>1028</v>
          </cell>
          <cell r="K965" t="str">
            <v>Cissus trifol</v>
          </cell>
          <cell r="L965" t="str">
            <v>Cissus_trifol</v>
          </cell>
          <cell r="O965" t="str">
            <v>Vitaceae</v>
          </cell>
          <cell r="P965" t="str">
            <v xml:space="preserve">Cissus </v>
          </cell>
          <cell r="Q965" t="str">
            <v>trifoliata</v>
          </cell>
          <cell r="R965" t="str">
            <v>Cissus  trifoliata</v>
          </cell>
        </row>
        <row r="966">
          <cell r="J966">
            <v>1029</v>
          </cell>
          <cell r="K966" t="str">
            <v>Cissus trifol</v>
          </cell>
          <cell r="L966" t="str">
            <v>Cissus_trifol</v>
          </cell>
          <cell r="O966" t="str">
            <v>Vitaceae</v>
          </cell>
          <cell r="P966" t="str">
            <v xml:space="preserve">Cissus </v>
          </cell>
          <cell r="Q966" t="str">
            <v>trifoliata</v>
          </cell>
          <cell r="R966" t="str">
            <v>Cissus  trifoliata</v>
          </cell>
        </row>
        <row r="967">
          <cell r="J967">
            <v>1041</v>
          </cell>
          <cell r="K967" t="str">
            <v>Malpi glandulas</v>
          </cell>
          <cell r="L967" t="str">
            <v>Malpi_1000</v>
          </cell>
          <cell r="M967" t="str">
            <v xml:space="preserve"> =1000</v>
          </cell>
          <cell r="O967" t="str">
            <v>Malpighiaceae</v>
          </cell>
          <cell r="R967" t="str">
            <v xml:space="preserve"> </v>
          </cell>
        </row>
        <row r="968">
          <cell r="J968">
            <v>1042</v>
          </cell>
          <cell r="K968" t="str">
            <v>Malpi glandulas</v>
          </cell>
          <cell r="L968" t="str">
            <v>Malpi_1000</v>
          </cell>
          <cell r="M968" t="str">
            <v xml:space="preserve"> =1000</v>
          </cell>
          <cell r="O968" t="str">
            <v>Malpighiaceae</v>
          </cell>
          <cell r="R968" t="str">
            <v xml:space="preserve"> </v>
          </cell>
        </row>
        <row r="969">
          <cell r="J969">
            <v>1043</v>
          </cell>
          <cell r="K969" t="str">
            <v>Malpi glandulas</v>
          </cell>
          <cell r="L969" t="str">
            <v>Malpi_1000</v>
          </cell>
          <cell r="M969" t="str">
            <v xml:space="preserve"> =1000</v>
          </cell>
          <cell r="O969" t="str">
            <v>Malpighiaceae</v>
          </cell>
          <cell r="R969" t="str">
            <v xml:space="preserve"> </v>
          </cell>
        </row>
        <row r="970">
          <cell r="J970">
            <v>1044</v>
          </cell>
          <cell r="K970" t="str">
            <v>Pentacalia sp. 1, dura</v>
          </cell>
          <cell r="L970" t="str">
            <v>Pentacalia_790</v>
          </cell>
          <cell r="M970" t="str">
            <v xml:space="preserve"> =770, 790, 986</v>
          </cell>
          <cell r="O970" t="str">
            <v>Asteraceae</v>
          </cell>
          <cell r="P970" t="str">
            <v>Pentacalia</v>
          </cell>
          <cell r="R970" t="str">
            <v xml:space="preserve">Pentacalia </v>
          </cell>
        </row>
        <row r="971">
          <cell r="J971">
            <v>1045</v>
          </cell>
          <cell r="K971" t="str">
            <v>Malpi glandulas</v>
          </cell>
          <cell r="L971" t="str">
            <v>Malpi_1000</v>
          </cell>
          <cell r="M971" t="str">
            <v xml:space="preserve"> =1000</v>
          </cell>
          <cell r="O971" t="str">
            <v>Malpighiaceae</v>
          </cell>
          <cell r="R971" t="str">
            <v xml:space="preserve"> </v>
          </cell>
        </row>
        <row r="972">
          <cell r="J972">
            <v>1047</v>
          </cell>
          <cell r="K972" t="str">
            <v>Malpi glandulas</v>
          </cell>
          <cell r="L972" t="str">
            <v>Malpi_1000</v>
          </cell>
          <cell r="M972" t="str">
            <v xml:space="preserve"> =1000</v>
          </cell>
          <cell r="O972" t="str">
            <v>Malpighiaceae</v>
          </cell>
          <cell r="R972" t="str">
            <v xml:space="preserve"> </v>
          </cell>
        </row>
        <row r="973">
          <cell r="J973">
            <v>1048</v>
          </cell>
          <cell r="K973" t="str">
            <v>Malpi glandulas</v>
          </cell>
          <cell r="L973" t="str">
            <v>Malpi_1000</v>
          </cell>
          <cell r="M973" t="str">
            <v xml:space="preserve"> =1000</v>
          </cell>
          <cell r="O973" t="str">
            <v>Malpighiaceae</v>
          </cell>
          <cell r="R973" t="str">
            <v xml:space="preserve"> </v>
          </cell>
        </row>
        <row r="974">
          <cell r="J974">
            <v>1049</v>
          </cell>
          <cell r="K974" t="str">
            <v>Malpi glandulas</v>
          </cell>
          <cell r="L974" t="str">
            <v>Malpi_1000</v>
          </cell>
          <cell r="M974" t="str">
            <v xml:space="preserve"> =1000</v>
          </cell>
          <cell r="O974" t="str">
            <v>Malpighiaceae</v>
          </cell>
          <cell r="R974" t="str">
            <v xml:space="preserve"> </v>
          </cell>
        </row>
        <row r="975">
          <cell r="J975">
            <v>1050</v>
          </cell>
          <cell r="K975" t="str">
            <v>Malpi glandulas</v>
          </cell>
          <cell r="L975" t="str">
            <v>Malpi_1000</v>
          </cell>
          <cell r="M975" t="str">
            <v xml:space="preserve"> =1000</v>
          </cell>
          <cell r="O975" t="str">
            <v>Malpighiaceae</v>
          </cell>
          <cell r="R975" t="str">
            <v xml:space="preserve"> </v>
          </cell>
        </row>
        <row r="976">
          <cell r="J976">
            <v>1051</v>
          </cell>
          <cell r="K976" t="str">
            <v>Malpi glandulas</v>
          </cell>
          <cell r="L976" t="str">
            <v>Malpi_1000</v>
          </cell>
          <cell r="M976" t="str">
            <v xml:space="preserve"> =1000</v>
          </cell>
          <cell r="O976" t="str">
            <v>Malpighiaceae</v>
          </cell>
          <cell r="R976" t="str">
            <v xml:space="preserve"> </v>
          </cell>
        </row>
        <row r="977">
          <cell r="J977">
            <v>1052</v>
          </cell>
          <cell r="K977" t="str">
            <v>Malpi glandulas</v>
          </cell>
          <cell r="L977" t="str">
            <v>Malpi_1000</v>
          </cell>
          <cell r="M977" t="str">
            <v xml:space="preserve"> =1000</v>
          </cell>
          <cell r="O977" t="str">
            <v>Malpighiaceae</v>
          </cell>
          <cell r="R977" t="str">
            <v xml:space="preserve"> </v>
          </cell>
        </row>
        <row r="978">
          <cell r="J978">
            <v>1053</v>
          </cell>
          <cell r="K978" t="str">
            <v>Malpi glandulas</v>
          </cell>
          <cell r="L978" t="str">
            <v>Malpi_1000</v>
          </cell>
          <cell r="M978" t="str">
            <v xml:space="preserve"> =1000</v>
          </cell>
          <cell r="N978" t="str">
            <v>Berthil (malpighiaceae)</v>
          </cell>
          <cell r="O978" t="str">
            <v>Malpighiaceae</v>
          </cell>
          <cell r="R978" t="str">
            <v xml:space="preserve"> </v>
          </cell>
        </row>
        <row r="979">
          <cell r="J979">
            <v>1054</v>
          </cell>
          <cell r="K979" t="str">
            <v>Sp. Suculenta</v>
          </cell>
          <cell r="L979" t="str">
            <v>Sp_Suculenta_978</v>
          </cell>
          <cell r="M979" t="str">
            <v xml:space="preserve"> =978</v>
          </cell>
          <cell r="O979" t="str">
            <v>Asteraceae</v>
          </cell>
          <cell r="P979" t="str">
            <v>0_cf. Baccharis</v>
          </cell>
          <cell r="R979" t="str">
            <v xml:space="preserve">0_cf. Baccharis </v>
          </cell>
        </row>
        <row r="980">
          <cell r="J980">
            <v>1055</v>
          </cell>
          <cell r="K980" t="str">
            <v>Malpi glandulas</v>
          </cell>
          <cell r="L980" t="str">
            <v>Malpi_1000</v>
          </cell>
          <cell r="M980" t="str">
            <v xml:space="preserve"> =1000</v>
          </cell>
          <cell r="O980" t="str">
            <v>Malpighiaceae</v>
          </cell>
          <cell r="R980" t="str">
            <v xml:space="preserve"> </v>
          </cell>
        </row>
        <row r="981">
          <cell r="J981">
            <v>1056</v>
          </cell>
          <cell r="K981" t="str">
            <v>Sp. 1 mal olor</v>
          </cell>
          <cell r="L981" t="str">
            <v>Sp. 1 mal olor</v>
          </cell>
          <cell r="R981" t="str">
            <v xml:space="preserve"> </v>
          </cell>
        </row>
        <row r="982">
          <cell r="J982">
            <v>1057</v>
          </cell>
          <cell r="K982" t="str">
            <v>Sp. 2. fis rayas negras, dulce</v>
          </cell>
          <cell r="L982" t="str">
            <v>mikania hso-negro-dulce</v>
          </cell>
          <cell r="O982" t="str">
            <v>Asteraceae</v>
          </cell>
          <cell r="R982" t="str">
            <v xml:space="preserve"> </v>
          </cell>
        </row>
        <row r="983">
          <cell r="J983">
            <v>1059</v>
          </cell>
          <cell r="K983" t="str">
            <v>Malpi glandulas</v>
          </cell>
          <cell r="L983" t="str">
            <v>Malpi_1000</v>
          </cell>
          <cell r="M983" t="str">
            <v xml:space="preserve"> =1000</v>
          </cell>
          <cell r="O983" t="str">
            <v>Malpighiaceae</v>
          </cell>
          <cell r="R983" t="str">
            <v xml:space="preserve"> </v>
          </cell>
        </row>
        <row r="984">
          <cell r="J984">
            <v>1060</v>
          </cell>
          <cell r="K984" t="str">
            <v>Malpi glandulas</v>
          </cell>
          <cell r="L984" t="str">
            <v>Malpi_1000</v>
          </cell>
          <cell r="M984" t="str">
            <v xml:space="preserve"> =1000</v>
          </cell>
          <cell r="O984" t="str">
            <v>Malpighiaceae</v>
          </cell>
          <cell r="R984" t="str">
            <v xml:space="preserve"> </v>
          </cell>
        </row>
        <row r="985">
          <cell r="J985">
            <v>1061</v>
          </cell>
          <cell r="K985" t="str">
            <v>Malpi glandulas</v>
          </cell>
          <cell r="L985" t="str">
            <v>Malpi_1000</v>
          </cell>
          <cell r="M985" t="str">
            <v xml:space="preserve"> =1000</v>
          </cell>
          <cell r="O985" t="str">
            <v>Malpighiaceae</v>
          </cell>
          <cell r="R985" t="str">
            <v xml:space="preserve"> </v>
          </cell>
        </row>
        <row r="986">
          <cell r="J986">
            <v>1062</v>
          </cell>
          <cell r="K986" t="str">
            <v>sp. Suculenta</v>
          </cell>
          <cell r="L986" t="str">
            <v>Sp_Suculenta_978</v>
          </cell>
          <cell r="M986" t="str">
            <v xml:space="preserve"> =978</v>
          </cell>
          <cell r="O986" t="str">
            <v>Asteraceae</v>
          </cell>
          <cell r="P986" t="str">
            <v>0_cf. Baccharis</v>
          </cell>
          <cell r="R986" t="str">
            <v xml:space="preserve">0_cf. Baccharis </v>
          </cell>
        </row>
        <row r="987">
          <cell r="J987">
            <v>1063</v>
          </cell>
          <cell r="K987" t="str">
            <v>Pentacalia</v>
          </cell>
          <cell r="L987" t="str">
            <v>Pentacalia_790</v>
          </cell>
          <cell r="M987" t="str">
            <v xml:space="preserve"> =770, =790</v>
          </cell>
          <cell r="O987" t="str">
            <v>Asteraceae</v>
          </cell>
          <cell r="P987" t="str">
            <v>Pentacalia</v>
          </cell>
          <cell r="R987" t="str">
            <v xml:space="preserve">Pentacalia </v>
          </cell>
        </row>
        <row r="988">
          <cell r="J988">
            <v>1064</v>
          </cell>
          <cell r="K988" t="str">
            <v>Malpi glandulas</v>
          </cell>
          <cell r="L988" t="str">
            <v>Malpi_1000</v>
          </cell>
          <cell r="M988" t="str">
            <v xml:space="preserve"> =1000</v>
          </cell>
          <cell r="O988" t="str">
            <v>Malpighiaceae</v>
          </cell>
          <cell r="R988" t="str">
            <v xml:space="preserve"> </v>
          </cell>
        </row>
        <row r="989">
          <cell r="J989">
            <v>1065</v>
          </cell>
          <cell r="K989" t="str">
            <v>Aster, L. Blanco</v>
          </cell>
          <cell r="L989" t="str">
            <v>No_Aster, L. Blanco</v>
          </cell>
          <cell r="M989" t="str">
            <v xml:space="preserve"> =1065</v>
          </cell>
          <cell r="R989" t="str">
            <v xml:space="preserve"> </v>
          </cell>
        </row>
        <row r="990">
          <cell r="J990">
            <v>1066</v>
          </cell>
          <cell r="K990" t="str">
            <v>Aster, L. Blanco</v>
          </cell>
          <cell r="L990" t="str">
            <v>No_Aster, L. Blanco</v>
          </cell>
          <cell r="M990" t="str">
            <v xml:space="preserve"> =1065</v>
          </cell>
          <cell r="R990" t="str">
            <v xml:space="preserve"> </v>
          </cell>
        </row>
        <row r="991">
          <cell r="J991">
            <v>1067</v>
          </cell>
          <cell r="K991" t="str">
            <v>Mikania, lisa-rayas negras</v>
          </cell>
          <cell r="L991" t="str">
            <v>Aster_Rayas_Negra_769</v>
          </cell>
          <cell r="M991" t="str">
            <v xml:space="preserve"> =769, =774, =854</v>
          </cell>
          <cell r="O991" t="str">
            <v>Asteraceae</v>
          </cell>
          <cell r="P991" t="str">
            <v>Mikania</v>
          </cell>
          <cell r="R991" t="str">
            <v xml:space="preserve">Mikania </v>
          </cell>
        </row>
        <row r="992">
          <cell r="J992">
            <v>1069</v>
          </cell>
          <cell r="K992" t="str">
            <v>Sp. H.S.A. crasa</v>
          </cell>
          <cell r="L992" t="str">
            <v>Sp_Suculenta_978</v>
          </cell>
          <cell r="M992" t="str">
            <v xml:space="preserve"> =978, =1069</v>
          </cell>
          <cell r="O992" t="str">
            <v>Asteraceae</v>
          </cell>
          <cell r="P992" t="str">
            <v>0_cf. Baccharis</v>
          </cell>
          <cell r="R992" t="str">
            <v xml:space="preserve">0_cf. Baccharis </v>
          </cell>
        </row>
        <row r="993">
          <cell r="J993">
            <v>1070</v>
          </cell>
          <cell r="K993" t="str">
            <v>Sp. H.S.A. crasa</v>
          </cell>
          <cell r="L993" t="str">
            <v>Sp_Suculenta_978</v>
          </cell>
          <cell r="M993" t="str">
            <v xml:space="preserve"> =978, =998, =1069,  =1070, =1100</v>
          </cell>
          <cell r="O993" t="str">
            <v>Asteraceae</v>
          </cell>
          <cell r="P993" t="str">
            <v>0_cf. Baccharis</v>
          </cell>
          <cell r="R993" t="str">
            <v xml:space="preserve">0_cf. Baccharis </v>
          </cell>
        </row>
        <row r="994">
          <cell r="J994">
            <v>1071</v>
          </cell>
          <cell r="K994" t="str">
            <v>Malpi</v>
          </cell>
          <cell r="L994" t="str">
            <v>Malpi_1071</v>
          </cell>
          <cell r="M994" t="str">
            <v xml:space="preserve"> =1071</v>
          </cell>
          <cell r="O994" t="str">
            <v>Malpighiaceae</v>
          </cell>
          <cell r="R994" t="str">
            <v xml:space="preserve"> </v>
          </cell>
        </row>
        <row r="995">
          <cell r="J995">
            <v>1072</v>
          </cell>
          <cell r="K995" t="str">
            <v>Topobea</v>
          </cell>
          <cell r="L995" t="str">
            <v>Topobea sp. 1</v>
          </cell>
          <cell r="M995" t="str">
            <v xml:space="preserve"> =784, =977, =981</v>
          </cell>
          <cell r="O995" t="str">
            <v>Melastomataceae</v>
          </cell>
          <cell r="P995" t="str">
            <v>Topobea</v>
          </cell>
          <cell r="R995" t="str">
            <v xml:space="preserve">Topobea </v>
          </cell>
        </row>
        <row r="996">
          <cell r="J996">
            <v>1073</v>
          </cell>
          <cell r="K996" t="str">
            <v>Malpi</v>
          </cell>
          <cell r="L996" t="str">
            <v>Malpi_1071</v>
          </cell>
          <cell r="M996" t="str">
            <v xml:space="preserve"> =1071</v>
          </cell>
          <cell r="O996" t="str">
            <v>Malpighiaceae</v>
          </cell>
          <cell r="R996" t="str">
            <v xml:space="preserve"> </v>
          </cell>
        </row>
        <row r="997">
          <cell r="J997">
            <v>1075</v>
          </cell>
          <cell r="K997" t="str">
            <v>malpi</v>
          </cell>
          <cell r="L997" t="str">
            <v>Malpi_1071</v>
          </cell>
          <cell r="M997" t="str">
            <v xml:space="preserve"> =1071</v>
          </cell>
          <cell r="O997" t="str">
            <v>Malpighiaceae</v>
          </cell>
          <cell r="R997" t="str">
            <v xml:space="preserve"> </v>
          </cell>
        </row>
        <row r="998">
          <cell r="J998">
            <v>1076</v>
          </cell>
          <cell r="K998" t="str">
            <v>malpi</v>
          </cell>
          <cell r="L998" t="str">
            <v>Malpi_1071</v>
          </cell>
          <cell r="M998" t="str">
            <v xml:space="preserve"> =1071</v>
          </cell>
          <cell r="O998" t="str">
            <v>Malpighiaceae</v>
          </cell>
          <cell r="R998" t="str">
            <v xml:space="preserve"> </v>
          </cell>
        </row>
        <row r="999">
          <cell r="J999">
            <v>1077</v>
          </cell>
          <cell r="K999" t="str">
            <v>malpi</v>
          </cell>
          <cell r="L999" t="str">
            <v>Malpi_1071</v>
          </cell>
          <cell r="M999" t="str">
            <v xml:space="preserve"> =1071</v>
          </cell>
          <cell r="O999" t="str">
            <v>Malpighiaceae</v>
          </cell>
          <cell r="R999" t="str">
            <v xml:space="preserve"> </v>
          </cell>
        </row>
        <row r="1000">
          <cell r="J1000">
            <v>1078</v>
          </cell>
          <cell r="K1000" t="str">
            <v>Miconia??</v>
          </cell>
          <cell r="L1000" t="str">
            <v>Topobea sp. 1</v>
          </cell>
          <cell r="M1000" t="str">
            <v xml:space="preserve"> =994</v>
          </cell>
          <cell r="N1000" t="str">
            <v>Berthil (=994, 1078)</v>
          </cell>
          <cell r="O1000" t="str">
            <v>Melastomataceae</v>
          </cell>
          <cell r="P1000" t="str">
            <v>Topobea</v>
          </cell>
          <cell r="R1000" t="str">
            <v xml:space="preserve">Topobea </v>
          </cell>
        </row>
        <row r="1001">
          <cell r="J1001">
            <v>1081</v>
          </cell>
          <cell r="K1001" t="str">
            <v>Malpi</v>
          </cell>
          <cell r="L1001" t="str">
            <v>Malpi_1071</v>
          </cell>
          <cell r="M1001" t="str">
            <v xml:space="preserve"> =1071</v>
          </cell>
          <cell r="O1001" t="str">
            <v>Malpighiaceae</v>
          </cell>
          <cell r="R1001" t="str">
            <v xml:space="preserve"> </v>
          </cell>
        </row>
        <row r="1002">
          <cell r="J1002">
            <v>1082</v>
          </cell>
          <cell r="K1002" t="str">
            <v>Mikania int. negro, dulce, juvenil</v>
          </cell>
          <cell r="L1002" t="str">
            <v>Aster_Rayas_Negra_769</v>
          </cell>
          <cell r="M1002" t="str">
            <v xml:space="preserve"> =769, =1082, =1083</v>
          </cell>
          <cell r="N1002" t="str">
            <v>Berthil (mikania)</v>
          </cell>
          <cell r="O1002" t="str">
            <v>Asteraceae</v>
          </cell>
          <cell r="P1002" t="str">
            <v>Mikania</v>
          </cell>
          <cell r="R1002" t="str">
            <v xml:space="preserve">Mikania </v>
          </cell>
        </row>
        <row r="1003">
          <cell r="J1003">
            <v>1083</v>
          </cell>
          <cell r="K1003" t="str">
            <v>Mikania int. negro, dulce, juvenil</v>
          </cell>
          <cell r="L1003" t="str">
            <v>Aster_Rayas_Negra_769</v>
          </cell>
          <cell r="M1003" t="str">
            <v xml:space="preserve"> =769, =1083</v>
          </cell>
          <cell r="N1003" t="str">
            <v>Berthil (mikania)</v>
          </cell>
          <cell r="O1003" t="str">
            <v>Asteraceae</v>
          </cell>
          <cell r="P1003" t="str">
            <v>Mikania</v>
          </cell>
          <cell r="R1003" t="str">
            <v xml:space="preserve">Mikania </v>
          </cell>
        </row>
        <row r="1004">
          <cell r="J1004">
            <v>1084</v>
          </cell>
          <cell r="K1004" t="str">
            <v>Sp. H.S.A. Raices</v>
          </cell>
          <cell r="L1004" t="str">
            <v>H.S.A._Raices</v>
          </cell>
          <cell r="M1004" t="str">
            <v xml:space="preserve"> =1080</v>
          </cell>
          <cell r="R1004" t="str">
            <v xml:space="preserve"> </v>
          </cell>
        </row>
        <row r="1005">
          <cell r="J1005">
            <v>1088</v>
          </cell>
          <cell r="K1005" t="str">
            <v>Sp. H.S.A.</v>
          </cell>
          <cell r="L1005" t="str">
            <v>Sp. H.S.O.</v>
          </cell>
          <cell r="M1005" t="str">
            <v xml:space="preserve"> =1080</v>
          </cell>
          <cell r="R1005" t="str">
            <v xml:space="preserve"> </v>
          </cell>
        </row>
        <row r="1006">
          <cell r="J1006">
            <v>1089</v>
          </cell>
          <cell r="K1006" t="str">
            <v>Mikania, leve fisura, dispersa, resina</v>
          </cell>
          <cell r="L1006" t="str">
            <v>Aster_Rayas_Negra_769</v>
          </cell>
          <cell r="M1006" t="str">
            <v xml:space="preserve"> =769,  =1089, 1099, =1092</v>
          </cell>
          <cell r="N1006" t="str">
            <v>Berthil (= 1089, 766, 854, 774)</v>
          </cell>
          <cell r="O1006" t="str">
            <v>Asteraceae</v>
          </cell>
          <cell r="P1006" t="str">
            <v>Mikania</v>
          </cell>
          <cell r="R1006" t="str">
            <v xml:space="preserve">Mikania </v>
          </cell>
        </row>
        <row r="1007">
          <cell r="J1007">
            <v>1090</v>
          </cell>
          <cell r="K1007" t="str">
            <v>Aster musilago</v>
          </cell>
          <cell r="L1007" t="str">
            <v>Aster H.S.O. crasa, tallo musilaginoso</v>
          </cell>
          <cell r="O1007" t="str">
            <v>Asteraceae</v>
          </cell>
          <cell r="R1007" t="str">
            <v xml:space="preserve"> </v>
          </cell>
        </row>
        <row r="1008">
          <cell r="J1008">
            <v>1091</v>
          </cell>
          <cell r="K1008" t="str">
            <v>Mikania negra</v>
          </cell>
          <cell r="L1008" t="str">
            <v>Aster_Rayas_Negra_769</v>
          </cell>
          <cell r="M1008" t="str">
            <v xml:space="preserve"> =769, =1083</v>
          </cell>
          <cell r="O1008" t="str">
            <v>Asteraceae</v>
          </cell>
          <cell r="P1008" t="str">
            <v>Mikania</v>
          </cell>
          <cell r="R1008" t="str">
            <v xml:space="preserve">Mikania </v>
          </cell>
        </row>
        <row r="1009">
          <cell r="J1009">
            <v>1092</v>
          </cell>
          <cell r="K1009" t="str">
            <v>Mikania negra</v>
          </cell>
          <cell r="L1009" t="str">
            <v>Aster_Rayas_Negra_769</v>
          </cell>
          <cell r="M1009" t="str">
            <v xml:space="preserve"> =769, =1083,  =1089, 1099, =1092</v>
          </cell>
          <cell r="O1009" t="str">
            <v>Asteraceae</v>
          </cell>
          <cell r="P1009" t="str">
            <v>Mikania</v>
          </cell>
          <cell r="R1009" t="str">
            <v xml:space="preserve">Mikania </v>
          </cell>
        </row>
        <row r="1010">
          <cell r="J1010">
            <v>1093</v>
          </cell>
          <cell r="K1010" t="str">
            <v>Topobea lenticel</v>
          </cell>
          <cell r="L1010" t="str">
            <v>Topobea sp. 1</v>
          </cell>
          <cell r="M1010" t="str">
            <v xml:space="preserve"> =784</v>
          </cell>
          <cell r="O1010" t="str">
            <v>Melastomataceae</v>
          </cell>
          <cell r="P1010" t="str">
            <v>Topobea</v>
          </cell>
          <cell r="R1010" t="str">
            <v xml:space="preserve">Topobea </v>
          </cell>
        </row>
        <row r="1011">
          <cell r="J1011">
            <v>1094</v>
          </cell>
          <cell r="K1011" t="str">
            <v>Topobea lenticel</v>
          </cell>
          <cell r="L1011" t="str">
            <v>Topobea sp. 1</v>
          </cell>
          <cell r="M1011" t="str">
            <v xml:space="preserve"> =784</v>
          </cell>
          <cell r="O1011" t="str">
            <v>Melastomataceae</v>
          </cell>
          <cell r="P1011" t="str">
            <v>Topobea</v>
          </cell>
          <cell r="R1011" t="str">
            <v xml:space="preserve">Topobea </v>
          </cell>
        </row>
        <row r="1012">
          <cell r="J1012">
            <v>1095</v>
          </cell>
          <cell r="K1012" t="str">
            <v>Topobea lenticel</v>
          </cell>
          <cell r="L1012" t="str">
            <v>Topobea sp. 1</v>
          </cell>
          <cell r="M1012" t="str">
            <v xml:space="preserve"> =784</v>
          </cell>
          <cell r="N1012" t="str">
            <v>check: Berthil (Melastomataceae, Blakea), 987, 799, 784, 1095</v>
          </cell>
          <cell r="O1012" t="str">
            <v>Melastomataceae</v>
          </cell>
          <cell r="P1012" t="str">
            <v>Topobea</v>
          </cell>
          <cell r="R1012" t="str">
            <v xml:space="preserve">Topobea </v>
          </cell>
        </row>
        <row r="1013">
          <cell r="J1013">
            <v>1096</v>
          </cell>
          <cell r="K1013" t="str">
            <v>Aster, c. tiras, dulce, hojas largas, pentacalia</v>
          </cell>
          <cell r="L1013" t="str">
            <v>Pentacalia_790</v>
          </cell>
          <cell r="M1013" t="str">
            <v xml:space="preserve"> =770, =1123</v>
          </cell>
          <cell r="O1013" t="str">
            <v>Asteraceae</v>
          </cell>
          <cell r="P1013" t="str">
            <v>Pentacalia</v>
          </cell>
          <cell r="R1013" t="str">
            <v xml:space="preserve">Pentacalia </v>
          </cell>
        </row>
        <row r="1014">
          <cell r="J1014">
            <v>1097</v>
          </cell>
          <cell r="K1014" t="str">
            <v>Siphocampylus latex</v>
          </cell>
          <cell r="L1014" t="str">
            <v>siphocampylus_995</v>
          </cell>
          <cell r="O1014" t="str">
            <v>Campanulaceae</v>
          </cell>
          <cell r="P1014" t="str">
            <v>Siphocampylus</v>
          </cell>
          <cell r="R1014" t="str">
            <v xml:space="preserve">Siphocampylus </v>
          </cell>
        </row>
        <row r="1015">
          <cell r="J1015">
            <v>1098</v>
          </cell>
          <cell r="K1015" t="str">
            <v>Topobea</v>
          </cell>
          <cell r="L1015" t="str">
            <v>Topobea sp. 1</v>
          </cell>
          <cell r="M1015" t="str">
            <v xml:space="preserve"> =784</v>
          </cell>
          <cell r="O1015" t="str">
            <v>Melastomataceae</v>
          </cell>
          <cell r="P1015" t="str">
            <v>Topobea</v>
          </cell>
          <cell r="R1015" t="str">
            <v xml:space="preserve">Topobea </v>
          </cell>
        </row>
        <row r="1016">
          <cell r="J1016">
            <v>1099</v>
          </cell>
          <cell r="K1016" t="str">
            <v>Mikania</v>
          </cell>
          <cell r="L1016" t="str">
            <v>Aster_Rayas_Negra_769</v>
          </cell>
          <cell r="M1016" t="str">
            <v xml:space="preserve"> =769, =1083, =1089, 1099, =1092</v>
          </cell>
          <cell r="O1016" t="str">
            <v>Asteraceae</v>
          </cell>
          <cell r="P1016" t="str">
            <v>Mikania</v>
          </cell>
          <cell r="R1016" t="str">
            <v xml:space="preserve">Mikania </v>
          </cell>
        </row>
        <row r="1017">
          <cell r="J1017">
            <v>1100</v>
          </cell>
          <cell r="K1017" t="str">
            <v>Baccharis sp. 2</v>
          </cell>
          <cell r="L1017" t="str">
            <v>Sp_Suculenta_978</v>
          </cell>
          <cell r="M1017" t="str">
            <v xml:space="preserve"> =978, =1070, =1100, =baccharis, suave o amarillas</v>
          </cell>
          <cell r="N1017" t="str">
            <v>Berthil (=1100, 765)</v>
          </cell>
          <cell r="O1017" t="str">
            <v>Asteraceae</v>
          </cell>
          <cell r="P1017" t="str">
            <v>0_cf. Baccharis</v>
          </cell>
          <cell r="R1017" t="str">
            <v xml:space="preserve">0_cf. Baccharis </v>
          </cell>
        </row>
        <row r="1018">
          <cell r="J1018">
            <v>1101</v>
          </cell>
          <cell r="K1018" t="str">
            <v>Mikania negra-suave</v>
          </cell>
          <cell r="L1018" t="str">
            <v>Aster_Rayas_Negra_769</v>
          </cell>
          <cell r="M1018" t="str">
            <v xml:space="preserve"> =769, =1082, =1083</v>
          </cell>
          <cell r="O1018" t="str">
            <v>Asteraceae</v>
          </cell>
          <cell r="P1018" t="str">
            <v>Mikania</v>
          </cell>
          <cell r="R1018" t="str">
            <v xml:space="preserve">Mikania </v>
          </cell>
        </row>
        <row r="1019">
          <cell r="J1019">
            <v>1102</v>
          </cell>
          <cell r="K1019" t="str">
            <v>Malpi</v>
          </cell>
          <cell r="L1019" t="str">
            <v>Malpi_1071</v>
          </cell>
          <cell r="M1019" t="str">
            <v xml:space="preserve"> =1071</v>
          </cell>
          <cell r="O1019" t="str">
            <v>Malpighiaceae</v>
          </cell>
          <cell r="R1019" t="str">
            <v xml:space="preserve"> </v>
          </cell>
        </row>
        <row r="1020">
          <cell r="J1020">
            <v>1103</v>
          </cell>
          <cell r="K1020" t="str">
            <v>malpi</v>
          </cell>
          <cell r="L1020" t="str">
            <v>Malpi_1071</v>
          </cell>
          <cell r="M1020" t="str">
            <v xml:space="preserve"> =1071</v>
          </cell>
          <cell r="O1020" t="str">
            <v>Malpighiaceae</v>
          </cell>
          <cell r="R1020" t="str">
            <v xml:space="preserve"> </v>
          </cell>
        </row>
        <row r="1021">
          <cell r="J1021">
            <v>1104</v>
          </cell>
          <cell r="K1021" t="str">
            <v>mikania abun resi</v>
          </cell>
          <cell r="L1021" t="str">
            <v>Aster_Rayas_Negra_769</v>
          </cell>
          <cell r="M1021" t="str">
            <v xml:space="preserve"> =1089</v>
          </cell>
          <cell r="O1021" t="str">
            <v>Asteraceae</v>
          </cell>
          <cell r="P1021" t="str">
            <v>Mikania</v>
          </cell>
          <cell r="R1021" t="str">
            <v xml:space="preserve">Mikania </v>
          </cell>
        </row>
        <row r="1022">
          <cell r="J1022">
            <v>1105</v>
          </cell>
          <cell r="K1022" t="str">
            <v>menis fruto tom</v>
          </cell>
          <cell r="L1022" t="str">
            <v>menis_906</v>
          </cell>
          <cell r="M1022" t="str">
            <v xml:space="preserve"> =906</v>
          </cell>
          <cell r="O1022" t="str">
            <v>Menispermaceae</v>
          </cell>
          <cell r="R1022" t="str">
            <v xml:space="preserve"> </v>
          </cell>
        </row>
        <row r="1023">
          <cell r="J1023">
            <v>1106</v>
          </cell>
          <cell r="K1023" t="str">
            <v>menis fruto tom</v>
          </cell>
          <cell r="L1023" t="str">
            <v>menis_906</v>
          </cell>
          <cell r="M1023" t="str">
            <v xml:space="preserve"> =906</v>
          </cell>
          <cell r="O1023" t="str">
            <v>Menispermaceae</v>
          </cell>
          <cell r="R1023" t="str">
            <v xml:space="preserve"> </v>
          </cell>
        </row>
        <row r="1024">
          <cell r="J1024">
            <v>1107</v>
          </cell>
          <cell r="K1024" t="str">
            <v>malpi</v>
          </cell>
          <cell r="L1024" t="str">
            <v>Malpi_1071</v>
          </cell>
          <cell r="M1024" t="str">
            <v xml:space="preserve"> =1071</v>
          </cell>
          <cell r="O1024" t="str">
            <v>Malpighiaceae</v>
          </cell>
          <cell r="R1024" t="str">
            <v xml:space="preserve"> </v>
          </cell>
        </row>
        <row r="1025">
          <cell r="J1025">
            <v>1108</v>
          </cell>
          <cell r="K1025" t="str">
            <v>menis fruto tom</v>
          </cell>
          <cell r="L1025" t="str">
            <v>menis_906</v>
          </cell>
          <cell r="M1025" t="str">
            <v xml:space="preserve"> =906</v>
          </cell>
          <cell r="O1025" t="str">
            <v>Menispermaceae</v>
          </cell>
          <cell r="R1025" t="str">
            <v xml:space="preserve"> </v>
          </cell>
        </row>
        <row r="1026">
          <cell r="J1026">
            <v>1109</v>
          </cell>
          <cell r="K1026" t="str">
            <v>mikania abun resi</v>
          </cell>
          <cell r="L1026" t="str">
            <v>Aster_Rayas_Negra_769</v>
          </cell>
          <cell r="M1026" t="str">
            <v xml:space="preserve"> =1089</v>
          </cell>
          <cell r="O1026" t="str">
            <v>Asteraceae</v>
          </cell>
          <cell r="P1026" t="str">
            <v>Mikania</v>
          </cell>
          <cell r="R1026" t="str">
            <v xml:space="preserve">Mikania </v>
          </cell>
        </row>
        <row r="1027">
          <cell r="J1027">
            <v>1110</v>
          </cell>
          <cell r="K1027" t="str">
            <v>menis fruto tom</v>
          </cell>
          <cell r="L1027" t="str">
            <v>menis_906</v>
          </cell>
          <cell r="M1027" t="str">
            <v xml:space="preserve"> =906</v>
          </cell>
          <cell r="O1027" t="str">
            <v>Menispermaceae</v>
          </cell>
          <cell r="R1027" t="str">
            <v xml:space="preserve"> </v>
          </cell>
        </row>
        <row r="1028">
          <cell r="J1028">
            <v>1111</v>
          </cell>
          <cell r="K1028" t="str">
            <v>Sp. Sagita, café</v>
          </cell>
          <cell r="L1028" t="str">
            <v>Sp_1111</v>
          </cell>
          <cell r="N1028" t="str">
            <v>Berthil Polygonaceae, Muehlenbeckia)</v>
          </cell>
          <cell r="O1028" t="str">
            <v>Polygonaceae</v>
          </cell>
          <cell r="P1028" t="str">
            <v>Muelenbeckia</v>
          </cell>
          <cell r="R1028" t="str">
            <v xml:space="preserve">Muelenbeckia </v>
          </cell>
        </row>
        <row r="1029">
          <cell r="J1029">
            <v>1112</v>
          </cell>
          <cell r="K1029" t="str">
            <v>Lepechinia arbusto/l</v>
          </cell>
          <cell r="L1029" t="str">
            <v>Lepechinia_arbusto_1112</v>
          </cell>
          <cell r="N1029" t="str">
            <v>Berthil (Asteraceae)</v>
          </cell>
          <cell r="O1029" t="str">
            <v>Asteraceae</v>
          </cell>
          <cell r="R1029" t="str">
            <v xml:space="preserve"> </v>
          </cell>
        </row>
        <row r="1030">
          <cell r="J1030">
            <v>1113</v>
          </cell>
          <cell r="K1030" t="str">
            <v>Topobea lenticel</v>
          </cell>
          <cell r="L1030" t="str">
            <v>Topobea sp. 1</v>
          </cell>
          <cell r="M1030" t="str">
            <v xml:space="preserve"> =784</v>
          </cell>
          <cell r="O1030" t="str">
            <v>Melastomataceae</v>
          </cell>
          <cell r="P1030" t="str">
            <v>Topobea</v>
          </cell>
          <cell r="R1030" t="str">
            <v xml:space="preserve">Topobea </v>
          </cell>
        </row>
        <row r="1031">
          <cell r="J1031">
            <v>1114</v>
          </cell>
          <cell r="K1031" t="str">
            <v>Topobea lenticel</v>
          </cell>
          <cell r="L1031" t="str">
            <v>Topobea sp. 1</v>
          </cell>
          <cell r="M1031" t="str">
            <v xml:space="preserve"> =784</v>
          </cell>
          <cell r="O1031" t="str">
            <v>Melastomataceae</v>
          </cell>
          <cell r="P1031" t="str">
            <v>Topobea</v>
          </cell>
          <cell r="R1031" t="str">
            <v xml:space="preserve">Topobea </v>
          </cell>
        </row>
        <row r="1032">
          <cell r="J1032">
            <v>1115</v>
          </cell>
          <cell r="K1032" t="str">
            <v>aster H.S.A. crasa-dulce</v>
          </cell>
          <cell r="L1032" t="str">
            <v>No_aster_115</v>
          </cell>
          <cell r="R1032" t="str">
            <v xml:space="preserve"> </v>
          </cell>
        </row>
        <row r="1033">
          <cell r="J1033">
            <v>1116</v>
          </cell>
          <cell r="K1033" t="str">
            <v>Aster H.S.O. crasa, tallo musilaginoso</v>
          </cell>
          <cell r="L1033" t="str">
            <v>Ast_1118</v>
          </cell>
          <cell r="O1033" t="str">
            <v>Asteraceae</v>
          </cell>
          <cell r="R1033" t="str">
            <v xml:space="preserve"> </v>
          </cell>
        </row>
        <row r="1034">
          <cell r="J1034">
            <v>1117</v>
          </cell>
          <cell r="K1034" t="str">
            <v>Topobea</v>
          </cell>
          <cell r="L1034" t="str">
            <v>Topobea sp. 1</v>
          </cell>
          <cell r="M1034" t="str">
            <v xml:space="preserve"> =784</v>
          </cell>
          <cell r="O1034" t="str">
            <v>Melastomataceae</v>
          </cell>
          <cell r="P1034" t="str">
            <v>Topobea</v>
          </cell>
          <cell r="R1034" t="str">
            <v xml:space="preserve">Topobea </v>
          </cell>
        </row>
        <row r="1035">
          <cell r="J1035">
            <v>1118</v>
          </cell>
          <cell r="K1035" t="str">
            <v>Aster H.S.O. crasa, tallo musilaginoso</v>
          </cell>
          <cell r="L1035" t="str">
            <v>Ast_1118</v>
          </cell>
          <cell r="O1035" t="str">
            <v>Asteraceae</v>
          </cell>
          <cell r="R1035" t="str">
            <v xml:space="preserve"> </v>
          </cell>
        </row>
        <row r="1036">
          <cell r="J1036">
            <v>1119</v>
          </cell>
          <cell r="K1036" t="str">
            <v>Aster, petacalia, c. tiras-dulce</v>
          </cell>
          <cell r="L1036" t="str">
            <v>Pentacalia_790</v>
          </cell>
          <cell r="M1036" t="str">
            <v xml:space="preserve"> =770, =1123</v>
          </cell>
          <cell r="O1036" t="str">
            <v>Asteraceae</v>
          </cell>
          <cell r="P1036" t="str">
            <v>Pentacalia</v>
          </cell>
          <cell r="R1036" t="str">
            <v xml:space="preserve">Pentacalia </v>
          </cell>
        </row>
        <row r="1037">
          <cell r="J1037">
            <v>1120</v>
          </cell>
          <cell r="K1037" t="str">
            <v>Sp. H.S.O. crasa</v>
          </cell>
          <cell r="L1037" t="str">
            <v>Sp. H.S.O. crasa</v>
          </cell>
          <cell r="R1037" t="str">
            <v xml:space="preserve"> </v>
          </cell>
        </row>
        <row r="1038">
          <cell r="J1038">
            <v>1121</v>
          </cell>
          <cell r="K1038" t="str">
            <v>Topobea</v>
          </cell>
          <cell r="L1038" t="str">
            <v>Topobea sp. 1</v>
          </cell>
          <cell r="M1038" t="str">
            <v xml:space="preserve"> =784</v>
          </cell>
          <cell r="O1038" t="str">
            <v>Melastomataceae</v>
          </cell>
          <cell r="P1038" t="str">
            <v>Topobea</v>
          </cell>
          <cell r="R1038" t="str">
            <v xml:space="preserve">Topobea </v>
          </cell>
        </row>
        <row r="1039">
          <cell r="J1039">
            <v>1122</v>
          </cell>
          <cell r="K1039" t="str">
            <v>Mikania enves blanco, coriacea</v>
          </cell>
          <cell r="L1039" t="str">
            <v>Mikania enves blanco</v>
          </cell>
          <cell r="N1039" t="str">
            <v>Berthil (=946, 1122, 1127)</v>
          </cell>
          <cell r="O1039" t="str">
            <v>Asteraceae</v>
          </cell>
          <cell r="P1039" t="str">
            <v>Mikania</v>
          </cell>
          <cell r="R1039" t="str">
            <v xml:space="preserve">Mikania </v>
          </cell>
        </row>
        <row r="1040">
          <cell r="J1040">
            <v>1123</v>
          </cell>
          <cell r="K1040" t="str">
            <v>Pentacalia</v>
          </cell>
          <cell r="L1040" t="str">
            <v>Pentacalia_790</v>
          </cell>
          <cell r="M1040" t="str">
            <v xml:space="preserve"> =770, =790, =1123</v>
          </cell>
          <cell r="N1040" t="str">
            <v>Berthil (=1123, 790)</v>
          </cell>
          <cell r="O1040" t="str">
            <v>Asteraceae</v>
          </cell>
          <cell r="P1040" t="str">
            <v>Pentacalia</v>
          </cell>
          <cell r="R1040" t="str">
            <v xml:space="preserve">Pentacalia </v>
          </cell>
        </row>
        <row r="1041">
          <cell r="J1041">
            <v>1124</v>
          </cell>
          <cell r="K1041" t="str">
            <v>Sp. H.S.O., crassa, rugosa, suave, cana-olor, valeria</v>
          </cell>
          <cell r="L1041" t="str">
            <v>mikania hso-negro-dulce</v>
          </cell>
          <cell r="M1041" t="str">
            <v xml:space="preserve"> =1124</v>
          </cell>
          <cell r="N1041" t="str">
            <v>Berthil (podria ser mikania)</v>
          </cell>
          <cell r="O1041" t="str">
            <v>Asteraceae</v>
          </cell>
          <cell r="P1041" t="str">
            <v>Mikania</v>
          </cell>
          <cell r="R1041" t="str">
            <v xml:space="preserve">Mikania </v>
          </cell>
        </row>
        <row r="1042">
          <cell r="J1042">
            <v>1125</v>
          </cell>
          <cell r="K1042" t="str">
            <v>Sp. H.S.O. crasa</v>
          </cell>
          <cell r="L1042" t="str">
            <v>Sp. H.S.O. crasa</v>
          </cell>
          <cell r="R1042" t="str">
            <v xml:space="preserve"> </v>
          </cell>
        </row>
        <row r="1043">
          <cell r="J1043">
            <v>1126</v>
          </cell>
          <cell r="K1043" t="str">
            <v>Mikania abun resina</v>
          </cell>
          <cell r="L1043" t="str">
            <v>Aster_Rayas_Negra_769</v>
          </cell>
          <cell r="M1043" t="str">
            <v xml:space="preserve"> =1089</v>
          </cell>
          <cell r="O1043" t="str">
            <v>Asteraceae</v>
          </cell>
          <cell r="P1043" t="str">
            <v>Mikania</v>
          </cell>
          <cell r="R1043" t="str">
            <v xml:space="preserve">Mikania </v>
          </cell>
        </row>
        <row r="1044">
          <cell r="J1044">
            <v>1127</v>
          </cell>
          <cell r="K1044" t="str">
            <v xml:space="preserve">Aster enves blanco, mucilago </v>
          </cell>
          <cell r="L1044" t="str">
            <v>Mikania enves blanco</v>
          </cell>
          <cell r="N1044" t="str">
            <v>Berthil (=946, 1122, 1127)</v>
          </cell>
          <cell r="O1044" t="str">
            <v>Asteraceae</v>
          </cell>
          <cell r="P1044" t="str">
            <v>Mikania</v>
          </cell>
          <cell r="R1044" t="str">
            <v xml:space="preserve">Mikania </v>
          </cell>
        </row>
        <row r="1045">
          <cell r="J1045">
            <v>1131</v>
          </cell>
          <cell r="K1045" t="str">
            <v>Mendoncia</v>
          </cell>
          <cell r="L1045" t="str">
            <v>Mendoncia_813</v>
          </cell>
          <cell r="M1045" t="str">
            <v xml:space="preserve"> =813, =1131</v>
          </cell>
          <cell r="N1045" t="str">
            <v>Berthil (Asteraceae cf.), =813, 1131</v>
          </cell>
          <cell r="O1045" t="str">
            <v>Acanthaceae</v>
          </cell>
          <cell r="R1045" t="str">
            <v xml:space="preserve"> </v>
          </cell>
        </row>
        <row r="1046">
          <cell r="J1046">
            <v>1132</v>
          </cell>
          <cell r="K1046" t="str">
            <v>Mendoncia</v>
          </cell>
          <cell r="L1046" t="str">
            <v>Mendoncia_813</v>
          </cell>
          <cell r="M1046" t="str">
            <v xml:space="preserve"> =813, =1131</v>
          </cell>
          <cell r="O1046" t="str">
            <v>Acanthaceae</v>
          </cell>
          <cell r="R1046" t="str">
            <v xml:space="preserve"> </v>
          </cell>
        </row>
        <row r="1047">
          <cell r="J1047">
            <v>1133</v>
          </cell>
          <cell r="K1047" t="str">
            <v>Topobea</v>
          </cell>
          <cell r="L1047" t="str">
            <v>Topobea sp. 1</v>
          </cell>
          <cell r="M1047" t="str">
            <v xml:space="preserve"> =784</v>
          </cell>
          <cell r="O1047" t="str">
            <v>Melastomataceae</v>
          </cell>
          <cell r="P1047" t="str">
            <v>Topobea</v>
          </cell>
          <cell r="R1047" t="str">
            <v xml:space="preserve">Topobea </v>
          </cell>
        </row>
        <row r="1048">
          <cell r="J1048">
            <v>1134</v>
          </cell>
          <cell r="K1048" t="str">
            <v>Menis fruto</v>
          </cell>
          <cell r="L1048" t="str">
            <v>Menis_fruto_1134</v>
          </cell>
          <cell r="M1048" t="str">
            <v xml:space="preserve"> =882,  =1134</v>
          </cell>
          <cell r="O1048" t="str">
            <v>Menispermaceae</v>
          </cell>
          <cell r="R1048" t="str">
            <v xml:space="preserve"> </v>
          </cell>
        </row>
        <row r="1049">
          <cell r="J1049">
            <v>1135</v>
          </cell>
          <cell r="K1049" t="str">
            <v>H.S.A.</v>
          </cell>
          <cell r="L1049" t="str">
            <v>H.S.A.</v>
          </cell>
          <cell r="R1049" t="str">
            <v xml:space="preserve"> </v>
          </cell>
        </row>
        <row r="1050">
          <cell r="J1050">
            <v>1136</v>
          </cell>
          <cell r="K1050" t="str">
            <v>Mikania lisa, rayas negras</v>
          </cell>
          <cell r="L1050" t="str">
            <v>Aster_Rayas_Negra_769</v>
          </cell>
          <cell r="M1050" t="str">
            <v xml:space="preserve"> =769, =1082, =1083</v>
          </cell>
          <cell r="O1050" t="str">
            <v>Asteraceae</v>
          </cell>
          <cell r="P1050" t="str">
            <v>Mikania</v>
          </cell>
          <cell r="R1050" t="str">
            <v xml:space="preserve">Mikania </v>
          </cell>
        </row>
        <row r="1051">
          <cell r="J1051">
            <v>1137</v>
          </cell>
          <cell r="K1051" t="str">
            <v>Mendoncia</v>
          </cell>
          <cell r="L1051" t="str">
            <v>Mendoncia_813</v>
          </cell>
          <cell r="M1051" t="str">
            <v xml:space="preserve"> =813, =1131</v>
          </cell>
          <cell r="O1051" t="str">
            <v>Acanthaceae</v>
          </cell>
          <cell r="R1051" t="str">
            <v xml:space="preserve"> </v>
          </cell>
        </row>
        <row r="1052">
          <cell r="J1052">
            <v>1138</v>
          </cell>
          <cell r="K1052" t="str">
            <v>Mikania abun resina</v>
          </cell>
          <cell r="L1052" t="str">
            <v>Aster_Rayas_Negra_769</v>
          </cell>
          <cell r="M1052" t="str">
            <v xml:space="preserve"> =1089</v>
          </cell>
          <cell r="O1052" t="str">
            <v>Asteraceae</v>
          </cell>
          <cell r="P1052" t="str">
            <v>Mikania</v>
          </cell>
          <cell r="R1052" t="str">
            <v xml:space="preserve">Mikania </v>
          </cell>
        </row>
        <row r="1053">
          <cell r="J1053">
            <v>1139</v>
          </cell>
          <cell r="K1053" t="str">
            <v>Menis fruto</v>
          </cell>
          <cell r="L1053" t="str">
            <v>Menis_fruto_1134</v>
          </cell>
          <cell r="M1053" t="str">
            <v xml:space="preserve"> =882,  =1134</v>
          </cell>
          <cell r="O1053" t="str">
            <v>Menispermaceae</v>
          </cell>
          <cell r="R1053" t="str">
            <v xml:space="preserve"> </v>
          </cell>
        </row>
        <row r="1054">
          <cell r="J1054">
            <v>1140</v>
          </cell>
          <cell r="K1054" t="str">
            <v>Pentacalia</v>
          </cell>
          <cell r="L1054" t="str">
            <v>Pentacalia_790</v>
          </cell>
          <cell r="M1054" t="str">
            <v xml:space="preserve"> =770, =790</v>
          </cell>
          <cell r="O1054" t="str">
            <v>Asteraceae</v>
          </cell>
          <cell r="P1054" t="str">
            <v>Pentacalia</v>
          </cell>
          <cell r="R1054" t="str">
            <v xml:space="preserve">Pentacalia </v>
          </cell>
        </row>
        <row r="1055">
          <cell r="J1055">
            <v>1141</v>
          </cell>
          <cell r="K1055" t="str">
            <v>menis fruto</v>
          </cell>
          <cell r="L1055" t="str">
            <v>Menis_fruto_1134</v>
          </cell>
          <cell r="M1055" t="str">
            <v xml:space="preserve"> =882,  =1134</v>
          </cell>
          <cell r="O1055" t="str">
            <v>Menispermaceae</v>
          </cell>
          <cell r="R1055" t="str">
            <v xml:space="preserve"> </v>
          </cell>
        </row>
        <row r="1056">
          <cell r="J1056">
            <v>1142</v>
          </cell>
          <cell r="K1056" t="str">
            <v>Topobea</v>
          </cell>
          <cell r="L1056" t="str">
            <v>Topobea sp. 1</v>
          </cell>
          <cell r="M1056" t="str">
            <v xml:space="preserve"> =784</v>
          </cell>
          <cell r="O1056" t="str">
            <v>Melastomataceae</v>
          </cell>
          <cell r="P1056" t="str">
            <v>Topobea</v>
          </cell>
          <cell r="R1056" t="str">
            <v xml:space="preserve">Topobea </v>
          </cell>
        </row>
        <row r="1057">
          <cell r="J1057">
            <v>1143</v>
          </cell>
          <cell r="K1057" t="str">
            <v>Mendoncia</v>
          </cell>
          <cell r="L1057" t="str">
            <v>Mendoncia_813</v>
          </cell>
          <cell r="M1057" t="str">
            <v xml:space="preserve"> =813, =1131</v>
          </cell>
          <cell r="O1057" t="str">
            <v>Acanthaceae</v>
          </cell>
          <cell r="R1057" t="str">
            <v xml:space="preserve"> </v>
          </cell>
        </row>
        <row r="1058">
          <cell r="J1058">
            <v>1144</v>
          </cell>
          <cell r="K1058" t="str">
            <v>baccharis</v>
          </cell>
          <cell r="L1058" t="str">
            <v>Baccharis_1144</v>
          </cell>
          <cell r="O1058" t="str">
            <v>Asteraceae</v>
          </cell>
          <cell r="R1058" t="str">
            <v xml:space="preserve"> </v>
          </cell>
        </row>
        <row r="1059">
          <cell r="J1059">
            <v>1146</v>
          </cell>
          <cell r="K1059" t="str">
            <v>Mikania</v>
          </cell>
          <cell r="L1059" t="str">
            <v>Aster_Rayas_Negra_769</v>
          </cell>
          <cell r="M1059" t="str">
            <v xml:space="preserve"> =1089</v>
          </cell>
          <cell r="O1059" t="str">
            <v>Asteraceae</v>
          </cell>
          <cell r="P1059" t="str">
            <v>Mikania</v>
          </cell>
          <cell r="R1059" t="str">
            <v xml:space="preserve">Mikania </v>
          </cell>
        </row>
        <row r="1060">
          <cell r="J1060">
            <v>1147</v>
          </cell>
          <cell r="K1060" t="str">
            <v>Mendoncia</v>
          </cell>
          <cell r="L1060" t="str">
            <v>Mendoncia_813</v>
          </cell>
          <cell r="M1060" t="str">
            <v xml:space="preserve"> =813, =1131</v>
          </cell>
          <cell r="O1060" t="str">
            <v>Acanthaceae</v>
          </cell>
          <cell r="R1060" t="str">
            <v xml:space="preserve"> </v>
          </cell>
        </row>
        <row r="1061">
          <cell r="J1061">
            <v>1149</v>
          </cell>
          <cell r="K1061" t="str">
            <v>Pentacalia</v>
          </cell>
          <cell r="L1061" t="str">
            <v>Pentacalia_790</v>
          </cell>
          <cell r="M1061" t="str">
            <v xml:space="preserve"> =770, =790</v>
          </cell>
          <cell r="O1061" t="str">
            <v>Asteraceae</v>
          </cell>
          <cell r="P1061" t="str">
            <v>Pentacalia</v>
          </cell>
          <cell r="R1061" t="str">
            <v xml:space="preserve">Pentacalia </v>
          </cell>
        </row>
        <row r="1062">
          <cell r="J1062">
            <v>1150</v>
          </cell>
          <cell r="K1062" t="str">
            <v>Pentacalia</v>
          </cell>
          <cell r="L1062" t="str">
            <v>Pentacalia_790</v>
          </cell>
          <cell r="M1062" t="str">
            <v xml:space="preserve"> =770, =790</v>
          </cell>
          <cell r="O1062" t="str">
            <v>Asteraceae</v>
          </cell>
          <cell r="P1062" t="str">
            <v>Pentacalia</v>
          </cell>
          <cell r="R1062" t="str">
            <v xml:space="preserve">Pentacalia </v>
          </cell>
        </row>
        <row r="1063">
          <cell r="J1063">
            <v>1151</v>
          </cell>
          <cell r="K1063" t="str">
            <v>Mikania lenticel rayas negras</v>
          </cell>
          <cell r="L1063" t="str">
            <v>Aster_Rayas_Negra_769</v>
          </cell>
          <cell r="M1063" t="str">
            <v xml:space="preserve"> =769, =1082, =1083</v>
          </cell>
          <cell r="O1063" t="str">
            <v>Asteraceae</v>
          </cell>
          <cell r="P1063" t="str">
            <v>Mikania</v>
          </cell>
          <cell r="R1063" t="str">
            <v xml:space="preserve">Mikania </v>
          </cell>
        </row>
        <row r="1064">
          <cell r="J1064">
            <v>1152</v>
          </cell>
          <cell r="K1064" t="str">
            <v>Pentacalia</v>
          </cell>
          <cell r="L1064" t="str">
            <v>Pentacalia_790</v>
          </cell>
          <cell r="M1064" t="str">
            <v xml:space="preserve"> =770, =790</v>
          </cell>
          <cell r="O1064" t="str">
            <v>Asteraceae</v>
          </cell>
          <cell r="P1064" t="str">
            <v>Pentacalia</v>
          </cell>
          <cell r="R1064" t="str">
            <v xml:space="preserve">Pentacalia </v>
          </cell>
        </row>
        <row r="1065">
          <cell r="J1065">
            <v>1153</v>
          </cell>
          <cell r="K1065" t="str">
            <v>Malpi</v>
          </cell>
          <cell r="L1065" t="str">
            <v>Malpi_1071</v>
          </cell>
          <cell r="M1065" t="str">
            <v xml:space="preserve"> =1071</v>
          </cell>
          <cell r="O1065" t="str">
            <v>Malpighiaceae</v>
          </cell>
          <cell r="R1065" t="str">
            <v xml:space="preserve"> </v>
          </cell>
        </row>
        <row r="1066">
          <cell r="J1066">
            <v>1154</v>
          </cell>
          <cell r="K1066" t="str">
            <v>Malpi</v>
          </cell>
          <cell r="L1066" t="str">
            <v>Malpi_1071</v>
          </cell>
          <cell r="M1066" t="str">
            <v xml:space="preserve"> =1071</v>
          </cell>
          <cell r="O1066" t="str">
            <v>Malpighiaceae</v>
          </cell>
          <cell r="R1066" t="str">
            <v xml:space="preserve"> </v>
          </cell>
        </row>
        <row r="1067">
          <cell r="J1067">
            <v>1155</v>
          </cell>
          <cell r="K1067" t="str">
            <v>Miconia sesil</v>
          </cell>
          <cell r="L1067" t="str">
            <v>Miconia_sesil_raiz</v>
          </cell>
          <cell r="O1067" t="str">
            <v>Melastomataceae</v>
          </cell>
          <cell r="R1067" t="str">
            <v xml:space="preserve"> </v>
          </cell>
        </row>
        <row r="1068">
          <cell r="J1068">
            <v>1156</v>
          </cell>
          <cell r="K1068" t="str">
            <v>Miconia sesil</v>
          </cell>
          <cell r="L1068" t="str">
            <v>Miconia_sesil_raiz</v>
          </cell>
          <cell r="O1068" t="str">
            <v>Melastomataceae</v>
          </cell>
          <cell r="R1068" t="str">
            <v xml:space="preserve"> </v>
          </cell>
        </row>
        <row r="1069">
          <cell r="J1069">
            <v>1157</v>
          </cell>
          <cell r="K1069" t="str">
            <v>Miconia sesil</v>
          </cell>
          <cell r="L1069" t="str">
            <v>Miconia_sesil</v>
          </cell>
          <cell r="O1069" t="str">
            <v>Melastomataceae</v>
          </cell>
          <cell r="R1069" t="str">
            <v xml:space="preserve"> </v>
          </cell>
        </row>
        <row r="1070">
          <cell r="J1070">
            <v>1158</v>
          </cell>
          <cell r="K1070" t="str">
            <v>Mikania lenticel negra</v>
          </cell>
          <cell r="L1070" t="str">
            <v>Mikania lenticel negra</v>
          </cell>
          <cell r="O1070" t="str">
            <v>Asteraceae</v>
          </cell>
          <cell r="R1070" t="str">
            <v xml:space="preserve"> </v>
          </cell>
        </row>
        <row r="1071">
          <cell r="J1071">
            <v>1159</v>
          </cell>
          <cell r="K1071" t="str">
            <v>Miconia sesil</v>
          </cell>
          <cell r="L1071" t="str">
            <v>Miconia_sesil_raiz</v>
          </cell>
          <cell r="O1071" t="str">
            <v>Melastomataceae</v>
          </cell>
          <cell r="R1071" t="str">
            <v xml:space="preserve"> </v>
          </cell>
        </row>
        <row r="1072">
          <cell r="J1072">
            <v>1160</v>
          </cell>
          <cell r="K1072" t="str">
            <v>Miconia sesil</v>
          </cell>
          <cell r="L1072" t="str">
            <v>Miconia_sesil</v>
          </cell>
          <cell r="O1072" t="str">
            <v>Melastomataceae</v>
          </cell>
          <cell r="R1072" t="str">
            <v xml:space="preserve"> </v>
          </cell>
        </row>
        <row r="1073">
          <cell r="J1073">
            <v>1161</v>
          </cell>
          <cell r="K1073" t="str">
            <v>Mikania lenticel negra</v>
          </cell>
          <cell r="L1073" t="str">
            <v>Mikania lenticel negra</v>
          </cell>
          <cell r="O1073" t="str">
            <v>Asteraceae</v>
          </cell>
          <cell r="R1073" t="str">
            <v xml:space="preserve"> </v>
          </cell>
        </row>
        <row r="1074">
          <cell r="J1074">
            <v>1163</v>
          </cell>
          <cell r="K1074" t="str">
            <v>Topobea</v>
          </cell>
          <cell r="L1074" t="str">
            <v>Topobea sp. 1</v>
          </cell>
          <cell r="O1074" t="str">
            <v>Melastomataceae</v>
          </cell>
          <cell r="P1074" t="str">
            <v>Topobea</v>
          </cell>
          <cell r="R1074" t="str">
            <v xml:space="preserve">Topobea </v>
          </cell>
        </row>
        <row r="1075">
          <cell r="J1075">
            <v>1164</v>
          </cell>
          <cell r="K1075" t="str">
            <v>Mikania lenti negro</v>
          </cell>
          <cell r="L1075" t="str">
            <v>No_Mikania lenticel negra</v>
          </cell>
          <cell r="R1075" t="str">
            <v xml:space="preserve"> </v>
          </cell>
        </row>
        <row r="1076">
          <cell r="J1076">
            <v>1165</v>
          </cell>
          <cell r="K1076" t="str">
            <v>Mikania lisa, abun resina</v>
          </cell>
          <cell r="L1076" t="str">
            <v>Aster_Rayas_Negra_769</v>
          </cell>
          <cell r="M1076" t="str">
            <v xml:space="preserve"> =1089</v>
          </cell>
          <cell r="O1076" t="str">
            <v>Asteraceae</v>
          </cell>
          <cell r="P1076" t="str">
            <v>Mikania</v>
          </cell>
          <cell r="R1076" t="str">
            <v xml:space="preserve">Mikania </v>
          </cell>
        </row>
        <row r="1077">
          <cell r="J1077">
            <v>1166</v>
          </cell>
          <cell r="K1077" t="str">
            <v>Mikania lisa, abun resina</v>
          </cell>
          <cell r="L1077" t="str">
            <v>Aster_Rayas_Negra_769</v>
          </cell>
          <cell r="M1077" t="str">
            <v xml:space="preserve"> =1089</v>
          </cell>
          <cell r="O1077" t="str">
            <v>Asteraceae</v>
          </cell>
          <cell r="P1077" t="str">
            <v>Mikania</v>
          </cell>
          <cell r="R1077" t="str">
            <v xml:space="preserve">Mikania </v>
          </cell>
        </row>
        <row r="1078">
          <cell r="J1078">
            <v>1167</v>
          </cell>
          <cell r="K1078" t="str">
            <v>Mikania H.S.O. enves blanco, musilago</v>
          </cell>
          <cell r="L1078" t="str">
            <v>Mikania_1167</v>
          </cell>
          <cell r="O1078" t="str">
            <v>Asteraceae</v>
          </cell>
          <cell r="R1078" t="str">
            <v xml:space="preserve"> </v>
          </cell>
        </row>
        <row r="1079">
          <cell r="J1079">
            <v>1168</v>
          </cell>
          <cell r="K1079" t="str">
            <v>Siphocampylus</v>
          </cell>
          <cell r="L1079" t="str">
            <v>siphocampylus_995</v>
          </cell>
          <cell r="O1079" t="str">
            <v>Campanulaceae</v>
          </cell>
          <cell r="P1079" t="str">
            <v>Siphocampylus</v>
          </cell>
          <cell r="R1079" t="str">
            <v xml:space="preserve">Siphocampylus </v>
          </cell>
        </row>
        <row r="1080">
          <cell r="J1080">
            <v>1170</v>
          </cell>
          <cell r="K1080" t="str">
            <v>Mikania, H.S.O. mucilago, enves blanco</v>
          </cell>
          <cell r="L1080" t="str">
            <v>Mikania enves blanco</v>
          </cell>
          <cell r="O1080" t="str">
            <v>Asteraceae</v>
          </cell>
          <cell r="P1080" t="str">
            <v>Mikania</v>
          </cell>
          <cell r="R1080" t="str">
            <v xml:space="preserve">Mikania </v>
          </cell>
        </row>
        <row r="1081">
          <cell r="J1081">
            <v>1171</v>
          </cell>
          <cell r="K1081" t="str">
            <v>Mikania mucilago-enves blanco</v>
          </cell>
          <cell r="L1081" t="str">
            <v>Mikania_1167</v>
          </cell>
          <cell r="O1081" t="str">
            <v>Asteraceae</v>
          </cell>
          <cell r="R1081" t="str">
            <v xml:space="preserve"> </v>
          </cell>
        </row>
        <row r="1082">
          <cell r="J1082">
            <v>1172</v>
          </cell>
          <cell r="K1082" t="str">
            <v>Sp. H.S.A.</v>
          </cell>
          <cell r="L1082" t="str">
            <v>H.S.A.</v>
          </cell>
          <cell r="R1082" t="str">
            <v xml:space="preserve"> </v>
          </cell>
        </row>
        <row r="1083">
          <cell r="J1083">
            <v>1174</v>
          </cell>
          <cell r="K1083" t="str">
            <v>Aster H.S.A. crasa blanca</v>
          </cell>
          <cell r="L1083" t="str">
            <v>Aster H.S.A. crasa blanca</v>
          </cell>
          <cell r="O1083" t="str">
            <v>Asteraceae</v>
          </cell>
          <cell r="R1083" t="str">
            <v xml:space="preserve"> </v>
          </cell>
        </row>
        <row r="1084">
          <cell r="J1084">
            <v>1175</v>
          </cell>
          <cell r="K1084" t="str">
            <v>Sp. H.S.A.</v>
          </cell>
          <cell r="L1084" t="str">
            <v>H.S.A.</v>
          </cell>
          <cell r="R1084" t="str">
            <v xml:space="preserve"> </v>
          </cell>
        </row>
        <row r="1085">
          <cell r="J1085">
            <v>1176</v>
          </cell>
          <cell r="K1085" t="str">
            <v>Mikania, mucilado-enves blanco</v>
          </cell>
          <cell r="L1085" t="str">
            <v>Mikania_1167</v>
          </cell>
          <cell r="O1085" t="str">
            <v>Asteraceae</v>
          </cell>
          <cell r="R1085" t="str">
            <v xml:space="preserve"> </v>
          </cell>
        </row>
        <row r="1086">
          <cell r="J1086">
            <v>1177</v>
          </cell>
          <cell r="K1086" t="str">
            <v>Mikania abun resina</v>
          </cell>
          <cell r="L1086" t="str">
            <v>Aster_Rayas_Negra_769</v>
          </cell>
          <cell r="M1086" t="str">
            <v xml:space="preserve"> =1089</v>
          </cell>
          <cell r="O1086" t="str">
            <v>Asteraceae</v>
          </cell>
          <cell r="P1086" t="str">
            <v>Mikania</v>
          </cell>
          <cell r="R1086" t="str">
            <v xml:space="preserve">Mikania </v>
          </cell>
        </row>
        <row r="1087">
          <cell r="J1087">
            <v>1178</v>
          </cell>
          <cell r="K1087" t="str">
            <v>Topobea</v>
          </cell>
          <cell r="L1087" t="str">
            <v>Topobea sp. 1</v>
          </cell>
          <cell r="O1087" t="str">
            <v>Melastomataceae</v>
          </cell>
          <cell r="P1087" t="str">
            <v>Topobea</v>
          </cell>
          <cell r="R1087" t="str">
            <v xml:space="preserve">Topobea </v>
          </cell>
        </row>
        <row r="1088">
          <cell r="J1088">
            <v>1179</v>
          </cell>
          <cell r="K1088" t="str">
            <v>Aster, sp. H.S.A. crasa dulce</v>
          </cell>
          <cell r="L1088" t="str">
            <v>aster_115</v>
          </cell>
          <cell r="M1088" t="str">
            <v xml:space="preserve"> =1179</v>
          </cell>
          <cell r="O1088" t="str">
            <v>Asteraceae</v>
          </cell>
          <cell r="R1088" t="str">
            <v xml:space="preserve"> </v>
          </cell>
        </row>
        <row r="1089">
          <cell r="J1089">
            <v>1180</v>
          </cell>
          <cell r="K1089" t="str">
            <v>Sp. H.S.A. crasa grande</v>
          </cell>
          <cell r="L1089" t="str">
            <v>aster_115</v>
          </cell>
          <cell r="M1089" t="str">
            <v xml:space="preserve"> =1179</v>
          </cell>
          <cell r="O1089" t="str">
            <v>Asteraceae</v>
          </cell>
          <cell r="R1089" t="str">
            <v xml:space="preserve"> </v>
          </cell>
        </row>
        <row r="1090">
          <cell r="J1090">
            <v>1181</v>
          </cell>
          <cell r="K1090" t="str">
            <v>Sp. H.S.O, blanco-olor valeriana, mal olor</v>
          </cell>
          <cell r="L1090" t="str">
            <v>mikania hso-negro-dulce</v>
          </cell>
          <cell r="M1090" t="str">
            <v xml:space="preserve"> =1124</v>
          </cell>
          <cell r="N1090" t="str">
            <v>Berthil (Valeriana)</v>
          </cell>
          <cell r="O1090" t="str">
            <v>Valerianaceae</v>
          </cell>
          <cell r="P1090" t="str">
            <v>Valeriana</v>
          </cell>
          <cell r="R1090" t="str">
            <v xml:space="preserve">Valeriana </v>
          </cell>
        </row>
        <row r="1091">
          <cell r="J1091">
            <v>1182</v>
          </cell>
          <cell r="K1091" t="str">
            <v>Sp. H.S.O, blanco-olor valeriana, mal olor</v>
          </cell>
          <cell r="L1091" t="str">
            <v>mikania hso-negro-dulce</v>
          </cell>
          <cell r="M1091" t="str">
            <v xml:space="preserve"> =1124</v>
          </cell>
          <cell r="O1091" t="str">
            <v>Valerianaceae</v>
          </cell>
          <cell r="P1091" t="str">
            <v>Valeriana</v>
          </cell>
          <cell r="R1091" t="str">
            <v xml:space="preserve">Valeriana </v>
          </cell>
        </row>
        <row r="1092">
          <cell r="J1092">
            <v>1183</v>
          </cell>
          <cell r="K1092" t="str">
            <v>Sp. H.S.A.</v>
          </cell>
          <cell r="L1092" t="str">
            <v>H.S.A.</v>
          </cell>
          <cell r="R1092" t="str">
            <v xml:space="preserve"> </v>
          </cell>
        </row>
        <row r="1093">
          <cell r="J1093">
            <v>1184</v>
          </cell>
          <cell r="K1093" t="str">
            <v>Sp. Int. rojizo, H.S.A. crasa, fisura pronunciada</v>
          </cell>
          <cell r="L1093" t="str">
            <v>Marc_1184</v>
          </cell>
          <cell r="N1093" t="str">
            <v>Berthil (podria ser Marcgravia)</v>
          </cell>
          <cell r="O1093" t="str">
            <v>Marcgraviaceae</v>
          </cell>
          <cell r="R1093" t="str">
            <v xml:space="preserve"> </v>
          </cell>
        </row>
        <row r="1094">
          <cell r="J1094">
            <v>1187</v>
          </cell>
          <cell r="K1094" t="str">
            <v>sp.</v>
          </cell>
          <cell r="L1094" t="str">
            <v>sp_SF_1187</v>
          </cell>
          <cell r="R1094" t="str">
            <v xml:space="preserve"> </v>
          </cell>
        </row>
        <row r="1095">
          <cell r="J1095">
            <v>1189</v>
          </cell>
          <cell r="K1095" t="str">
            <v>Mikania abund resina</v>
          </cell>
          <cell r="L1095" t="str">
            <v>Aster_Rayas_Negra_769</v>
          </cell>
          <cell r="M1095" t="str">
            <v xml:space="preserve"> =1089</v>
          </cell>
          <cell r="O1095" t="str">
            <v>Asteraceae</v>
          </cell>
          <cell r="P1095" t="str">
            <v>Mikania</v>
          </cell>
          <cell r="R1095" t="str">
            <v xml:space="preserve">Mikania </v>
          </cell>
        </row>
        <row r="1096">
          <cell r="J1096">
            <v>1191</v>
          </cell>
          <cell r="K1096" t="str">
            <v>Mikania abun res</v>
          </cell>
          <cell r="L1096" t="str">
            <v>Aster_Rayas_Negra_769</v>
          </cell>
          <cell r="M1096" t="str">
            <v xml:space="preserve"> =1089</v>
          </cell>
          <cell r="O1096" t="str">
            <v>Asteraceae</v>
          </cell>
          <cell r="P1096" t="str">
            <v>Mikania</v>
          </cell>
          <cell r="R1096" t="str">
            <v xml:space="preserve">Mikania </v>
          </cell>
        </row>
        <row r="1097">
          <cell r="J1097">
            <v>1192</v>
          </cell>
          <cell r="K1097" t="str">
            <v>Mikania abun res</v>
          </cell>
          <cell r="L1097" t="str">
            <v>Aster_Rayas_Negra_769</v>
          </cell>
          <cell r="M1097" t="str">
            <v xml:space="preserve"> =1089</v>
          </cell>
          <cell r="O1097" t="str">
            <v>Asteraceae</v>
          </cell>
          <cell r="P1097" t="str">
            <v>Mikania</v>
          </cell>
          <cell r="R1097" t="str">
            <v xml:space="preserve">Mikania </v>
          </cell>
        </row>
        <row r="1098">
          <cell r="J1098">
            <v>1193</v>
          </cell>
          <cell r="K1098" t="str">
            <v>Mikania abun res</v>
          </cell>
          <cell r="L1098" t="str">
            <v>Aster_Rayas_Negra_769</v>
          </cell>
          <cell r="M1098" t="str">
            <v xml:space="preserve"> =1089</v>
          </cell>
          <cell r="O1098" t="str">
            <v>Asteraceae</v>
          </cell>
          <cell r="P1098" t="str">
            <v>Mikania</v>
          </cell>
          <cell r="R1098" t="str">
            <v xml:space="preserve">Mikania </v>
          </cell>
        </row>
        <row r="1099">
          <cell r="J1099">
            <v>1194</v>
          </cell>
          <cell r="K1099" t="str">
            <v>Mikania enves blanco</v>
          </cell>
          <cell r="L1099" t="str">
            <v>Mikania enves blanco</v>
          </cell>
          <cell r="O1099" t="str">
            <v>Asteraceae</v>
          </cell>
          <cell r="P1099" t="str">
            <v>Mikania</v>
          </cell>
          <cell r="R1099" t="str">
            <v xml:space="preserve">Mikania </v>
          </cell>
        </row>
        <row r="1100">
          <cell r="J1100">
            <v>1195</v>
          </cell>
          <cell r="K1100" t="str">
            <v>Mikania enves blanco</v>
          </cell>
          <cell r="L1100" t="str">
            <v>Mikania enves blanco</v>
          </cell>
          <cell r="O1100" t="str">
            <v>Asteraceae</v>
          </cell>
          <cell r="P1100" t="str">
            <v>Mikania</v>
          </cell>
          <cell r="R1100" t="str">
            <v xml:space="preserve">Mikania </v>
          </cell>
        </row>
        <row r="1101">
          <cell r="J1101">
            <v>1196</v>
          </cell>
          <cell r="K1101" t="str">
            <v>Mikania enves blanco</v>
          </cell>
          <cell r="L1101" t="str">
            <v>Mikania enves blanco</v>
          </cell>
          <cell r="O1101" t="str">
            <v>Asteraceae</v>
          </cell>
          <cell r="P1101" t="str">
            <v>Mikania</v>
          </cell>
          <cell r="R1101" t="str">
            <v xml:space="preserve">Mikania </v>
          </cell>
        </row>
        <row r="1102">
          <cell r="J1102">
            <v>1197</v>
          </cell>
          <cell r="K1102" t="str">
            <v>Mikania rayas negras</v>
          </cell>
          <cell r="L1102" t="str">
            <v>Aster_Rayas_Negra_769</v>
          </cell>
          <cell r="M1102" t="str">
            <v xml:space="preserve"> =769, =1082, =1083</v>
          </cell>
          <cell r="O1102" t="str">
            <v>Asteraceae</v>
          </cell>
          <cell r="P1102" t="str">
            <v>Mikania</v>
          </cell>
          <cell r="R1102" t="str">
            <v xml:space="preserve">Mikania </v>
          </cell>
        </row>
        <row r="1103">
          <cell r="J1103">
            <v>1198</v>
          </cell>
          <cell r="K1103" t="str">
            <v>Miconia sesil</v>
          </cell>
          <cell r="L1103" t="str">
            <v>No_Miconia sesil</v>
          </cell>
          <cell r="R1103" t="str">
            <v xml:space="preserve"> </v>
          </cell>
        </row>
        <row r="1104">
          <cell r="J1104">
            <v>1199</v>
          </cell>
          <cell r="K1104" t="str">
            <v>Pentacalia</v>
          </cell>
          <cell r="L1104" t="str">
            <v>Pentacalia_790</v>
          </cell>
          <cell r="M1104" t="str">
            <v xml:space="preserve"> =770, =790</v>
          </cell>
          <cell r="O1104" t="str">
            <v>Asteraceae</v>
          </cell>
          <cell r="P1104" t="str">
            <v>Pentacalia</v>
          </cell>
          <cell r="R1104" t="str">
            <v xml:space="preserve">Pentacalia </v>
          </cell>
        </row>
        <row r="1105">
          <cell r="J1105">
            <v>1200</v>
          </cell>
          <cell r="K1105" t="str">
            <v>Siphocampylus</v>
          </cell>
          <cell r="L1105" t="str">
            <v>siphocampylus_995</v>
          </cell>
          <cell r="O1105" t="str">
            <v>Campanulaceae</v>
          </cell>
          <cell r="P1105" t="str">
            <v>Siphocampylus</v>
          </cell>
          <cell r="R1105" t="str">
            <v xml:space="preserve">Siphocampylus </v>
          </cell>
        </row>
        <row r="1106">
          <cell r="J1106">
            <v>1241</v>
          </cell>
          <cell r="K1106" t="str">
            <v>Malpi</v>
          </cell>
          <cell r="L1106" t="str">
            <v>Malpi_1071</v>
          </cell>
          <cell r="M1106" t="str">
            <v xml:space="preserve"> =1071</v>
          </cell>
          <cell r="O1106" t="str">
            <v>Malpighiaceae</v>
          </cell>
          <cell r="R1106" t="str">
            <v xml:space="preserve"> </v>
          </cell>
        </row>
        <row r="1107">
          <cell r="J1107">
            <v>1242</v>
          </cell>
          <cell r="K1107" t="str">
            <v>Malpi</v>
          </cell>
          <cell r="L1107" t="str">
            <v>Malpi_1071</v>
          </cell>
          <cell r="M1107" t="str">
            <v xml:space="preserve"> =1071</v>
          </cell>
          <cell r="O1107" t="str">
            <v>Malpighiaceae</v>
          </cell>
          <cell r="R1107" t="str">
            <v xml:space="preserve"> </v>
          </cell>
        </row>
        <row r="1108">
          <cell r="J1108">
            <v>1243</v>
          </cell>
          <cell r="K1108" t="str">
            <v>Malpi</v>
          </cell>
          <cell r="L1108" t="str">
            <v>Malpi_1071</v>
          </cell>
          <cell r="M1108" t="str">
            <v xml:space="preserve"> =1071</v>
          </cell>
          <cell r="O1108" t="str">
            <v>Malpighiaceae</v>
          </cell>
          <cell r="R1108" t="str">
            <v xml:space="preserve"> </v>
          </cell>
        </row>
        <row r="1109">
          <cell r="J1109">
            <v>1244</v>
          </cell>
          <cell r="K1109" t="str">
            <v>Malpi</v>
          </cell>
          <cell r="L1109" t="str">
            <v>Malpi_1071</v>
          </cell>
          <cell r="M1109" t="str">
            <v xml:space="preserve"> =1071</v>
          </cell>
          <cell r="O1109" t="str">
            <v>Malpighiaceae</v>
          </cell>
          <cell r="R1109" t="str">
            <v xml:space="preserve"> </v>
          </cell>
        </row>
        <row r="1110">
          <cell r="J1110">
            <v>1245</v>
          </cell>
          <cell r="K1110" t="str">
            <v>Malpi</v>
          </cell>
          <cell r="L1110" t="str">
            <v>Malpi_1071</v>
          </cell>
          <cell r="M1110" t="str">
            <v xml:space="preserve"> =1071</v>
          </cell>
          <cell r="O1110" t="str">
            <v>Malpighiaceae</v>
          </cell>
          <cell r="R1110" t="str">
            <v xml:space="preserve"> </v>
          </cell>
        </row>
        <row r="1111">
          <cell r="J1111">
            <v>1246</v>
          </cell>
          <cell r="K1111" t="str">
            <v>Pentacalia</v>
          </cell>
          <cell r="L1111" t="str">
            <v>Pentacalia_790</v>
          </cell>
          <cell r="M1111" t="str">
            <v xml:space="preserve"> =770, =790</v>
          </cell>
          <cell r="O1111" t="str">
            <v>Asteraceae</v>
          </cell>
          <cell r="P1111" t="str">
            <v>Pentacalia</v>
          </cell>
          <cell r="R1111" t="str">
            <v xml:space="preserve">Pentacalia </v>
          </cell>
        </row>
        <row r="1112">
          <cell r="J1112">
            <v>1248</v>
          </cell>
          <cell r="K1112" t="str">
            <v>Malpi</v>
          </cell>
          <cell r="L1112" t="str">
            <v>Malpi_1071</v>
          </cell>
          <cell r="M1112" t="str">
            <v xml:space="preserve"> =1071</v>
          </cell>
          <cell r="O1112" t="str">
            <v>Malpighiaceae</v>
          </cell>
          <cell r="R1112" t="str">
            <v xml:space="preserve"> </v>
          </cell>
        </row>
        <row r="1113">
          <cell r="J1113">
            <v>1249</v>
          </cell>
          <cell r="K1113" t="str">
            <v>Malpi</v>
          </cell>
          <cell r="L1113" t="str">
            <v>Malpi_1071</v>
          </cell>
          <cell r="M1113" t="str">
            <v xml:space="preserve"> =1071</v>
          </cell>
          <cell r="O1113" t="str">
            <v>Malpighiaceae</v>
          </cell>
          <cell r="R1113" t="str">
            <v xml:space="preserve"> </v>
          </cell>
        </row>
        <row r="1114">
          <cell r="J1114">
            <v>1250</v>
          </cell>
          <cell r="K1114" t="str">
            <v>Malpi</v>
          </cell>
          <cell r="L1114" t="str">
            <v>Malpi_1071</v>
          </cell>
          <cell r="M1114" t="str">
            <v xml:space="preserve"> =1071</v>
          </cell>
          <cell r="O1114" t="str">
            <v>Malpighiaceae</v>
          </cell>
          <cell r="R1114" t="str">
            <v xml:space="preserve"> </v>
          </cell>
        </row>
        <row r="1115">
          <cell r="J1115">
            <v>1251</v>
          </cell>
          <cell r="K1115" t="str">
            <v>Topobea</v>
          </cell>
          <cell r="L1115" t="str">
            <v>Topobea sp. 1</v>
          </cell>
          <cell r="O1115" t="str">
            <v>Melastomataceae</v>
          </cell>
          <cell r="P1115" t="str">
            <v>Topobea</v>
          </cell>
          <cell r="R1115" t="str">
            <v xml:space="preserve">Topobea </v>
          </cell>
        </row>
        <row r="1116">
          <cell r="J1116">
            <v>1252</v>
          </cell>
          <cell r="K1116" t="str">
            <v>Miconia</v>
          </cell>
          <cell r="L1116" t="str">
            <v>Miconia_sesil</v>
          </cell>
          <cell r="O1116" t="str">
            <v>Melastomataceae</v>
          </cell>
          <cell r="R1116" t="str">
            <v xml:space="preserve"> </v>
          </cell>
        </row>
        <row r="1117">
          <cell r="J1117">
            <v>1253</v>
          </cell>
          <cell r="K1117" t="str">
            <v>Pentacalia</v>
          </cell>
          <cell r="L1117" t="str">
            <v>Pentacalia_790</v>
          </cell>
          <cell r="M1117" t="str">
            <v xml:space="preserve"> =770, =790</v>
          </cell>
          <cell r="O1117" t="str">
            <v>Asteraceae</v>
          </cell>
          <cell r="P1117" t="str">
            <v>Pentacalia</v>
          </cell>
          <cell r="R1117" t="str">
            <v xml:space="preserve">Pentacalia </v>
          </cell>
        </row>
        <row r="1118">
          <cell r="J1118">
            <v>1255</v>
          </cell>
          <cell r="K1118" t="str">
            <v>Siphocampylus</v>
          </cell>
          <cell r="L1118" t="str">
            <v>siphocampylus_995</v>
          </cell>
          <cell r="O1118" t="str">
            <v>Campanulaceae</v>
          </cell>
          <cell r="P1118" t="str">
            <v>Siphocampylus</v>
          </cell>
          <cell r="R1118" t="str">
            <v xml:space="preserve">Siphocampylus </v>
          </cell>
        </row>
        <row r="1119">
          <cell r="J1119">
            <v>1256</v>
          </cell>
          <cell r="K1119" t="str">
            <v>en verticilo</v>
          </cell>
          <cell r="L1119" t="str">
            <v>verticilo_1256</v>
          </cell>
          <cell r="M1119" t="str">
            <v xml:space="preserve"> =1256</v>
          </cell>
          <cell r="N1119" t="str">
            <v>jurgen (cf. Celastraceae), =1256, 1324; Berthil =1330</v>
          </cell>
          <cell r="O1119" t="str">
            <v>0_cf. Celastraceae</v>
          </cell>
          <cell r="R1119" t="str">
            <v xml:space="preserve"> </v>
          </cell>
        </row>
        <row r="1120">
          <cell r="J1120">
            <v>1258</v>
          </cell>
          <cell r="K1120" t="str">
            <v>Asteraceae 1</v>
          </cell>
          <cell r="L1120" t="str">
            <v>Flor blanca</v>
          </cell>
          <cell r="M1120" t="str">
            <v xml:space="preserve"> =1258</v>
          </cell>
          <cell r="N1120" t="str">
            <v>jurgen &amp; Berthil (mikania) =1271, 1268, 1269, 1265, 1258</v>
          </cell>
          <cell r="O1120" t="str">
            <v>Asteraceae</v>
          </cell>
          <cell r="P1120" t="str">
            <v>Mikania</v>
          </cell>
          <cell r="R1120" t="str">
            <v xml:space="preserve">Mikania </v>
          </cell>
        </row>
        <row r="1121">
          <cell r="J1121">
            <v>1265</v>
          </cell>
          <cell r="K1121" t="str">
            <v>Asteraceae 1</v>
          </cell>
          <cell r="L1121" t="str">
            <v>Flor blanca</v>
          </cell>
          <cell r="M1121" t="str">
            <v xml:space="preserve"> =1258, =1271</v>
          </cell>
          <cell r="N1121" t="str">
            <v>jurgen &amp; Berthil (mikania) =1271, 1268, 1269, 1265, 1258</v>
          </cell>
          <cell r="O1121" t="str">
            <v>Asteraceae</v>
          </cell>
          <cell r="P1121" t="str">
            <v>Mikania</v>
          </cell>
          <cell r="R1121" t="str">
            <v xml:space="preserve">Mikania </v>
          </cell>
        </row>
        <row r="1122">
          <cell r="J1122">
            <v>1266</v>
          </cell>
          <cell r="K1122" t="str">
            <v>Asteraceae 2</v>
          </cell>
          <cell r="L1122" t="str">
            <v>Asteraceae 2</v>
          </cell>
          <cell r="N1122" t="str">
            <v xml:space="preserve"> jurgen (mikania) = 1260, 1267, 1266; Berthil (Critonia cf.), =1260,1266</v>
          </cell>
          <cell r="O1122" t="str">
            <v>Asteraceae</v>
          </cell>
          <cell r="P1122" t="str">
            <v>0_Critonia, mikania??</v>
          </cell>
          <cell r="R1122" t="str">
            <v xml:space="preserve">0_Critonia, mikania?? </v>
          </cell>
        </row>
        <row r="1123">
          <cell r="J1123">
            <v>1267</v>
          </cell>
          <cell r="K1123" t="str">
            <v>Asteraceae 2</v>
          </cell>
          <cell r="L1123" t="str">
            <v>Asteraceae 2</v>
          </cell>
          <cell r="N1123" t="str">
            <v xml:space="preserve"> jurgen (mikania) = 1260, 1267, 1266; Berthil (Critonia cf.), =1260,1266</v>
          </cell>
          <cell r="O1123" t="str">
            <v>Asteraceae</v>
          </cell>
          <cell r="P1123" t="str">
            <v>0_Critonia, mikania??</v>
          </cell>
          <cell r="R1123" t="str">
            <v xml:space="preserve">0_Critonia, mikania?? </v>
          </cell>
        </row>
        <row r="1124">
          <cell r="J1124">
            <v>1268</v>
          </cell>
          <cell r="K1124" t="str">
            <v>Asteraceae 1</v>
          </cell>
          <cell r="L1124" t="str">
            <v>Flor blanca</v>
          </cell>
          <cell r="M1124" t="str">
            <v xml:space="preserve"> =1258</v>
          </cell>
          <cell r="N1124" t="str">
            <v>jurgen &amp; Berthil (mikania) =1271, 1268, 1269, 1265, 1258</v>
          </cell>
          <cell r="O1124" t="str">
            <v>Asteraceae</v>
          </cell>
          <cell r="P1124" t="str">
            <v>Mikania</v>
          </cell>
          <cell r="R1124" t="str">
            <v xml:space="preserve">Mikania </v>
          </cell>
        </row>
        <row r="1125">
          <cell r="J1125">
            <v>1269</v>
          </cell>
          <cell r="K1125" t="str">
            <v>Asteraceae 1</v>
          </cell>
          <cell r="L1125" t="str">
            <v>Flor blanca</v>
          </cell>
          <cell r="M1125" t="str">
            <v xml:space="preserve"> =1258</v>
          </cell>
          <cell r="N1125" t="str">
            <v>jurgen &amp; Berthil (mikania) =1271, 1268, 1269, 1265, 1258</v>
          </cell>
          <cell r="O1125" t="str">
            <v>Asteraceae</v>
          </cell>
          <cell r="P1125" t="str">
            <v>Mikania</v>
          </cell>
          <cell r="R1125" t="str">
            <v xml:space="preserve">Mikania </v>
          </cell>
        </row>
        <row r="1126">
          <cell r="J1126">
            <v>1270</v>
          </cell>
          <cell r="K1126" t="str">
            <v>nervaduras translucidas</v>
          </cell>
          <cell r="L1126" t="str">
            <v>translucidas_1270</v>
          </cell>
          <cell r="M1126" t="str">
            <v xml:space="preserve"> =1270</v>
          </cell>
          <cell r="R1126" t="str">
            <v xml:space="preserve"> </v>
          </cell>
        </row>
        <row r="1127">
          <cell r="J1127">
            <v>1271</v>
          </cell>
          <cell r="K1127" t="str">
            <v>Asteraceae 1</v>
          </cell>
          <cell r="L1127" t="str">
            <v>Flor blanca</v>
          </cell>
          <cell r="M1127" t="str">
            <v xml:space="preserve"> =1258</v>
          </cell>
          <cell r="N1127" t="str">
            <v>jurgen &amp; Berthil (mikania) =1271, 1268, 1269, 1265, 1258</v>
          </cell>
          <cell r="O1127" t="str">
            <v>Asteraceae</v>
          </cell>
          <cell r="P1127" t="str">
            <v>Mikania</v>
          </cell>
          <cell r="R1127" t="str">
            <v xml:space="preserve">Mikania </v>
          </cell>
        </row>
        <row r="1128">
          <cell r="J1128">
            <v>1272</v>
          </cell>
          <cell r="K1128" t="str">
            <v>Apocynaceae_cajanuma</v>
          </cell>
          <cell r="L1128" t="str">
            <v>Apoc_1272</v>
          </cell>
          <cell r="N1128" t="str">
            <v>Berthil (Apocynaceae)</v>
          </cell>
          <cell r="O1128" t="str">
            <v>Apocynaceae</v>
          </cell>
          <cell r="P1128" t="str">
            <v>Mandevilla</v>
          </cell>
          <cell r="Q1128" t="str">
            <v>cf. ligustriflora</v>
          </cell>
          <cell r="R1128" t="str">
            <v>Mandevilla cf. ligustriflora</v>
          </cell>
        </row>
        <row r="1129">
          <cell r="J1129">
            <v>1273</v>
          </cell>
          <cell r="K1129" t="str">
            <v>Espinitas enves</v>
          </cell>
          <cell r="L1129" t="str">
            <v>Asteraceae 8 (Flores amarillas, hoja pequena)/Patitas de algodon plateado</v>
          </cell>
          <cell r="M1129" t="str">
            <v xml:space="preserve"> =1284, =1376</v>
          </cell>
          <cell r="N1129" t="str">
            <v>jurgen (cf. Asteraceae), =1326</v>
          </cell>
          <cell r="O1129" t="str">
            <v>Asteraceae</v>
          </cell>
          <cell r="P1129" t="str">
            <v>Pentacalia</v>
          </cell>
          <cell r="R1129" t="str">
            <v xml:space="preserve">Pentacalia </v>
          </cell>
        </row>
        <row r="1130">
          <cell r="J1130">
            <v>1274</v>
          </cell>
          <cell r="K1130" t="str">
            <v>Hoja carnosa con terminacion morada</v>
          </cell>
          <cell r="L1130" t="str">
            <v>carnosa_terminacion_morada_1285</v>
          </cell>
          <cell r="M1130" t="str">
            <v xml:space="preserve"> =1274</v>
          </cell>
          <cell r="O1130" t="str">
            <v>0_cf. Asteraceae</v>
          </cell>
          <cell r="R1130" t="str">
            <v xml:space="preserve"> </v>
          </cell>
        </row>
        <row r="1131">
          <cell r="J1131">
            <v>1275</v>
          </cell>
          <cell r="K1131" t="str">
            <v>Asteraceae 2</v>
          </cell>
          <cell r="L1131" t="str">
            <v>Asteraceae 2</v>
          </cell>
          <cell r="O1131" t="str">
            <v>Asteraceae</v>
          </cell>
          <cell r="P1131" t="str">
            <v>0_Critonia, mikania??</v>
          </cell>
          <cell r="R1131" t="str">
            <v xml:space="preserve">0_Critonia, mikania?? </v>
          </cell>
        </row>
        <row r="1132">
          <cell r="J1132">
            <v>1276</v>
          </cell>
          <cell r="K1132" t="str">
            <v>Asteraceae 2</v>
          </cell>
          <cell r="L1132" t="str">
            <v>Asteraceae 2</v>
          </cell>
          <cell r="O1132" t="str">
            <v>Asteraceae</v>
          </cell>
          <cell r="P1132" t="str">
            <v>0_Critonia, mikania??</v>
          </cell>
          <cell r="R1132" t="str">
            <v xml:space="preserve">0_Critonia, mikania?? </v>
          </cell>
        </row>
        <row r="1133">
          <cell r="J1133">
            <v>1278</v>
          </cell>
          <cell r="K1133" t="str">
            <v>Asteraceae 3</v>
          </cell>
          <cell r="L1133" t="str">
            <v>Asteraceae 3</v>
          </cell>
          <cell r="N1133" t="str">
            <v>jurgen &amp; Berthil (mikania)</v>
          </cell>
          <cell r="O1133" t="str">
            <v>Asteraceae</v>
          </cell>
          <cell r="P1133" t="str">
            <v>Mikania</v>
          </cell>
          <cell r="R1133" t="str">
            <v xml:space="preserve">Mikania </v>
          </cell>
        </row>
        <row r="1134">
          <cell r="J1134">
            <v>1279</v>
          </cell>
          <cell r="K1134" t="str">
            <v>Asteraceae 2</v>
          </cell>
          <cell r="L1134" t="str">
            <v>Asteraceae 2</v>
          </cell>
          <cell r="O1134" t="str">
            <v>Asteraceae</v>
          </cell>
          <cell r="P1134" t="str">
            <v>0_Critonia, mikania??</v>
          </cell>
          <cell r="R1134" t="str">
            <v xml:space="preserve">0_Critonia, mikania?? </v>
          </cell>
        </row>
        <row r="1135">
          <cell r="J1135">
            <v>1280</v>
          </cell>
          <cell r="K1135" t="str">
            <v>Hoja carnosa con terminacion morada</v>
          </cell>
          <cell r="L1135" t="str">
            <v>carnosa_terminacion_morada_1285</v>
          </cell>
          <cell r="M1135" t="str">
            <v xml:space="preserve"> =1274</v>
          </cell>
          <cell r="O1135" t="str">
            <v>0_cf. Asteraceae</v>
          </cell>
          <cell r="R1135" t="str">
            <v xml:space="preserve"> </v>
          </cell>
        </row>
        <row r="1136">
          <cell r="J1136">
            <v>1281</v>
          </cell>
          <cell r="K1136" t="str">
            <v>Campanulaceae 1</v>
          </cell>
          <cell r="L1136" t="str">
            <v>Campanulaceae 1</v>
          </cell>
          <cell r="M1136" t="str">
            <v xml:space="preserve"> =1281, =1328</v>
          </cell>
          <cell r="N1136" t="str">
            <v>jurgen &amp; Berthil (cf. Siphocampylus) =1328, 1281</v>
          </cell>
          <cell r="O1136" t="str">
            <v>Campanulaceae</v>
          </cell>
          <cell r="P1136" t="str">
            <v>Burmeistera</v>
          </cell>
          <cell r="R1136" t="str">
            <v xml:space="preserve">Burmeistera </v>
          </cell>
        </row>
        <row r="1137">
          <cell r="J1137">
            <v>1282</v>
          </cell>
          <cell r="K1137" t="str">
            <v>Asteraceae 2</v>
          </cell>
          <cell r="L1137" t="str">
            <v>Asteraceae 2</v>
          </cell>
          <cell r="O1137" t="str">
            <v>Asteraceae</v>
          </cell>
          <cell r="P1137" t="str">
            <v>0_Critonia, mikania??</v>
          </cell>
          <cell r="R1137" t="str">
            <v xml:space="preserve">0_Critonia, mikania?? </v>
          </cell>
        </row>
        <row r="1138">
          <cell r="J1138">
            <v>1283</v>
          </cell>
          <cell r="K1138" t="str">
            <v>Asteraceae 2</v>
          </cell>
          <cell r="L1138" t="str">
            <v>Asteraceae 2</v>
          </cell>
          <cell r="O1138" t="str">
            <v>Asteraceae</v>
          </cell>
          <cell r="P1138" t="str">
            <v>0_Critonia, mikania??</v>
          </cell>
          <cell r="R1138" t="str">
            <v xml:space="preserve">0_Critonia, mikania?? </v>
          </cell>
        </row>
        <row r="1139">
          <cell r="J1139">
            <v>1284</v>
          </cell>
          <cell r="K1139" t="str">
            <v>Espinitas enves</v>
          </cell>
          <cell r="L1139" t="str">
            <v>Asteraceae 8 (Flores amarillas, hoja pequena)/Patitas de algodon plateado</v>
          </cell>
          <cell r="M1139" t="str">
            <v xml:space="preserve"> =1284, =1326, =1376</v>
          </cell>
          <cell r="N1139" t="str">
            <v>jurgen &amp; Berthil (Asteraceae), =1326</v>
          </cell>
          <cell r="O1139" t="str">
            <v>Asteraceae</v>
          </cell>
          <cell r="P1139" t="str">
            <v>Pentacalia</v>
          </cell>
          <cell r="R1139" t="str">
            <v xml:space="preserve">Pentacalia </v>
          </cell>
        </row>
        <row r="1140">
          <cell r="J1140">
            <v>1285</v>
          </cell>
          <cell r="K1140" t="str">
            <v>Hoja carnosa con terminacion morada</v>
          </cell>
          <cell r="L1140" t="str">
            <v>carnosa_terminacion_morada_1285</v>
          </cell>
          <cell r="M1140" t="str">
            <v xml:space="preserve"> =1274</v>
          </cell>
          <cell r="N1140" t="str">
            <v>jurgen (cf. Asteraceae)</v>
          </cell>
          <cell r="O1140" t="str">
            <v>0_cf. Asteraceae</v>
          </cell>
          <cell r="R1140" t="str">
            <v xml:space="preserve"> </v>
          </cell>
        </row>
        <row r="1141">
          <cell r="J1141">
            <v>1286</v>
          </cell>
          <cell r="K1141" t="str">
            <v>Hoja carnosa con terminacion morada</v>
          </cell>
          <cell r="L1141" t="str">
            <v>carnosa_terminacion_morada_1285</v>
          </cell>
          <cell r="M1141" t="str">
            <v xml:space="preserve"> =1285</v>
          </cell>
          <cell r="O1141" t="str">
            <v>0_cf. Asteraceae</v>
          </cell>
          <cell r="R1141" t="str">
            <v xml:space="preserve"> </v>
          </cell>
        </row>
        <row r="1142">
          <cell r="J1142">
            <v>1289</v>
          </cell>
          <cell r="K1142" t="str">
            <v>Passifloraceae - Passiflora</v>
          </cell>
          <cell r="L1142" t="str">
            <v>Passiflora_1289</v>
          </cell>
          <cell r="M1142" t="str">
            <v xml:space="preserve"> =1308</v>
          </cell>
          <cell r="N1142" t="str">
            <v>jurgen &amp; Berthil (Passiflora loxensis o cumbalensis) =1289, 1308</v>
          </cell>
          <cell r="O1142" t="str">
            <v>Passifloraceae</v>
          </cell>
          <cell r="P1142" t="str">
            <v>Passiflora</v>
          </cell>
          <cell r="Q1142" t="str">
            <v>loxensis</v>
          </cell>
          <cell r="R1142" t="str">
            <v>Passiflora loxensis</v>
          </cell>
        </row>
        <row r="1143">
          <cell r="J1143">
            <v>1290</v>
          </cell>
          <cell r="K1143" t="str">
            <v>Asteraceae 2</v>
          </cell>
          <cell r="L1143" t="str">
            <v>Asteraceae 2</v>
          </cell>
          <cell r="O1143" t="str">
            <v>Asteraceae</v>
          </cell>
          <cell r="P1143" t="str">
            <v>0_Critonia, mikania??</v>
          </cell>
          <cell r="R1143" t="str">
            <v xml:space="preserve">0_Critonia, mikania?? </v>
          </cell>
        </row>
        <row r="1144">
          <cell r="J1144">
            <v>1291</v>
          </cell>
          <cell r="K1144" t="str">
            <v>Passifloraceae - Passiflora</v>
          </cell>
          <cell r="L1144" t="str">
            <v>Passiflora_1289</v>
          </cell>
          <cell r="M1144" t="str">
            <v xml:space="preserve"> =1308</v>
          </cell>
          <cell r="O1144" t="str">
            <v>Passifloraceae</v>
          </cell>
          <cell r="P1144" t="str">
            <v>Passiflora</v>
          </cell>
          <cell r="Q1144" t="str">
            <v>loxensis</v>
          </cell>
          <cell r="R1144" t="str">
            <v>Passiflora loxensis</v>
          </cell>
        </row>
        <row r="1145">
          <cell r="J1145">
            <v>1294</v>
          </cell>
          <cell r="K1145" t="str">
            <v>nervaduras translucidas</v>
          </cell>
          <cell r="L1145" t="str">
            <v>translucidas_1270</v>
          </cell>
          <cell r="M1145" t="str">
            <v xml:space="preserve"> =1270</v>
          </cell>
          <cell r="R1145" t="str">
            <v xml:space="preserve"> </v>
          </cell>
        </row>
        <row r="1146">
          <cell r="J1146">
            <v>1295</v>
          </cell>
          <cell r="K1146" t="str">
            <v>nervaduras translucidas</v>
          </cell>
          <cell r="L1146" t="str">
            <v>translucidas_1270</v>
          </cell>
          <cell r="M1146" t="str">
            <v xml:space="preserve"> =1270</v>
          </cell>
          <cell r="R1146" t="str">
            <v xml:space="preserve"> </v>
          </cell>
        </row>
        <row r="1147">
          <cell r="J1147">
            <v>1296</v>
          </cell>
          <cell r="K1147" t="str">
            <v>Apocynaceae_cajanuma</v>
          </cell>
          <cell r="L1147" t="str">
            <v>Apoc_1272</v>
          </cell>
          <cell r="O1147" t="str">
            <v>Apocynaceae</v>
          </cell>
          <cell r="P1147" t="str">
            <v>Mandevilla</v>
          </cell>
          <cell r="Q1147" t="str">
            <v>cf. ligustriflora</v>
          </cell>
          <cell r="R1147" t="str">
            <v>Mandevilla cf. ligustriflora</v>
          </cell>
        </row>
        <row r="1148">
          <cell r="J1148">
            <v>1297</v>
          </cell>
          <cell r="K1148" t="str">
            <v>nervaduras translucidas</v>
          </cell>
          <cell r="L1148" t="str">
            <v>translucidas_1270</v>
          </cell>
          <cell r="M1148" t="str">
            <v xml:space="preserve"> =1270</v>
          </cell>
          <cell r="R1148" t="str">
            <v xml:space="preserve"> </v>
          </cell>
        </row>
        <row r="1149">
          <cell r="J1149">
            <v>1298</v>
          </cell>
          <cell r="K1149" t="str">
            <v>Apocynaceae_cajanuma</v>
          </cell>
          <cell r="L1149" t="str">
            <v>Apoc_1272</v>
          </cell>
          <cell r="O1149" t="str">
            <v>Apocynaceae</v>
          </cell>
          <cell r="P1149" t="str">
            <v>Mandevilla</v>
          </cell>
          <cell r="Q1149" t="str">
            <v>cf. ligustriflora</v>
          </cell>
          <cell r="R1149" t="str">
            <v>Mandevilla cf. ligustriflora</v>
          </cell>
        </row>
        <row r="1150">
          <cell r="J1150">
            <v>1299</v>
          </cell>
          <cell r="K1150" t="str">
            <v>Asteraceae 4 (Asteraceae aserrada)</v>
          </cell>
          <cell r="L1150" t="str">
            <v>Asteraceae 4 (Asteraceae aserrada)</v>
          </cell>
          <cell r="M1150" t="str">
            <v xml:space="preserve"> =1300</v>
          </cell>
          <cell r="O1150" t="str">
            <v>Asteraceae</v>
          </cell>
          <cell r="P1150" t="str">
            <v>Mikania</v>
          </cell>
          <cell r="R1150" t="str">
            <v xml:space="preserve">Mikania </v>
          </cell>
        </row>
        <row r="1151">
          <cell r="J1151">
            <v>1300</v>
          </cell>
          <cell r="K1151" t="str">
            <v>Asteraceae 4 (Asteraceae aserrada)</v>
          </cell>
          <cell r="L1151" t="str">
            <v>Asteraceae 4 (Asteraceae aserrada)</v>
          </cell>
          <cell r="M1151" t="str">
            <v xml:space="preserve"> =1300</v>
          </cell>
          <cell r="N1151" t="str">
            <v>jurgen &amp; Berthil (mikania)</v>
          </cell>
          <cell r="O1151" t="str">
            <v>Asteraceae</v>
          </cell>
          <cell r="P1151" t="str">
            <v>Mikania</v>
          </cell>
          <cell r="R1151" t="str">
            <v xml:space="preserve">Mikania </v>
          </cell>
        </row>
        <row r="1152">
          <cell r="J1152">
            <v>1301</v>
          </cell>
          <cell r="K1152" t="str">
            <v>Boraginaceae</v>
          </cell>
          <cell r="L1152" t="str">
            <v>Boraginaceae</v>
          </cell>
          <cell r="N1152" t="str">
            <v>jurgen &amp; Berthil (cf. Tournefortia)</v>
          </cell>
          <cell r="O1152" t="str">
            <v>0_Boraginaceae??</v>
          </cell>
          <cell r="P1152" t="str">
            <v>0_cf. Tournefortia</v>
          </cell>
          <cell r="R1152" t="str">
            <v xml:space="preserve">0_cf. Tournefortia </v>
          </cell>
        </row>
        <row r="1153">
          <cell r="J1153">
            <v>1302</v>
          </cell>
          <cell r="K1153" t="str">
            <v>Flor blanca</v>
          </cell>
          <cell r="L1153" t="str">
            <v>Flor blanca</v>
          </cell>
          <cell r="M1153" t="str">
            <v xml:space="preserve"> =1302</v>
          </cell>
          <cell r="O1153" t="str">
            <v>Asteraceae</v>
          </cell>
          <cell r="P1153" t="str">
            <v>Mikania</v>
          </cell>
          <cell r="R1153" t="str">
            <v xml:space="preserve">Mikania </v>
          </cell>
        </row>
        <row r="1154">
          <cell r="J1154">
            <v>1303</v>
          </cell>
          <cell r="K1154" t="str">
            <v>Flor blanca</v>
          </cell>
          <cell r="L1154" t="str">
            <v>Flor blanca</v>
          </cell>
          <cell r="M1154" t="str">
            <v xml:space="preserve"> =1302</v>
          </cell>
          <cell r="O1154" t="str">
            <v>Asteraceae</v>
          </cell>
          <cell r="P1154" t="str">
            <v>Mikania</v>
          </cell>
          <cell r="R1154" t="str">
            <v xml:space="preserve">Mikania </v>
          </cell>
        </row>
        <row r="1155">
          <cell r="J1155">
            <v>1304</v>
          </cell>
          <cell r="K1155" t="str">
            <v>Flor blanca</v>
          </cell>
          <cell r="L1155" t="str">
            <v>Flor blanca</v>
          </cell>
          <cell r="M1155" t="str">
            <v xml:space="preserve"> =1302</v>
          </cell>
          <cell r="O1155" t="str">
            <v>Asteraceae</v>
          </cell>
          <cell r="P1155" t="str">
            <v>Mikania</v>
          </cell>
          <cell r="R1155" t="str">
            <v xml:space="preserve">Mikania </v>
          </cell>
        </row>
        <row r="1156">
          <cell r="J1156">
            <v>1305</v>
          </cell>
          <cell r="K1156" t="str">
            <v>Hoja pequena con pelos toda</v>
          </cell>
          <cell r="L1156" t="str">
            <v>Hoja pequena con pelos toda</v>
          </cell>
          <cell r="N1156" t="str">
            <v>jurgen &amp; Berthil (mikania)</v>
          </cell>
          <cell r="O1156" t="str">
            <v>Asteraceae</v>
          </cell>
          <cell r="P1156" t="str">
            <v>Mikania</v>
          </cell>
          <cell r="R1156" t="str">
            <v xml:space="preserve">Mikania </v>
          </cell>
        </row>
        <row r="1157">
          <cell r="J1157">
            <v>1306</v>
          </cell>
          <cell r="K1157" t="str">
            <v>Peciolo morado</v>
          </cell>
          <cell r="L1157" t="str">
            <v>Peciolo_morado_1306</v>
          </cell>
          <cell r="M1157" t="str">
            <v xml:space="preserve"> =1306</v>
          </cell>
          <cell r="R1157" t="str">
            <v xml:space="preserve"> </v>
          </cell>
        </row>
        <row r="1158">
          <cell r="J1158">
            <v>1307</v>
          </cell>
          <cell r="K1158" t="str">
            <v>Peciolo morado</v>
          </cell>
          <cell r="L1158" t="str">
            <v>Peciolo_morado_1306</v>
          </cell>
          <cell r="M1158" t="str">
            <v xml:space="preserve"> =1306</v>
          </cell>
          <cell r="R1158" t="str">
            <v xml:space="preserve"> </v>
          </cell>
        </row>
        <row r="1159">
          <cell r="J1159">
            <v>1308</v>
          </cell>
          <cell r="K1159" t="str">
            <v>Passifloraceae - Passiflora</v>
          </cell>
          <cell r="L1159" t="str">
            <v>Passiflora_1289</v>
          </cell>
          <cell r="M1159" t="str">
            <v xml:space="preserve"> =1308</v>
          </cell>
          <cell r="N1159" t="str">
            <v>jurgen &amp; Berthil (Passiflora loxensis o cumbalensis) =1289, 1308</v>
          </cell>
          <cell r="O1159" t="str">
            <v>Passifloraceae</v>
          </cell>
          <cell r="P1159" t="str">
            <v>Passiflora</v>
          </cell>
          <cell r="Q1159" t="str">
            <v>loxensis</v>
          </cell>
          <cell r="R1159" t="str">
            <v>Passiflora loxensis</v>
          </cell>
        </row>
        <row r="1160">
          <cell r="J1160">
            <v>1309</v>
          </cell>
          <cell r="K1160" t="str">
            <v>Flor blanca</v>
          </cell>
          <cell r="L1160" t="str">
            <v>Flor blanca</v>
          </cell>
          <cell r="M1160" t="str">
            <v xml:space="preserve"> =1302, Asteraceae 1 o flor blanca</v>
          </cell>
          <cell r="N1160" t="str">
            <v>jurgen &amp; Berthil (mikania)</v>
          </cell>
          <cell r="O1160" t="str">
            <v>Asteraceae</v>
          </cell>
          <cell r="P1160" t="str">
            <v>Mikania</v>
          </cell>
          <cell r="R1160" t="str">
            <v xml:space="preserve">Mikania </v>
          </cell>
        </row>
        <row r="1161">
          <cell r="J1161">
            <v>1310</v>
          </cell>
          <cell r="K1161" t="str">
            <v>Asteraceae 7 (Flores amarillas)</v>
          </cell>
          <cell r="L1161" t="str">
            <v>Asteraceae 7_1 Flores_amarillas</v>
          </cell>
          <cell r="M1161" t="str">
            <v xml:space="preserve"> =1310</v>
          </cell>
          <cell r="N1161" t="str">
            <v>jurgen &amp; Berthil (Gynoxys??), =1310, 1488</v>
          </cell>
          <cell r="O1161" t="str">
            <v>Asteraceae</v>
          </cell>
          <cell r="P1161" t="str">
            <v>0_cf. Gynoxis</v>
          </cell>
          <cell r="R1161" t="str">
            <v xml:space="preserve">0_cf. Gynoxis </v>
          </cell>
        </row>
        <row r="1162">
          <cell r="J1162">
            <v>1311</v>
          </cell>
          <cell r="K1162" t="str">
            <v>Flor blanca</v>
          </cell>
          <cell r="L1162" t="str">
            <v>Flor blanca</v>
          </cell>
          <cell r="M1162" t="str">
            <v xml:space="preserve"> =1309</v>
          </cell>
          <cell r="O1162" t="str">
            <v>Asteraceae</v>
          </cell>
          <cell r="P1162" t="str">
            <v>Mikania</v>
          </cell>
          <cell r="R1162" t="str">
            <v xml:space="preserve">Mikania </v>
          </cell>
        </row>
        <row r="1163">
          <cell r="J1163">
            <v>1312</v>
          </cell>
          <cell r="K1163" t="str">
            <v>Flor blanca</v>
          </cell>
          <cell r="L1163" t="str">
            <v>Flor blanca</v>
          </cell>
          <cell r="M1163" t="str">
            <v xml:space="preserve"> =1309</v>
          </cell>
          <cell r="O1163" t="str">
            <v>Asteraceae</v>
          </cell>
          <cell r="P1163" t="str">
            <v>Mikania</v>
          </cell>
          <cell r="R1163" t="str">
            <v xml:space="preserve">Mikania </v>
          </cell>
        </row>
        <row r="1164">
          <cell r="J1164">
            <v>1313</v>
          </cell>
          <cell r="K1164" t="str">
            <v>Nervadura conspicua, borde aserrado, tipo ficus</v>
          </cell>
          <cell r="L1164" t="str">
            <v>Hydrangea_1313</v>
          </cell>
          <cell r="M1164" t="str">
            <v xml:space="preserve"> =1313</v>
          </cell>
          <cell r="N1164" t="str">
            <v>jurgen &amp; Berthil (hydrnagea podria ser peruviana)</v>
          </cell>
          <cell r="O1164" t="str">
            <v>Hydrangeaceae</v>
          </cell>
          <cell r="P1164" t="str">
            <v>Hydrangea</v>
          </cell>
          <cell r="R1164" t="str">
            <v xml:space="preserve">Hydrangea </v>
          </cell>
        </row>
        <row r="1165">
          <cell r="J1165">
            <v>1314</v>
          </cell>
          <cell r="K1165" t="str">
            <v>Flor blanca</v>
          </cell>
          <cell r="L1165" t="str">
            <v>Flor blanca</v>
          </cell>
          <cell r="M1165" t="str">
            <v xml:space="preserve"> =1309</v>
          </cell>
          <cell r="O1165" t="str">
            <v>Asteraceae</v>
          </cell>
          <cell r="P1165" t="str">
            <v>Mikania</v>
          </cell>
          <cell r="R1165" t="str">
            <v xml:space="preserve">Mikania </v>
          </cell>
        </row>
        <row r="1166">
          <cell r="J1166">
            <v>1315</v>
          </cell>
          <cell r="K1166" t="str">
            <v>Flor blanca</v>
          </cell>
          <cell r="L1166" t="str">
            <v>Flor blanca</v>
          </cell>
          <cell r="M1166" t="str">
            <v xml:space="preserve"> =1309</v>
          </cell>
          <cell r="O1166" t="str">
            <v>Asteraceae</v>
          </cell>
          <cell r="P1166" t="str">
            <v>Mikania</v>
          </cell>
          <cell r="R1166" t="str">
            <v xml:space="preserve">Mikania </v>
          </cell>
        </row>
        <row r="1167">
          <cell r="J1167">
            <v>1316</v>
          </cell>
          <cell r="K1167" t="str">
            <v>Flor blanca</v>
          </cell>
          <cell r="L1167" t="str">
            <v>Flor blanca</v>
          </cell>
          <cell r="M1167" t="str">
            <v xml:space="preserve"> =1309. En hoja de campo =1315</v>
          </cell>
          <cell r="O1167" t="str">
            <v>Asteraceae</v>
          </cell>
          <cell r="P1167" t="str">
            <v>Mikania</v>
          </cell>
          <cell r="R1167" t="str">
            <v xml:space="preserve">Mikania </v>
          </cell>
        </row>
        <row r="1168">
          <cell r="J1168">
            <v>1317</v>
          </cell>
          <cell r="K1168" t="str">
            <v>Flor blanca</v>
          </cell>
          <cell r="L1168" t="str">
            <v>Flor blanca</v>
          </cell>
          <cell r="M1168" t="str">
            <v xml:space="preserve"> =1309</v>
          </cell>
          <cell r="O1168" t="str">
            <v>Asteraceae</v>
          </cell>
          <cell r="P1168" t="str">
            <v>Mikania</v>
          </cell>
          <cell r="R1168" t="str">
            <v xml:space="preserve">Mikania </v>
          </cell>
        </row>
        <row r="1169">
          <cell r="J1169">
            <v>1318</v>
          </cell>
          <cell r="K1169" t="str">
            <v>Flor blanca</v>
          </cell>
          <cell r="L1169" t="str">
            <v>Flor blanca</v>
          </cell>
          <cell r="O1169" t="str">
            <v>Asteraceae</v>
          </cell>
          <cell r="P1169" t="str">
            <v>Mikania</v>
          </cell>
          <cell r="R1169" t="str">
            <v xml:space="preserve">Mikania </v>
          </cell>
        </row>
        <row r="1170">
          <cell r="J1170">
            <v>1319</v>
          </cell>
          <cell r="K1170" t="str">
            <v>Flor blanca</v>
          </cell>
          <cell r="L1170" t="str">
            <v>Flor blanca</v>
          </cell>
          <cell r="O1170" t="str">
            <v>Asteraceae</v>
          </cell>
          <cell r="P1170" t="str">
            <v>Mikania</v>
          </cell>
          <cell r="R1170" t="str">
            <v xml:space="preserve">Mikania </v>
          </cell>
        </row>
        <row r="1171">
          <cell r="J1171">
            <v>1320</v>
          </cell>
          <cell r="K1171" t="str">
            <v>patitas de algodon dorada</v>
          </cell>
          <cell r="L1171" t="str">
            <v>patitas_algodon_doradas_1320</v>
          </cell>
          <cell r="M1171" t="str">
            <v xml:space="preserve"> =1320</v>
          </cell>
          <cell r="N1171" t="str">
            <v>jurgen (=1340, 1320); Berthil (=1320)</v>
          </cell>
          <cell r="O1171" t="str">
            <v>Asteraceae</v>
          </cell>
          <cell r="P1171" t="str">
            <v>Pentacalia</v>
          </cell>
          <cell r="R1171" t="str">
            <v xml:space="preserve">Pentacalia </v>
          </cell>
        </row>
        <row r="1172">
          <cell r="J1172">
            <v>1321</v>
          </cell>
          <cell r="K1172" t="str">
            <v>Flor blanca</v>
          </cell>
          <cell r="L1172" t="str">
            <v>Flor blanca</v>
          </cell>
          <cell r="M1172" t="str">
            <v xml:space="preserve"> =1318</v>
          </cell>
          <cell r="O1172" t="str">
            <v>Asteraceae</v>
          </cell>
          <cell r="P1172" t="str">
            <v>Mikania</v>
          </cell>
          <cell r="R1172" t="str">
            <v xml:space="preserve">Mikania </v>
          </cell>
        </row>
        <row r="1173">
          <cell r="J1173">
            <v>1322</v>
          </cell>
          <cell r="K1173" t="str">
            <v>Flor blanca</v>
          </cell>
          <cell r="L1173" t="str">
            <v>Flor blanca</v>
          </cell>
          <cell r="M1173" t="str">
            <v xml:space="preserve"> =1318</v>
          </cell>
          <cell r="O1173" t="str">
            <v>Asteraceae</v>
          </cell>
          <cell r="P1173" t="str">
            <v>Mikania</v>
          </cell>
          <cell r="R1173" t="str">
            <v xml:space="preserve">Mikania </v>
          </cell>
        </row>
        <row r="1174">
          <cell r="J1174">
            <v>1323</v>
          </cell>
          <cell r="K1174" t="str">
            <v>Flor blanca</v>
          </cell>
          <cell r="L1174" t="str">
            <v>Flor blanca</v>
          </cell>
          <cell r="M1174" t="str">
            <v xml:space="preserve"> =1318</v>
          </cell>
          <cell r="O1174" t="str">
            <v>Asteraceae</v>
          </cell>
          <cell r="P1174" t="str">
            <v>Mikania</v>
          </cell>
          <cell r="R1174" t="str">
            <v xml:space="preserve">Mikania </v>
          </cell>
        </row>
        <row r="1175">
          <cell r="J1175">
            <v>1324</v>
          </cell>
          <cell r="K1175" t="str">
            <v>en verticilo</v>
          </cell>
          <cell r="L1175" t="str">
            <v>verticilo_1256</v>
          </cell>
          <cell r="M1175" t="str">
            <v xml:space="preserve"> =1256</v>
          </cell>
          <cell r="N1175" t="str">
            <v>jurgen (cf. Celastraceae), =1256, 1324; Berthil =1330</v>
          </cell>
          <cell r="O1175" t="str">
            <v>0_cf. Celastraceae</v>
          </cell>
          <cell r="R1175" t="str">
            <v xml:space="preserve"> </v>
          </cell>
        </row>
        <row r="1176">
          <cell r="J1176">
            <v>1325</v>
          </cell>
          <cell r="K1176" t="str">
            <v>forma de corazon, haz reticulado</v>
          </cell>
          <cell r="L1176" t="str">
            <v>forma de corazon, haz reticulado</v>
          </cell>
          <cell r="N1176" t="str">
            <v>Jurgen &amp; Berthil (Mikania)</v>
          </cell>
          <cell r="O1176" t="str">
            <v>Asteraceae</v>
          </cell>
          <cell r="P1176" t="str">
            <v>Mikania</v>
          </cell>
          <cell r="R1176" t="str">
            <v xml:space="preserve">Mikania </v>
          </cell>
        </row>
        <row r="1177">
          <cell r="J1177">
            <v>1326</v>
          </cell>
          <cell r="K1177" t="str">
            <v>H.A. dientes</v>
          </cell>
          <cell r="L1177" t="str">
            <v>Asteraceae 8 (Flores amarillas, hoja pequena)/Patitas de algodon plateado</v>
          </cell>
          <cell r="M1177" t="str">
            <v xml:space="preserve"> =1284, =1326, =1329, =1376</v>
          </cell>
          <cell r="N1177" t="str">
            <v>jurgen &amp; erthil (Asteraceae), =1326</v>
          </cell>
          <cell r="O1177" t="str">
            <v>Asteraceae</v>
          </cell>
          <cell r="P1177" t="str">
            <v>Pentacalia</v>
          </cell>
          <cell r="R1177" t="str">
            <v xml:space="preserve">Pentacalia </v>
          </cell>
        </row>
        <row r="1178">
          <cell r="J1178">
            <v>1327</v>
          </cell>
          <cell r="K1178" t="str">
            <v>Corteza amarilla, interna roja</v>
          </cell>
          <cell r="L1178" t="str">
            <v>Corteza_amarilla_1327</v>
          </cell>
          <cell r="M1178" t="str">
            <v xml:space="preserve"> =1327</v>
          </cell>
          <cell r="N1178" t="str">
            <v>jurgen &amp; Berthil (Symplocos), =1327, 1330</v>
          </cell>
          <cell r="O1178" t="str">
            <v>Symplocaceae</v>
          </cell>
          <cell r="P1178" t="str">
            <v>Symplocos</v>
          </cell>
          <cell r="R1178" t="str">
            <v xml:space="preserve">Symplocos </v>
          </cell>
        </row>
        <row r="1179">
          <cell r="J1179">
            <v>1328</v>
          </cell>
          <cell r="K1179" t="str">
            <v>cf. burmeistera</v>
          </cell>
          <cell r="L1179" t="str">
            <v>Campanulaceae 1</v>
          </cell>
          <cell r="M1179" t="str">
            <v xml:space="preserve"> =1328</v>
          </cell>
          <cell r="N1179" t="str">
            <v>jurgen &amp; Berthil (cf. Siphocampylus) =1328, 1281</v>
          </cell>
          <cell r="O1179" t="str">
            <v>Campanulaceae</v>
          </cell>
          <cell r="P1179" t="str">
            <v>Burmeistera</v>
          </cell>
          <cell r="R1179" t="str">
            <v xml:space="preserve">Burmeistera </v>
          </cell>
        </row>
        <row r="1180">
          <cell r="J1180">
            <v>1329</v>
          </cell>
          <cell r="K1180" t="str">
            <v>Asteraceae 8 (Flores amarillas, hoja pequena)</v>
          </cell>
          <cell r="L1180" t="str">
            <v>Asteraceae 8 (Flores amarillas, hoja pequena)/Patitas de algodon plateado</v>
          </cell>
          <cell r="M1180" t="str">
            <v xml:space="preserve"> =1281, =1328, =1376</v>
          </cell>
          <cell r="N1180" t="str">
            <v>Berthil (pentacalia)</v>
          </cell>
          <cell r="O1180" t="str">
            <v>Asteraceae</v>
          </cell>
          <cell r="P1180" t="str">
            <v>Pentacalia</v>
          </cell>
          <cell r="R1180" t="str">
            <v xml:space="preserve">Pentacalia </v>
          </cell>
        </row>
        <row r="1181">
          <cell r="J1181">
            <v>1330</v>
          </cell>
          <cell r="K1181" t="str">
            <v>Corteza amarilla</v>
          </cell>
          <cell r="L1181" t="str">
            <v>Corteza_amarilla_1327</v>
          </cell>
          <cell r="M1181" t="str">
            <v xml:space="preserve"> =1327</v>
          </cell>
          <cell r="N1181" t="str">
            <v>jurgen &amp; Berthil (Symplocos), =1327, 1330</v>
          </cell>
          <cell r="O1181" t="str">
            <v>Symplocaceae</v>
          </cell>
          <cell r="P1181" t="str">
            <v>Symplocos</v>
          </cell>
          <cell r="R1181" t="str">
            <v xml:space="preserve">Symplocos </v>
          </cell>
        </row>
        <row r="1182">
          <cell r="J1182">
            <v>1331</v>
          </cell>
          <cell r="K1182" t="str">
            <v>Flor blanca</v>
          </cell>
          <cell r="L1182" t="str">
            <v>Flor blanca</v>
          </cell>
          <cell r="O1182" t="str">
            <v>Asteraceae</v>
          </cell>
          <cell r="P1182" t="str">
            <v>Mikania</v>
          </cell>
          <cell r="R1182" t="str">
            <v xml:space="preserve">Mikania </v>
          </cell>
        </row>
        <row r="1183">
          <cell r="J1183">
            <v>1332</v>
          </cell>
          <cell r="K1183" t="str">
            <v>Flor blanca</v>
          </cell>
          <cell r="L1183" t="str">
            <v>Flor blanca</v>
          </cell>
          <cell r="O1183" t="str">
            <v>Asteraceae</v>
          </cell>
          <cell r="P1183" t="str">
            <v>Mikania</v>
          </cell>
          <cell r="R1183" t="str">
            <v xml:space="preserve">Mikania </v>
          </cell>
        </row>
        <row r="1184">
          <cell r="J1184">
            <v>1333</v>
          </cell>
          <cell r="K1184" t="str">
            <v>Flor blanca</v>
          </cell>
          <cell r="L1184" t="str">
            <v>Flor blanca</v>
          </cell>
          <cell r="O1184" t="str">
            <v>Asteraceae</v>
          </cell>
          <cell r="P1184" t="str">
            <v>Mikania</v>
          </cell>
          <cell r="R1184" t="str">
            <v xml:space="preserve">Mikania </v>
          </cell>
        </row>
        <row r="1185">
          <cell r="J1185">
            <v>1334</v>
          </cell>
          <cell r="K1185" t="str">
            <v>Flor blanca</v>
          </cell>
          <cell r="L1185" t="str">
            <v>Flor blanca</v>
          </cell>
          <cell r="O1185" t="str">
            <v>Asteraceae</v>
          </cell>
          <cell r="P1185" t="str">
            <v>Mikania</v>
          </cell>
          <cell r="R1185" t="str">
            <v xml:space="preserve">Mikania </v>
          </cell>
        </row>
        <row r="1186">
          <cell r="J1186">
            <v>1335</v>
          </cell>
          <cell r="K1186" t="str">
            <v>Corteza amarilla, interna roja</v>
          </cell>
          <cell r="L1186" t="str">
            <v>Corteza_amarilla_1327</v>
          </cell>
          <cell r="M1186" t="str">
            <v xml:space="preserve"> =1327</v>
          </cell>
          <cell r="O1186" t="str">
            <v>Symplocaceae</v>
          </cell>
          <cell r="P1186" t="str">
            <v>Symplocos</v>
          </cell>
          <cell r="R1186" t="str">
            <v xml:space="preserve">Symplocos </v>
          </cell>
        </row>
        <row r="1187">
          <cell r="J1187">
            <v>1336</v>
          </cell>
          <cell r="K1187" t="str">
            <v>Corteza amarilla, interna roja</v>
          </cell>
          <cell r="L1187" t="str">
            <v>Corteza_amarilla_1327</v>
          </cell>
          <cell r="M1187" t="str">
            <v xml:space="preserve"> =1327</v>
          </cell>
          <cell r="O1187" t="str">
            <v>Symplocaceae</v>
          </cell>
          <cell r="P1187" t="str">
            <v>Symplocos</v>
          </cell>
          <cell r="R1187" t="str">
            <v xml:space="preserve">Symplocos </v>
          </cell>
        </row>
        <row r="1188">
          <cell r="J1188">
            <v>1337</v>
          </cell>
          <cell r="K1188" t="str">
            <v>Corteza amarilla, interna roja</v>
          </cell>
          <cell r="L1188" t="str">
            <v>Corteza_amarilla_1327</v>
          </cell>
          <cell r="M1188" t="str">
            <v xml:space="preserve"> =1336</v>
          </cell>
          <cell r="O1188" t="str">
            <v>Symplocaceae</v>
          </cell>
          <cell r="P1188" t="str">
            <v>Symplocos</v>
          </cell>
          <cell r="R1188" t="str">
            <v xml:space="preserve">Symplocos </v>
          </cell>
        </row>
        <row r="1189">
          <cell r="J1189">
            <v>1338</v>
          </cell>
          <cell r="K1189" t="str">
            <v>Flor blanca</v>
          </cell>
          <cell r="L1189" t="str">
            <v>Flor blanca</v>
          </cell>
          <cell r="O1189" t="str">
            <v>Asteraceae</v>
          </cell>
          <cell r="P1189" t="str">
            <v>Mikania</v>
          </cell>
          <cell r="R1189" t="str">
            <v xml:space="preserve">Mikania </v>
          </cell>
        </row>
        <row r="1190">
          <cell r="J1190">
            <v>1339</v>
          </cell>
          <cell r="K1190" t="str">
            <v>Flor blanca</v>
          </cell>
          <cell r="L1190" t="str">
            <v>Flor blanca</v>
          </cell>
          <cell r="O1190" t="str">
            <v>Asteraceae</v>
          </cell>
          <cell r="P1190" t="str">
            <v>Mikania</v>
          </cell>
          <cell r="R1190" t="str">
            <v xml:space="preserve">Mikania </v>
          </cell>
        </row>
        <row r="1191">
          <cell r="J1191">
            <v>1340</v>
          </cell>
          <cell r="K1191" t="str">
            <v>Patitas de algodon plateado</v>
          </cell>
          <cell r="L1191" t="str">
            <v>Asteraceae 8 (Flores amarillas, hoja pequena)/Patitas de algodon plateado</v>
          </cell>
          <cell r="M1191" t="str">
            <v xml:space="preserve"> =1320</v>
          </cell>
          <cell r="N1191" t="str">
            <v>jurgen (=1340, 1320); Berthil (=1320)</v>
          </cell>
          <cell r="O1191" t="str">
            <v>Asteraceae</v>
          </cell>
          <cell r="P1191" t="str">
            <v>Pentacalia</v>
          </cell>
          <cell r="R1191" t="str">
            <v xml:space="preserve">Pentacalia </v>
          </cell>
        </row>
        <row r="1192">
          <cell r="J1192">
            <v>1341</v>
          </cell>
          <cell r="K1192" t="str">
            <v>Patitas de algodon plateado</v>
          </cell>
          <cell r="L1192" t="str">
            <v>Asteraceae 8 (Flores amarillas, hoja pequena)/Patitas de algodon plateado</v>
          </cell>
          <cell r="M1192" t="str">
            <v xml:space="preserve"> =1320</v>
          </cell>
          <cell r="O1192" t="str">
            <v>Asteraceae</v>
          </cell>
          <cell r="P1192" t="str">
            <v>Pentacalia</v>
          </cell>
          <cell r="R1192" t="str">
            <v xml:space="preserve">Pentacalia </v>
          </cell>
        </row>
        <row r="1193">
          <cell r="J1193">
            <v>1342</v>
          </cell>
          <cell r="K1193" t="str">
            <v>Flor blanca</v>
          </cell>
          <cell r="L1193" t="str">
            <v>Flor blanca</v>
          </cell>
          <cell r="O1193" t="str">
            <v>Asteraceae</v>
          </cell>
          <cell r="P1193" t="str">
            <v>Mikania</v>
          </cell>
          <cell r="R1193" t="str">
            <v xml:space="preserve">Mikania </v>
          </cell>
        </row>
        <row r="1194">
          <cell r="J1194">
            <v>1343</v>
          </cell>
          <cell r="K1194" t="str">
            <v>Flor blanca</v>
          </cell>
          <cell r="L1194" t="str">
            <v>Flor blanca</v>
          </cell>
          <cell r="O1194" t="str">
            <v>Asteraceae</v>
          </cell>
          <cell r="P1194" t="str">
            <v>Mikania</v>
          </cell>
          <cell r="R1194" t="str">
            <v xml:space="preserve">Mikania </v>
          </cell>
        </row>
        <row r="1195">
          <cell r="J1195">
            <v>1344</v>
          </cell>
          <cell r="K1195" t="str">
            <v>cf. burmeistera</v>
          </cell>
          <cell r="L1195" t="str">
            <v>Campanulaceae 1</v>
          </cell>
          <cell r="M1195" t="str">
            <v xml:space="preserve"> =1328</v>
          </cell>
          <cell r="O1195" t="str">
            <v>Campanulaceae</v>
          </cell>
          <cell r="P1195" t="str">
            <v>Burmeistera</v>
          </cell>
          <cell r="R1195" t="str">
            <v xml:space="preserve">Burmeistera </v>
          </cell>
        </row>
        <row r="1196">
          <cell r="J1196">
            <v>1345</v>
          </cell>
          <cell r="K1196" t="str">
            <v>Apocynaceae_cajanuma</v>
          </cell>
          <cell r="L1196" t="str">
            <v>Apoc_1272</v>
          </cell>
          <cell r="O1196" t="str">
            <v>Apocynaceae</v>
          </cell>
          <cell r="P1196" t="str">
            <v>Mandevilla</v>
          </cell>
          <cell r="Q1196" t="str">
            <v>cf. ligustriflora</v>
          </cell>
          <cell r="R1196" t="str">
            <v>Mandevilla cf. ligustriflora</v>
          </cell>
        </row>
        <row r="1197">
          <cell r="J1197">
            <v>1346</v>
          </cell>
          <cell r="K1197" t="str">
            <v>Apocynaceae_cajanuma</v>
          </cell>
          <cell r="L1197" t="str">
            <v>Apoc_1272</v>
          </cell>
          <cell r="O1197" t="str">
            <v>Apocynaceae</v>
          </cell>
          <cell r="P1197" t="str">
            <v>Mandevilla</v>
          </cell>
          <cell r="Q1197" t="str">
            <v>cf. ligustriflora</v>
          </cell>
          <cell r="R1197" t="str">
            <v>Mandevilla cf. ligustriflora</v>
          </cell>
        </row>
        <row r="1198">
          <cell r="J1198">
            <v>1347</v>
          </cell>
          <cell r="K1198" t="str">
            <v>Apocynaceae_cajanuma</v>
          </cell>
          <cell r="L1198" t="str">
            <v>Apoc_1272</v>
          </cell>
          <cell r="O1198" t="str">
            <v>Apocynaceae</v>
          </cell>
          <cell r="P1198" t="str">
            <v>Mandevilla</v>
          </cell>
          <cell r="Q1198" t="str">
            <v>cf. ligustriflora</v>
          </cell>
          <cell r="R1198" t="str">
            <v>Mandevilla cf. ligustriflora</v>
          </cell>
        </row>
        <row r="1199">
          <cell r="J1199">
            <v>1348</v>
          </cell>
          <cell r="K1199" t="str">
            <v>Corteza amarilla, interna roja</v>
          </cell>
          <cell r="L1199" t="str">
            <v>Corteza_amarilla_1327</v>
          </cell>
          <cell r="M1199" t="str">
            <v xml:space="preserve"> =1336</v>
          </cell>
          <cell r="O1199" t="str">
            <v>Symplocaceae</v>
          </cell>
          <cell r="P1199" t="str">
            <v>Symplocos</v>
          </cell>
          <cell r="R1199" t="str">
            <v xml:space="preserve">Symplocos </v>
          </cell>
        </row>
        <row r="1200">
          <cell r="J1200">
            <v>1349</v>
          </cell>
          <cell r="K1200" t="str">
            <v>Flor blanca</v>
          </cell>
          <cell r="L1200" t="str">
            <v>Flor blanca</v>
          </cell>
          <cell r="O1200" t="str">
            <v>Asteraceae</v>
          </cell>
          <cell r="P1200" t="str">
            <v>Mikania</v>
          </cell>
          <cell r="R1200" t="str">
            <v xml:space="preserve">Mikania </v>
          </cell>
        </row>
        <row r="1201">
          <cell r="J1201">
            <v>1350</v>
          </cell>
          <cell r="K1201" t="str">
            <v>Flor blanca</v>
          </cell>
          <cell r="L1201" t="str">
            <v>Flor blanca</v>
          </cell>
          <cell r="O1201" t="str">
            <v>Asteraceae</v>
          </cell>
          <cell r="P1201" t="str">
            <v>Mikania</v>
          </cell>
          <cell r="R1201" t="str">
            <v xml:space="preserve">Mikania </v>
          </cell>
        </row>
        <row r="1202">
          <cell r="J1202">
            <v>1351</v>
          </cell>
          <cell r="K1202" t="str">
            <v>Corteza amarilla</v>
          </cell>
          <cell r="L1202" t="str">
            <v>Corteza_amarilla_1327</v>
          </cell>
          <cell r="M1202" t="str">
            <v xml:space="preserve"> =1327</v>
          </cell>
          <cell r="O1202" t="str">
            <v>Symplocaceae</v>
          </cell>
          <cell r="P1202" t="str">
            <v>Symplocos</v>
          </cell>
          <cell r="R1202" t="str">
            <v xml:space="preserve">Symplocos </v>
          </cell>
        </row>
        <row r="1203">
          <cell r="J1203">
            <v>1352</v>
          </cell>
          <cell r="K1203" t="str">
            <v>Corteza amarilla</v>
          </cell>
          <cell r="L1203" t="str">
            <v>Corteza_amarilla_1327</v>
          </cell>
          <cell r="M1203" t="str">
            <v xml:space="preserve"> =1327</v>
          </cell>
          <cell r="O1203" t="str">
            <v>Symplocaceae</v>
          </cell>
          <cell r="P1203" t="str">
            <v>Symplocos</v>
          </cell>
          <cell r="R1203" t="str">
            <v xml:space="preserve">Symplocos </v>
          </cell>
        </row>
        <row r="1204">
          <cell r="J1204">
            <v>1353</v>
          </cell>
          <cell r="K1204" t="str">
            <v>Nervadura conspicua, borde aserrado, tipo ficus</v>
          </cell>
          <cell r="L1204" t="str">
            <v>Hydrangea_1313</v>
          </cell>
          <cell r="M1204" t="str">
            <v xml:space="preserve"> =1313</v>
          </cell>
          <cell r="O1204" t="str">
            <v>Hydrangeaceae</v>
          </cell>
          <cell r="P1204" t="str">
            <v>Hydrangea</v>
          </cell>
          <cell r="R1204" t="str">
            <v xml:space="preserve">Hydrangea </v>
          </cell>
        </row>
        <row r="1205">
          <cell r="J1205">
            <v>1354</v>
          </cell>
          <cell r="K1205" t="str">
            <v>Ast. H. corazon</v>
          </cell>
          <cell r="L1205" t="str">
            <v>Ast. H. corazon</v>
          </cell>
          <cell r="M1205" t="str">
            <v xml:space="preserve"> =1354</v>
          </cell>
          <cell r="N1205" t="str">
            <v>Jurgen &amp; Berthil (Mikania)</v>
          </cell>
          <cell r="O1205" t="str">
            <v>Asteraceae</v>
          </cell>
          <cell r="P1205" t="str">
            <v>Mikania</v>
          </cell>
          <cell r="R1205" t="str">
            <v xml:space="preserve">Mikania </v>
          </cell>
        </row>
        <row r="1206">
          <cell r="J1206">
            <v>1355</v>
          </cell>
          <cell r="K1206" t="str">
            <v>Calceolaria</v>
          </cell>
          <cell r="L1206" t="str">
            <v>Calceolaria</v>
          </cell>
          <cell r="N1206" t="str">
            <v>jurgen &amp; Berthil (calceolaria)</v>
          </cell>
          <cell r="O1206" t="str">
            <v>Calceolariaceae</v>
          </cell>
          <cell r="P1206" t="str">
            <v>Calceolaria</v>
          </cell>
          <cell r="R1206" t="str">
            <v xml:space="preserve">Calceolaria </v>
          </cell>
        </row>
        <row r="1207">
          <cell r="J1207">
            <v>1356</v>
          </cell>
          <cell r="K1207" t="str">
            <v>H.A. dientes</v>
          </cell>
          <cell r="L1207" t="str">
            <v>Asteraceae 8 (Flores amarillas, hoja pequena)/Patitas de algodon plateado</v>
          </cell>
          <cell r="M1207" t="str">
            <v xml:space="preserve"> =1281, =1328, =1376</v>
          </cell>
          <cell r="O1207" t="str">
            <v>Asteraceae</v>
          </cell>
          <cell r="P1207" t="str">
            <v>Pentacalia</v>
          </cell>
          <cell r="R1207" t="str">
            <v xml:space="preserve">Pentacalia </v>
          </cell>
        </row>
        <row r="1208">
          <cell r="J1208">
            <v>1357</v>
          </cell>
          <cell r="K1208" t="str">
            <v>cf. burmeistera</v>
          </cell>
          <cell r="L1208" t="str">
            <v>Campanulaceae 1</v>
          </cell>
          <cell r="M1208" t="str">
            <v xml:space="preserve"> =1328</v>
          </cell>
          <cell r="O1208" t="str">
            <v>Campanulaceae</v>
          </cell>
          <cell r="P1208" t="str">
            <v>Burmeistera</v>
          </cell>
          <cell r="R1208" t="str">
            <v xml:space="preserve">Burmeistera </v>
          </cell>
        </row>
        <row r="1209">
          <cell r="J1209">
            <v>1358</v>
          </cell>
          <cell r="K1209" t="str">
            <v>Flor blanca</v>
          </cell>
          <cell r="L1209" t="str">
            <v>Flor blanca</v>
          </cell>
          <cell r="O1209" t="str">
            <v>Asteraceae</v>
          </cell>
          <cell r="P1209" t="str">
            <v>Mikania</v>
          </cell>
          <cell r="R1209" t="str">
            <v xml:space="preserve">Mikania </v>
          </cell>
        </row>
        <row r="1210">
          <cell r="J1210">
            <v>1359</v>
          </cell>
          <cell r="K1210" t="str">
            <v>Flor blanca</v>
          </cell>
          <cell r="L1210" t="str">
            <v>Flor blanca</v>
          </cell>
          <cell r="O1210" t="str">
            <v>Asteraceae</v>
          </cell>
          <cell r="P1210" t="str">
            <v>Mikania</v>
          </cell>
          <cell r="R1210" t="str">
            <v xml:space="preserve">Mikania </v>
          </cell>
        </row>
        <row r="1211">
          <cell r="J1211">
            <v>1360</v>
          </cell>
          <cell r="K1211" t="str">
            <v>Flor blanca</v>
          </cell>
          <cell r="L1211" t="str">
            <v>Flor blanca</v>
          </cell>
          <cell r="O1211" t="str">
            <v>Asteraceae</v>
          </cell>
          <cell r="P1211" t="str">
            <v>Mikania</v>
          </cell>
          <cell r="R1211" t="str">
            <v xml:space="preserve">Mikania </v>
          </cell>
        </row>
        <row r="1212">
          <cell r="J1212">
            <v>1361</v>
          </cell>
          <cell r="K1212" t="str">
            <v>estrella</v>
          </cell>
          <cell r="L1212" t="str">
            <v>estrella</v>
          </cell>
          <cell r="O1212" t="str">
            <v>Asteraceae</v>
          </cell>
          <cell r="P1212" t="str">
            <v>Jungia</v>
          </cell>
          <cell r="R1212" t="str">
            <v xml:space="preserve">Jungia </v>
          </cell>
        </row>
        <row r="1213">
          <cell r="J1213">
            <v>1362</v>
          </cell>
          <cell r="K1213" t="str">
            <v>estrella</v>
          </cell>
          <cell r="L1213" t="str">
            <v>estrella</v>
          </cell>
          <cell r="N1213" t="str">
            <v>jurgen &amp; Berthil (Juncia) =1362, 1362</v>
          </cell>
          <cell r="O1213" t="str">
            <v>Asteraceae</v>
          </cell>
          <cell r="P1213" t="str">
            <v>Jungia</v>
          </cell>
          <cell r="R1213" t="str">
            <v xml:space="preserve">Jungia </v>
          </cell>
        </row>
        <row r="1214">
          <cell r="J1214">
            <v>1363</v>
          </cell>
          <cell r="K1214" t="str">
            <v>estrella</v>
          </cell>
          <cell r="L1214" t="str">
            <v>estrella</v>
          </cell>
          <cell r="O1214" t="str">
            <v>Asteraceae</v>
          </cell>
          <cell r="P1214" t="str">
            <v>Jungia</v>
          </cell>
          <cell r="R1214" t="str">
            <v xml:space="preserve">Jungia </v>
          </cell>
        </row>
        <row r="1215">
          <cell r="J1215">
            <v>1364</v>
          </cell>
          <cell r="K1215" t="str">
            <v>Flor blanca</v>
          </cell>
          <cell r="L1215" t="str">
            <v>Flor blanca</v>
          </cell>
          <cell r="O1215" t="str">
            <v>Asteraceae</v>
          </cell>
          <cell r="P1215" t="str">
            <v>Mikania</v>
          </cell>
          <cell r="R1215" t="str">
            <v xml:space="preserve">Mikania </v>
          </cell>
        </row>
        <row r="1216">
          <cell r="J1216">
            <v>1365</v>
          </cell>
          <cell r="K1216" t="str">
            <v>Tipo Melastomataceae</v>
          </cell>
          <cell r="L1216" t="str">
            <v>Tipo Melastomataceae</v>
          </cell>
          <cell r="N1216" t="str">
            <v>jurgen (Dioscorea o smilax); Berthil (smilax)</v>
          </cell>
          <cell r="O1216" t="str">
            <v>0_Smilaceae Dioscoreaceae</v>
          </cell>
          <cell r="P1216" t="str">
            <v>0_Smilax o Dioscorea</v>
          </cell>
          <cell r="R1216" t="str">
            <v xml:space="preserve">0_Smilax o Dioscorea </v>
          </cell>
        </row>
        <row r="1217">
          <cell r="J1217">
            <v>1366</v>
          </cell>
          <cell r="K1217" t="str">
            <v>Tipo Melastomataceae</v>
          </cell>
          <cell r="L1217" t="str">
            <v>Tipo Melastomataceae</v>
          </cell>
          <cell r="M1217" t="str">
            <v xml:space="preserve"> =1366</v>
          </cell>
          <cell r="N1217" t="str">
            <v>jurgen (Dioscorea o smilax); Berthil (smilax)</v>
          </cell>
          <cell r="O1217" t="str">
            <v>0_Smilaceae Dioscoreaceae</v>
          </cell>
          <cell r="P1217" t="str">
            <v>0_Smilax o Dioscorea</v>
          </cell>
          <cell r="R1217" t="str">
            <v xml:space="preserve">0_Smilax o Dioscorea </v>
          </cell>
        </row>
        <row r="1218">
          <cell r="J1218">
            <v>1367</v>
          </cell>
          <cell r="K1218" t="str">
            <v>Hoja grande de peciolo acanalado</v>
          </cell>
          <cell r="L1218" t="str">
            <v>Hoja grande de peciolo acanalado</v>
          </cell>
          <cell r="N1218" t="str">
            <v>Jurgen &amp; Berthil (Mikania)</v>
          </cell>
          <cell r="O1218" t="str">
            <v>Asteraceae</v>
          </cell>
          <cell r="P1218" t="str">
            <v>Mikania</v>
          </cell>
          <cell r="R1218" t="str">
            <v xml:space="preserve">Mikania </v>
          </cell>
        </row>
        <row r="1219">
          <cell r="J1219">
            <v>1368</v>
          </cell>
          <cell r="K1219" t="str">
            <v>Flor blanca</v>
          </cell>
          <cell r="L1219" t="str">
            <v>Flor blanca</v>
          </cell>
          <cell r="O1219" t="str">
            <v>Asteraceae</v>
          </cell>
          <cell r="P1219" t="str">
            <v>Mikania</v>
          </cell>
          <cell r="R1219" t="str">
            <v xml:space="preserve">Mikania </v>
          </cell>
        </row>
        <row r="1220">
          <cell r="J1220">
            <v>1369</v>
          </cell>
          <cell r="K1220" t="str">
            <v>Corteza amarilla</v>
          </cell>
          <cell r="L1220" t="str">
            <v>Corteza_amarilla_1327</v>
          </cell>
          <cell r="M1220" t="str">
            <v xml:space="preserve"> =1327</v>
          </cell>
          <cell r="O1220" t="str">
            <v>Symplocaceae</v>
          </cell>
          <cell r="P1220" t="str">
            <v>Symplocos</v>
          </cell>
          <cell r="R1220" t="str">
            <v xml:space="preserve">Symplocos </v>
          </cell>
        </row>
        <row r="1221">
          <cell r="J1221">
            <v>1370</v>
          </cell>
          <cell r="K1221" t="str">
            <v>Flor blanca</v>
          </cell>
          <cell r="L1221" t="str">
            <v>Flor blanca</v>
          </cell>
          <cell r="O1221" t="str">
            <v>Asteraceae</v>
          </cell>
          <cell r="P1221" t="str">
            <v>Mikania</v>
          </cell>
          <cell r="R1221" t="str">
            <v xml:space="preserve">Mikania </v>
          </cell>
        </row>
        <row r="1222">
          <cell r="J1222">
            <v>1371</v>
          </cell>
          <cell r="K1222" t="str">
            <v>Flor blanca</v>
          </cell>
          <cell r="L1222" t="str">
            <v>Flor blanca</v>
          </cell>
          <cell r="O1222" t="str">
            <v>Asteraceae</v>
          </cell>
          <cell r="P1222" t="str">
            <v>Mikania</v>
          </cell>
          <cell r="R1222" t="str">
            <v xml:space="preserve">Mikania </v>
          </cell>
        </row>
        <row r="1223">
          <cell r="J1223">
            <v>1372</v>
          </cell>
          <cell r="K1223" t="str">
            <v>Peciolo morado</v>
          </cell>
          <cell r="L1223" t="str">
            <v>Peciolo_morado_1306</v>
          </cell>
          <cell r="M1223" t="str">
            <v xml:space="preserve"> =1306</v>
          </cell>
          <cell r="R1223" t="str">
            <v xml:space="preserve"> </v>
          </cell>
        </row>
        <row r="1224">
          <cell r="J1224">
            <v>1373</v>
          </cell>
          <cell r="K1224" t="str">
            <v>Flor blanca</v>
          </cell>
          <cell r="L1224" t="str">
            <v>Flor blanca</v>
          </cell>
          <cell r="O1224" t="str">
            <v>Asteraceae</v>
          </cell>
          <cell r="P1224" t="str">
            <v>Mikania</v>
          </cell>
          <cell r="R1224" t="str">
            <v xml:space="preserve">Mikania </v>
          </cell>
        </row>
        <row r="1225">
          <cell r="J1225">
            <v>1374</v>
          </cell>
          <cell r="K1225" t="str">
            <v>Flor blanca</v>
          </cell>
          <cell r="L1225" t="str">
            <v>Flor blanca</v>
          </cell>
          <cell r="O1225" t="str">
            <v>Asteraceae</v>
          </cell>
          <cell r="P1225" t="str">
            <v>Mikania</v>
          </cell>
          <cell r="R1225" t="str">
            <v xml:space="preserve">Mikania </v>
          </cell>
        </row>
        <row r="1226">
          <cell r="J1226">
            <v>1375</v>
          </cell>
          <cell r="K1226" t="str">
            <v>Flor blanca</v>
          </cell>
          <cell r="L1226" t="str">
            <v>Flor blanca</v>
          </cell>
          <cell r="O1226" t="str">
            <v>Asteraceae</v>
          </cell>
          <cell r="P1226" t="str">
            <v>Mikania</v>
          </cell>
          <cell r="R1226" t="str">
            <v xml:space="preserve">Mikania </v>
          </cell>
        </row>
        <row r="1227">
          <cell r="J1227">
            <v>1376</v>
          </cell>
          <cell r="K1227" t="str">
            <v>H.A. dientes</v>
          </cell>
          <cell r="L1227" t="str">
            <v>Asteraceae 8 (Flores amarillas, hoja pequena)/Patitas de algodon plateado</v>
          </cell>
          <cell r="M1227" t="str">
            <v xml:space="preserve"> =1281, =1328, =1376</v>
          </cell>
          <cell r="O1227" t="str">
            <v>Asteraceae</v>
          </cell>
          <cell r="P1227" t="str">
            <v>Pentacalia</v>
          </cell>
          <cell r="R1227" t="str">
            <v xml:space="preserve">Pentacalia </v>
          </cell>
        </row>
        <row r="1228">
          <cell r="J1228">
            <v>1377</v>
          </cell>
          <cell r="K1228" t="str">
            <v>Flor blanca</v>
          </cell>
          <cell r="L1228" t="str">
            <v>Flor blanca</v>
          </cell>
          <cell r="O1228" t="str">
            <v>Asteraceae</v>
          </cell>
          <cell r="P1228" t="str">
            <v>Mikania</v>
          </cell>
          <cell r="R1228" t="str">
            <v xml:space="preserve">Mikania </v>
          </cell>
        </row>
        <row r="1229">
          <cell r="J1229">
            <v>1378</v>
          </cell>
          <cell r="K1229" t="str">
            <v>H.A. dientes</v>
          </cell>
          <cell r="L1229" t="str">
            <v>Asteraceae 8 (Flores amarillas, hoja pequena)/Patitas de algodon plateado</v>
          </cell>
          <cell r="M1229" t="str">
            <v xml:space="preserve"> 1281, =1376</v>
          </cell>
          <cell r="O1229" t="str">
            <v>Asteraceae</v>
          </cell>
          <cell r="P1229" t="str">
            <v>Pentacalia</v>
          </cell>
          <cell r="R1229" t="str">
            <v xml:space="preserve">Pentacalia </v>
          </cell>
        </row>
        <row r="1230">
          <cell r="J1230">
            <v>1379</v>
          </cell>
          <cell r="K1230" t="str">
            <v>H.A. dientes</v>
          </cell>
          <cell r="L1230" t="str">
            <v>Asteraceae 8 (Flores amarillas, hoja pequena)/Patitas de algodon plateado</v>
          </cell>
          <cell r="M1230" t="str">
            <v xml:space="preserve"> 1281, =1376</v>
          </cell>
          <cell r="O1230" t="str">
            <v>Asteraceae</v>
          </cell>
          <cell r="P1230" t="str">
            <v>Pentacalia</v>
          </cell>
          <cell r="R1230" t="str">
            <v xml:space="preserve">Pentacalia </v>
          </cell>
        </row>
        <row r="1231">
          <cell r="J1231">
            <v>1380</v>
          </cell>
          <cell r="K1231" t="str">
            <v>Flor blanca</v>
          </cell>
          <cell r="L1231" t="str">
            <v>Flor blanca</v>
          </cell>
          <cell r="O1231" t="str">
            <v>Asteraceae</v>
          </cell>
          <cell r="P1231" t="str">
            <v>Mikania</v>
          </cell>
          <cell r="R1231" t="str">
            <v xml:space="preserve">Mikania </v>
          </cell>
        </row>
        <row r="1232">
          <cell r="J1232">
            <v>1381</v>
          </cell>
          <cell r="K1232" t="str">
            <v>Flor blanca</v>
          </cell>
          <cell r="L1232" t="str">
            <v>Flor blanca</v>
          </cell>
          <cell r="O1232" t="str">
            <v>Asteraceae</v>
          </cell>
          <cell r="P1232" t="str">
            <v>Mikania</v>
          </cell>
          <cell r="R1232" t="str">
            <v xml:space="preserve">Mikania </v>
          </cell>
        </row>
        <row r="1233">
          <cell r="J1233">
            <v>1382</v>
          </cell>
          <cell r="K1233" t="str">
            <v>Tipo Melastomataceae</v>
          </cell>
          <cell r="L1233" t="str">
            <v>Tipo Melastomataceae</v>
          </cell>
          <cell r="N1233" t="str">
            <v>jurgen (Dioscorea o smilax)</v>
          </cell>
          <cell r="O1233" t="str">
            <v>0_Smilaceae Dioscoreaceae</v>
          </cell>
          <cell r="P1233" t="str">
            <v>0_Smilax o Dioscorea</v>
          </cell>
          <cell r="R1233" t="str">
            <v xml:space="preserve">0_Smilax o Dioscorea </v>
          </cell>
        </row>
        <row r="1234">
          <cell r="J1234">
            <v>1383</v>
          </cell>
          <cell r="K1234" t="str">
            <v>Flor blanca</v>
          </cell>
          <cell r="L1234" t="str">
            <v>Flor blanca</v>
          </cell>
          <cell r="O1234" t="str">
            <v>Asteraceae</v>
          </cell>
          <cell r="P1234" t="str">
            <v>Mikania</v>
          </cell>
          <cell r="R1234" t="str">
            <v xml:space="preserve">Mikania </v>
          </cell>
        </row>
        <row r="1235">
          <cell r="J1235">
            <v>1384</v>
          </cell>
          <cell r="K1235" t="str">
            <v>Flor blanca</v>
          </cell>
          <cell r="L1235" t="str">
            <v>Flor blanca</v>
          </cell>
          <cell r="O1235" t="str">
            <v>Asteraceae</v>
          </cell>
          <cell r="P1235" t="str">
            <v>Mikania</v>
          </cell>
          <cell r="R1235" t="str">
            <v xml:space="preserve">Mikania </v>
          </cell>
        </row>
        <row r="1236">
          <cell r="J1236">
            <v>1385</v>
          </cell>
          <cell r="K1236" t="str">
            <v>Flor blanca</v>
          </cell>
          <cell r="L1236" t="str">
            <v>Flor blanca</v>
          </cell>
          <cell r="O1236" t="str">
            <v>Asteraceae</v>
          </cell>
          <cell r="P1236" t="str">
            <v>Mikania</v>
          </cell>
          <cell r="R1236" t="str">
            <v xml:space="preserve">Mikania </v>
          </cell>
        </row>
        <row r="1237">
          <cell r="J1237">
            <v>1386</v>
          </cell>
          <cell r="K1237" t="str">
            <v>corteza amarilla</v>
          </cell>
          <cell r="L1237" t="str">
            <v>Corteza_amarilla_1327</v>
          </cell>
          <cell r="M1237" t="str">
            <v xml:space="preserve"> =1327</v>
          </cell>
          <cell r="O1237" t="str">
            <v>Symplocaceae</v>
          </cell>
          <cell r="P1237" t="str">
            <v>Symplocos</v>
          </cell>
          <cell r="R1237" t="str">
            <v xml:space="preserve">Symplocos </v>
          </cell>
        </row>
        <row r="1238">
          <cell r="J1238">
            <v>1387</v>
          </cell>
          <cell r="K1238" t="str">
            <v>Calceolaria</v>
          </cell>
          <cell r="L1238" t="str">
            <v>Calceolaria</v>
          </cell>
          <cell r="O1238" t="str">
            <v>Calceolariaceae</v>
          </cell>
          <cell r="P1238" t="str">
            <v>Calceolaria</v>
          </cell>
          <cell r="R1238" t="str">
            <v xml:space="preserve">Calceolaria </v>
          </cell>
        </row>
        <row r="1239">
          <cell r="J1239">
            <v>1388</v>
          </cell>
          <cell r="K1239" t="str">
            <v>Flor blanca</v>
          </cell>
          <cell r="L1239" t="str">
            <v>Flor blanca</v>
          </cell>
          <cell r="O1239" t="str">
            <v>Asteraceae</v>
          </cell>
          <cell r="P1239" t="str">
            <v>Mikania</v>
          </cell>
          <cell r="R1239" t="str">
            <v xml:space="preserve">Mikania </v>
          </cell>
        </row>
        <row r="1240">
          <cell r="J1240">
            <v>1389</v>
          </cell>
          <cell r="K1240" t="str">
            <v>Peciolo morado</v>
          </cell>
          <cell r="L1240" t="str">
            <v>Peciolo_morado_1306</v>
          </cell>
          <cell r="M1240" t="str">
            <v xml:space="preserve"> =1306</v>
          </cell>
          <cell r="R1240" t="str">
            <v xml:space="preserve"> </v>
          </cell>
        </row>
        <row r="1241">
          <cell r="J1241">
            <v>1390</v>
          </cell>
          <cell r="K1241" t="str">
            <v>Peciolo morado</v>
          </cell>
          <cell r="L1241" t="str">
            <v>Peciolo_morado_1306</v>
          </cell>
          <cell r="M1241" t="str">
            <v xml:space="preserve"> =1306</v>
          </cell>
          <cell r="R1241" t="str">
            <v xml:space="preserve"> </v>
          </cell>
        </row>
        <row r="1242">
          <cell r="J1242">
            <v>1391</v>
          </cell>
          <cell r="K1242" t="str">
            <v>Flor blanca</v>
          </cell>
          <cell r="L1242" t="str">
            <v>Flor blanca</v>
          </cell>
          <cell r="O1242" t="str">
            <v>Asteraceae</v>
          </cell>
          <cell r="P1242" t="str">
            <v>Mikania</v>
          </cell>
          <cell r="R1242" t="str">
            <v xml:space="preserve">Mikania </v>
          </cell>
        </row>
        <row r="1243">
          <cell r="J1243">
            <v>1392</v>
          </cell>
          <cell r="K1243" t="str">
            <v>Flor blanca</v>
          </cell>
          <cell r="L1243" t="str">
            <v>Flor blanca</v>
          </cell>
          <cell r="O1243" t="str">
            <v>Asteraceae</v>
          </cell>
          <cell r="P1243" t="str">
            <v>Mikania</v>
          </cell>
          <cell r="R1243" t="str">
            <v xml:space="preserve">Mikania </v>
          </cell>
        </row>
        <row r="1244">
          <cell r="J1244">
            <v>1393</v>
          </cell>
          <cell r="K1244" t="str">
            <v>Flor blanca</v>
          </cell>
          <cell r="L1244" t="str">
            <v>Flor blanca</v>
          </cell>
          <cell r="O1244" t="str">
            <v>Asteraceae</v>
          </cell>
          <cell r="P1244" t="str">
            <v>Mikania</v>
          </cell>
          <cell r="R1244" t="str">
            <v xml:space="preserve">Mikania </v>
          </cell>
        </row>
        <row r="1245">
          <cell r="J1245">
            <v>1394</v>
          </cell>
          <cell r="K1245" t="str">
            <v>Asteraceae 6 (Ast. Dientes peludos)</v>
          </cell>
          <cell r="L1245" t="str">
            <v>Asteraceae 6 (Ast. Dientes peludos)</v>
          </cell>
          <cell r="M1245" t="str">
            <v xml:space="preserve"> =1394</v>
          </cell>
          <cell r="N1245" t="str">
            <v>jurgen &amp; Berthil (mikania)</v>
          </cell>
          <cell r="O1245" t="str">
            <v>Asteraceae</v>
          </cell>
          <cell r="P1245" t="str">
            <v>Mikania</v>
          </cell>
          <cell r="R1245" t="str">
            <v xml:space="preserve">Mikania </v>
          </cell>
        </row>
        <row r="1246">
          <cell r="J1246">
            <v>1395</v>
          </cell>
          <cell r="K1246" t="str">
            <v>Passifloraceae - Passiflora</v>
          </cell>
          <cell r="L1246" t="str">
            <v>Passiflora_1289</v>
          </cell>
          <cell r="M1246" t="str">
            <v xml:space="preserve"> =1308</v>
          </cell>
          <cell r="O1246" t="str">
            <v>Passifloraceae</v>
          </cell>
          <cell r="P1246" t="str">
            <v>Passiflora</v>
          </cell>
          <cell r="Q1246" t="str">
            <v>loxensis</v>
          </cell>
          <cell r="R1246" t="str">
            <v>Passiflora loxensis</v>
          </cell>
        </row>
        <row r="1247">
          <cell r="J1247">
            <v>1396</v>
          </cell>
          <cell r="K1247" t="str">
            <v>Estrella</v>
          </cell>
          <cell r="L1247" t="str">
            <v>Estrella</v>
          </cell>
          <cell r="O1247" t="str">
            <v>Asteraceae</v>
          </cell>
          <cell r="P1247" t="str">
            <v>Jungia</v>
          </cell>
          <cell r="R1247" t="str">
            <v xml:space="preserve">Jungia </v>
          </cell>
        </row>
        <row r="1248">
          <cell r="J1248">
            <v>1397</v>
          </cell>
          <cell r="K1248" t="str">
            <v>Hoja lanza</v>
          </cell>
          <cell r="L1248" t="str">
            <v>Munozia sp. 2</v>
          </cell>
          <cell r="M1248" t="str">
            <v xml:space="preserve"> =1397</v>
          </cell>
          <cell r="N1248" t="str">
            <v>Jurgen &amp; Berthil (Munozia), =Check (1463), 1462, 1397</v>
          </cell>
          <cell r="O1248" t="str">
            <v>Asteraceae</v>
          </cell>
          <cell r="P1248" t="str">
            <v>Munozia</v>
          </cell>
          <cell r="R1248" t="str">
            <v xml:space="preserve">Munozia </v>
          </cell>
        </row>
        <row r="1249">
          <cell r="J1249">
            <v>1398</v>
          </cell>
          <cell r="K1249" t="str">
            <v>Flor blanca</v>
          </cell>
          <cell r="L1249" t="str">
            <v>Flor blanca</v>
          </cell>
          <cell r="O1249" t="str">
            <v>Asteraceae</v>
          </cell>
          <cell r="P1249" t="str">
            <v>Mikania</v>
          </cell>
          <cell r="R1249" t="str">
            <v xml:space="preserve">Mikania </v>
          </cell>
        </row>
        <row r="1250">
          <cell r="J1250">
            <v>1399</v>
          </cell>
          <cell r="K1250" t="str">
            <v>Flor blanca</v>
          </cell>
          <cell r="L1250" t="str">
            <v>Flor blanca</v>
          </cell>
          <cell r="O1250" t="str">
            <v>Asteraceae</v>
          </cell>
          <cell r="P1250" t="str">
            <v>Mikania</v>
          </cell>
          <cell r="R1250" t="str">
            <v xml:space="preserve">Mikania </v>
          </cell>
        </row>
        <row r="1251">
          <cell r="J1251">
            <v>1400</v>
          </cell>
          <cell r="K1251" t="str">
            <v>Asteraceae 6 (Ast. Dientes peludos)</v>
          </cell>
          <cell r="L1251" t="str">
            <v>Asteraceae 6 (Ast. Dientes peludos)</v>
          </cell>
          <cell r="M1251" t="str">
            <v xml:space="preserve"> =1394</v>
          </cell>
          <cell r="O1251" t="str">
            <v>Asteraceae</v>
          </cell>
          <cell r="P1251" t="str">
            <v>Mikania</v>
          </cell>
          <cell r="R1251" t="str">
            <v xml:space="preserve">Mikania </v>
          </cell>
        </row>
        <row r="1252">
          <cell r="J1252">
            <v>1401</v>
          </cell>
          <cell r="K1252" t="str">
            <v>Flor blanca</v>
          </cell>
          <cell r="L1252" t="str">
            <v>Flor blanca</v>
          </cell>
          <cell r="O1252" t="str">
            <v>Asteraceae</v>
          </cell>
          <cell r="P1252" t="str">
            <v>Mikania</v>
          </cell>
          <cell r="R1252" t="str">
            <v xml:space="preserve">Mikania </v>
          </cell>
        </row>
        <row r="1253">
          <cell r="J1253">
            <v>1402</v>
          </cell>
          <cell r="K1253" t="str">
            <v>Peciolo morado</v>
          </cell>
          <cell r="L1253" t="str">
            <v>Peciolo_morado_1306</v>
          </cell>
          <cell r="M1253" t="str">
            <v xml:space="preserve"> =1306</v>
          </cell>
          <cell r="R1253" t="str">
            <v xml:space="preserve"> </v>
          </cell>
        </row>
        <row r="1254">
          <cell r="J1254">
            <v>1403</v>
          </cell>
          <cell r="K1254" t="str">
            <v>Peciolo morado</v>
          </cell>
          <cell r="L1254" t="str">
            <v>Peciolo_morado_1306</v>
          </cell>
          <cell r="M1254" t="str">
            <v xml:space="preserve"> =1306</v>
          </cell>
          <cell r="R1254" t="str">
            <v xml:space="preserve"> </v>
          </cell>
        </row>
        <row r="1255">
          <cell r="J1255">
            <v>1404</v>
          </cell>
          <cell r="K1255" t="str">
            <v>Asteraceae 6 (Ast. Dientes peludos)</v>
          </cell>
          <cell r="L1255" t="str">
            <v>Asteraceae 6 (Ast. Dientes peludos)</v>
          </cell>
          <cell r="M1255" t="str">
            <v xml:space="preserve"> =1394</v>
          </cell>
          <cell r="O1255" t="str">
            <v>Asteraceae</v>
          </cell>
          <cell r="P1255" t="str">
            <v>Mikania</v>
          </cell>
          <cell r="R1255" t="str">
            <v xml:space="preserve">Mikania </v>
          </cell>
        </row>
        <row r="1256">
          <cell r="J1256">
            <v>1405</v>
          </cell>
          <cell r="K1256" t="str">
            <v>Nervadura conspicua, borde aserrado, tipo ficus</v>
          </cell>
          <cell r="L1256" t="str">
            <v>Hydrangea_1313</v>
          </cell>
          <cell r="M1256" t="str">
            <v xml:space="preserve"> =1313</v>
          </cell>
          <cell r="O1256" t="str">
            <v>Hydrangeaceae</v>
          </cell>
          <cell r="P1256" t="str">
            <v>Hydrangea</v>
          </cell>
          <cell r="R1256" t="str">
            <v xml:space="preserve">Hydrangea </v>
          </cell>
        </row>
        <row r="1257">
          <cell r="J1257">
            <v>1406</v>
          </cell>
          <cell r="K1257" t="str">
            <v>Peciolo morado</v>
          </cell>
          <cell r="L1257" t="str">
            <v>Peciolo_morado_1306</v>
          </cell>
          <cell r="M1257" t="str">
            <v xml:space="preserve"> =1306</v>
          </cell>
          <cell r="R1257" t="str">
            <v xml:space="preserve"> </v>
          </cell>
        </row>
        <row r="1258">
          <cell r="J1258">
            <v>1407</v>
          </cell>
          <cell r="K1258" t="str">
            <v>Flor blanca</v>
          </cell>
          <cell r="L1258" t="str">
            <v>Flor blanca</v>
          </cell>
          <cell r="O1258" t="str">
            <v>Asteraceae</v>
          </cell>
          <cell r="P1258" t="str">
            <v>Mikania</v>
          </cell>
          <cell r="R1258" t="str">
            <v xml:space="preserve">Mikania </v>
          </cell>
        </row>
        <row r="1259">
          <cell r="J1259">
            <v>1408</v>
          </cell>
          <cell r="K1259" t="str">
            <v>Flor blanca</v>
          </cell>
          <cell r="L1259" t="str">
            <v>Flor blanca</v>
          </cell>
          <cell r="O1259" t="str">
            <v>Asteraceae</v>
          </cell>
          <cell r="P1259" t="str">
            <v>Mikania</v>
          </cell>
          <cell r="R1259" t="str">
            <v xml:space="preserve">Mikania </v>
          </cell>
        </row>
        <row r="1260">
          <cell r="J1260">
            <v>1409</v>
          </cell>
          <cell r="K1260" t="str">
            <v>Flor blanca</v>
          </cell>
          <cell r="L1260" t="str">
            <v>Flor blanca</v>
          </cell>
          <cell r="O1260" t="str">
            <v>Asteraceae</v>
          </cell>
          <cell r="P1260" t="str">
            <v>Mikania</v>
          </cell>
          <cell r="R1260" t="str">
            <v xml:space="preserve">Mikania </v>
          </cell>
        </row>
        <row r="1261">
          <cell r="J1261">
            <v>1410</v>
          </cell>
          <cell r="K1261" t="str">
            <v>Flor blanca</v>
          </cell>
          <cell r="L1261" t="str">
            <v>Flor blanca</v>
          </cell>
          <cell r="O1261" t="str">
            <v>Asteraceae</v>
          </cell>
          <cell r="P1261" t="str">
            <v>Mikania</v>
          </cell>
          <cell r="R1261" t="str">
            <v xml:space="preserve">Mikania </v>
          </cell>
        </row>
        <row r="1262">
          <cell r="J1262">
            <v>1411</v>
          </cell>
          <cell r="K1262" t="str">
            <v>Flor blanca</v>
          </cell>
          <cell r="L1262" t="str">
            <v>Flor blanca</v>
          </cell>
          <cell r="O1262" t="str">
            <v>Asteraceae</v>
          </cell>
          <cell r="P1262" t="str">
            <v>Mikania</v>
          </cell>
          <cell r="R1262" t="str">
            <v xml:space="preserve">Mikania </v>
          </cell>
        </row>
        <row r="1263">
          <cell r="J1263">
            <v>1412</v>
          </cell>
          <cell r="K1263" t="str">
            <v>Flor blanca</v>
          </cell>
          <cell r="L1263" t="str">
            <v>Flor blanca</v>
          </cell>
          <cell r="O1263" t="str">
            <v>Asteraceae</v>
          </cell>
          <cell r="P1263" t="str">
            <v>Mikania</v>
          </cell>
          <cell r="R1263" t="str">
            <v xml:space="preserve">Mikania </v>
          </cell>
        </row>
        <row r="1264">
          <cell r="J1264">
            <v>1413</v>
          </cell>
          <cell r="K1264" t="str">
            <v>Estrella</v>
          </cell>
          <cell r="L1264" t="str">
            <v>Estrella</v>
          </cell>
          <cell r="M1264" t="str">
            <v xml:space="preserve"> =1362</v>
          </cell>
          <cell r="N1264" t="str">
            <v>jurgen &amp; Berthil (Juncia) =1362, 1362</v>
          </cell>
          <cell r="O1264" t="str">
            <v>Asteraceae</v>
          </cell>
          <cell r="P1264" t="str">
            <v>Jungia</v>
          </cell>
          <cell r="R1264" t="str">
            <v xml:space="preserve">Jungia </v>
          </cell>
        </row>
        <row r="1265">
          <cell r="J1265">
            <v>1414</v>
          </cell>
          <cell r="K1265" t="str">
            <v>Estrella</v>
          </cell>
          <cell r="L1265" t="str">
            <v>Estrella</v>
          </cell>
          <cell r="N1265" t="str">
            <v>jurgen &amp; Berthil (Juncia) =1362, 1362</v>
          </cell>
          <cell r="O1265" t="str">
            <v>Asteraceae</v>
          </cell>
          <cell r="P1265" t="str">
            <v>Jungia</v>
          </cell>
          <cell r="R1265" t="str">
            <v xml:space="preserve">Jungia </v>
          </cell>
        </row>
        <row r="1266">
          <cell r="J1266">
            <v>1415</v>
          </cell>
          <cell r="K1266" t="str">
            <v>Boraginaceae</v>
          </cell>
          <cell r="L1266" t="str">
            <v>Boraginaceae</v>
          </cell>
          <cell r="M1266" t="str">
            <v xml:space="preserve"> =1301</v>
          </cell>
          <cell r="O1266" t="str">
            <v>0_Boraginaceae??</v>
          </cell>
          <cell r="P1266" t="str">
            <v>0_cf. Tournefortia</v>
          </cell>
          <cell r="R1266" t="str">
            <v xml:space="preserve">0_cf. Tournefortia </v>
          </cell>
        </row>
        <row r="1267">
          <cell r="J1267">
            <v>1416</v>
          </cell>
          <cell r="K1267" t="str">
            <v>Asteraceae 6 (Ast. Dientes peludos)</v>
          </cell>
          <cell r="L1267" t="str">
            <v>Asteraceae 6 (Ast. Dientes peludos)</v>
          </cell>
          <cell r="M1267" t="str">
            <v xml:space="preserve"> =1394</v>
          </cell>
          <cell r="O1267" t="str">
            <v>Asteraceae</v>
          </cell>
          <cell r="P1267" t="str">
            <v>Mikania</v>
          </cell>
          <cell r="R1267" t="str">
            <v xml:space="preserve">Mikania </v>
          </cell>
        </row>
        <row r="1268">
          <cell r="J1268">
            <v>1417</v>
          </cell>
          <cell r="K1268" t="str">
            <v>Puntos negros</v>
          </cell>
          <cell r="L1268" t="str">
            <v>puntos_negros_1417</v>
          </cell>
          <cell r="N1268" t="str">
            <v>jurgen (Mikania); Berthil (Asteraceae o Rubiaceae, manetia)</v>
          </cell>
          <cell r="O1268" t="str">
            <v>0_Asteraceae?? Rubiaceae Manetia</v>
          </cell>
          <cell r="P1268" t="str">
            <v>Mikania</v>
          </cell>
          <cell r="R1268" t="str">
            <v xml:space="preserve">Mikania </v>
          </cell>
        </row>
        <row r="1269">
          <cell r="J1269">
            <v>1418</v>
          </cell>
          <cell r="K1269" t="str">
            <v>Flor blanca</v>
          </cell>
          <cell r="L1269" t="str">
            <v>Flor blanca</v>
          </cell>
          <cell r="O1269" t="str">
            <v>Asteraceae</v>
          </cell>
          <cell r="P1269" t="str">
            <v>Mikania</v>
          </cell>
          <cell r="R1269" t="str">
            <v xml:space="preserve">Mikania </v>
          </cell>
        </row>
        <row r="1270">
          <cell r="J1270">
            <v>1419</v>
          </cell>
          <cell r="K1270" t="str">
            <v>Passifloraceae - Passiflora</v>
          </cell>
          <cell r="L1270" t="str">
            <v>Passiflora_1289</v>
          </cell>
          <cell r="M1270" t="str">
            <v xml:space="preserve"> =1308</v>
          </cell>
          <cell r="O1270" t="str">
            <v>Passifloraceae</v>
          </cell>
          <cell r="P1270" t="str">
            <v>Passiflora</v>
          </cell>
          <cell r="Q1270" t="str">
            <v>loxensis</v>
          </cell>
          <cell r="R1270" t="str">
            <v>Passiflora loxensis</v>
          </cell>
        </row>
        <row r="1271">
          <cell r="J1271">
            <v>1420</v>
          </cell>
          <cell r="K1271" t="str">
            <v>hoja aserrada</v>
          </cell>
          <cell r="L1271" t="str">
            <v>hoja aserrada</v>
          </cell>
          <cell r="R1271" t="str">
            <v xml:space="preserve"> </v>
          </cell>
        </row>
        <row r="1272">
          <cell r="J1272">
            <v>1421</v>
          </cell>
          <cell r="K1272" t="str">
            <v>Flor blanca</v>
          </cell>
          <cell r="L1272" t="str">
            <v>Flor blanca</v>
          </cell>
          <cell r="O1272" t="str">
            <v>Asteraceae</v>
          </cell>
          <cell r="P1272" t="str">
            <v>Mikania</v>
          </cell>
          <cell r="R1272" t="str">
            <v xml:space="preserve">Mikania </v>
          </cell>
        </row>
        <row r="1273">
          <cell r="J1273">
            <v>1422</v>
          </cell>
          <cell r="K1273" t="str">
            <v>Nervadura conspicua, borde aserrado, tipo ficus</v>
          </cell>
          <cell r="L1273" t="str">
            <v>Hydrangea_1313</v>
          </cell>
          <cell r="M1273" t="str">
            <v xml:space="preserve"> =1313</v>
          </cell>
          <cell r="O1273" t="str">
            <v>Hydrangeaceae</v>
          </cell>
          <cell r="P1273" t="str">
            <v>Hydrangea</v>
          </cell>
          <cell r="R1273" t="str">
            <v xml:space="preserve">Hydrangea </v>
          </cell>
        </row>
        <row r="1274">
          <cell r="J1274">
            <v>1423</v>
          </cell>
          <cell r="K1274" t="str">
            <v>Flor blanca</v>
          </cell>
          <cell r="L1274" t="str">
            <v>Flor blanca</v>
          </cell>
          <cell r="O1274" t="str">
            <v>Asteraceae</v>
          </cell>
          <cell r="P1274" t="str">
            <v>Mikania</v>
          </cell>
          <cell r="R1274" t="str">
            <v xml:space="preserve">Mikania </v>
          </cell>
        </row>
        <row r="1275">
          <cell r="J1275">
            <v>1424</v>
          </cell>
          <cell r="K1275" t="str">
            <v>Flor blanca</v>
          </cell>
          <cell r="L1275" t="str">
            <v>Flor blanca</v>
          </cell>
          <cell r="O1275" t="str">
            <v>Asteraceae</v>
          </cell>
          <cell r="P1275" t="str">
            <v>Mikania</v>
          </cell>
          <cell r="R1275" t="str">
            <v xml:space="preserve">Mikania </v>
          </cell>
        </row>
        <row r="1276">
          <cell r="J1276">
            <v>1425</v>
          </cell>
          <cell r="K1276" t="str">
            <v>Estrella</v>
          </cell>
          <cell r="L1276" t="str">
            <v>Estrella</v>
          </cell>
          <cell r="M1276" t="str">
            <v xml:space="preserve"> =1366</v>
          </cell>
          <cell r="O1276" t="str">
            <v>Asteraceae</v>
          </cell>
          <cell r="P1276" t="str">
            <v>Jungia</v>
          </cell>
          <cell r="R1276" t="str">
            <v xml:space="preserve">Jungia </v>
          </cell>
        </row>
        <row r="1277">
          <cell r="J1277">
            <v>1426</v>
          </cell>
          <cell r="K1277" t="str">
            <v>Asteraceae 9</v>
          </cell>
          <cell r="L1277" t="str">
            <v>Munozia sp. 1</v>
          </cell>
          <cell r="M1277" t="str">
            <v xml:space="preserve"> =1481</v>
          </cell>
          <cell r="N1277" t="str">
            <v>jurgen &amp; Berthil (Munozia cf.), =1481, 1426</v>
          </cell>
          <cell r="O1277" t="str">
            <v>Asteraceae</v>
          </cell>
          <cell r="P1277" t="str">
            <v>0_cf. Munozia</v>
          </cell>
          <cell r="R1277" t="str">
            <v xml:space="preserve">0_cf. Munozia </v>
          </cell>
        </row>
        <row r="1278">
          <cell r="J1278">
            <v>1427</v>
          </cell>
          <cell r="K1278" t="str">
            <v>Flor blanca</v>
          </cell>
          <cell r="L1278" t="str">
            <v>Flor blanca</v>
          </cell>
          <cell r="O1278" t="str">
            <v>Asteraceae</v>
          </cell>
          <cell r="P1278" t="str">
            <v>Mikania</v>
          </cell>
          <cell r="R1278" t="str">
            <v xml:space="preserve">Mikania </v>
          </cell>
        </row>
        <row r="1279">
          <cell r="J1279">
            <v>1428</v>
          </cell>
          <cell r="K1279" t="str">
            <v>Flor blanca</v>
          </cell>
          <cell r="L1279" t="str">
            <v>Flor blanca</v>
          </cell>
          <cell r="O1279" t="str">
            <v>Asteraceae</v>
          </cell>
          <cell r="P1279" t="str">
            <v>Mikania</v>
          </cell>
          <cell r="R1279" t="str">
            <v xml:space="preserve">Mikania </v>
          </cell>
        </row>
        <row r="1280">
          <cell r="J1280">
            <v>1429</v>
          </cell>
          <cell r="K1280" t="str">
            <v>Calceolaria</v>
          </cell>
          <cell r="L1280" t="str">
            <v>Calceolaria</v>
          </cell>
          <cell r="M1280" t="str">
            <v xml:space="preserve"> =1355</v>
          </cell>
          <cell r="O1280" t="str">
            <v>Calceolariaceae</v>
          </cell>
          <cell r="P1280" t="str">
            <v>Calceolaria</v>
          </cell>
          <cell r="R1280" t="str">
            <v xml:space="preserve">Calceolaria </v>
          </cell>
        </row>
        <row r="1281">
          <cell r="J1281">
            <v>1430</v>
          </cell>
          <cell r="K1281" t="str">
            <v>Flor blanca</v>
          </cell>
          <cell r="L1281" t="str">
            <v>Flor blanca</v>
          </cell>
          <cell r="O1281" t="str">
            <v>Asteraceae</v>
          </cell>
          <cell r="P1281" t="str">
            <v>Mikania</v>
          </cell>
          <cell r="R1281" t="str">
            <v xml:space="preserve">Mikania </v>
          </cell>
        </row>
        <row r="1282">
          <cell r="J1282">
            <v>1431</v>
          </cell>
          <cell r="K1282" t="str">
            <v>Flor blanca</v>
          </cell>
          <cell r="L1282" t="str">
            <v>Flor blanca</v>
          </cell>
          <cell r="O1282" t="str">
            <v>Asteraceae</v>
          </cell>
          <cell r="P1282" t="str">
            <v>Mikania</v>
          </cell>
          <cell r="R1282" t="str">
            <v xml:space="preserve">Mikania </v>
          </cell>
        </row>
        <row r="1283">
          <cell r="J1283">
            <v>1432</v>
          </cell>
          <cell r="K1283" t="str">
            <v>Asteraceae 9</v>
          </cell>
          <cell r="L1283" t="str">
            <v>Asteraceae 9</v>
          </cell>
          <cell r="M1283" t="str">
            <v xml:space="preserve"> =1426</v>
          </cell>
          <cell r="O1283" t="str">
            <v>Asteraceae</v>
          </cell>
          <cell r="R1283" t="str">
            <v xml:space="preserve"> </v>
          </cell>
        </row>
        <row r="1284">
          <cell r="J1284">
            <v>1433</v>
          </cell>
          <cell r="K1284" t="str">
            <v>Asteraceae 9</v>
          </cell>
          <cell r="L1284" t="str">
            <v>Asteraceae 9</v>
          </cell>
          <cell r="M1284" t="str">
            <v xml:space="preserve"> =1426</v>
          </cell>
          <cell r="O1284" t="str">
            <v>Asteraceae</v>
          </cell>
          <cell r="R1284" t="str">
            <v xml:space="preserve"> </v>
          </cell>
        </row>
        <row r="1285">
          <cell r="J1285">
            <v>1434</v>
          </cell>
          <cell r="L1285" t="str">
            <v>indet_1434</v>
          </cell>
          <cell r="R1285" t="str">
            <v xml:space="preserve"> </v>
          </cell>
        </row>
        <row r="1286">
          <cell r="J1286">
            <v>1435</v>
          </cell>
          <cell r="K1286" t="str">
            <v>Symplocaceae</v>
          </cell>
          <cell r="L1286" t="str">
            <v>Symplocaceae_1435</v>
          </cell>
          <cell r="N1286" t="str">
            <v>Berthil (Symplocos cf.)</v>
          </cell>
          <cell r="O1286" t="str">
            <v>Symplocaceae</v>
          </cell>
          <cell r="P1286" t="str">
            <v>0_cf. Symplocos</v>
          </cell>
          <cell r="R1286" t="str">
            <v xml:space="preserve">0_cf. Symplocos </v>
          </cell>
        </row>
        <row r="1287">
          <cell r="J1287">
            <v>1436</v>
          </cell>
          <cell r="K1287" t="str">
            <v>Flor blanca</v>
          </cell>
          <cell r="L1287" t="str">
            <v>Flor blanca</v>
          </cell>
          <cell r="O1287" t="str">
            <v>Asteraceae</v>
          </cell>
          <cell r="P1287" t="str">
            <v>Mikania</v>
          </cell>
          <cell r="R1287" t="str">
            <v xml:space="preserve">Mikania </v>
          </cell>
        </row>
        <row r="1288">
          <cell r="J1288">
            <v>1437</v>
          </cell>
          <cell r="K1288" t="str">
            <v>Flor blanca</v>
          </cell>
          <cell r="L1288" t="str">
            <v>Flor blanca</v>
          </cell>
          <cell r="O1288" t="str">
            <v>Asteraceae</v>
          </cell>
          <cell r="P1288" t="str">
            <v>Mikania</v>
          </cell>
          <cell r="R1288" t="str">
            <v xml:space="preserve">Mikania </v>
          </cell>
        </row>
        <row r="1289">
          <cell r="J1289">
            <v>1438</v>
          </cell>
          <cell r="K1289" t="str">
            <v>Flor blanca</v>
          </cell>
          <cell r="L1289" t="str">
            <v>Flor blanca</v>
          </cell>
          <cell r="O1289" t="str">
            <v>Asteraceae</v>
          </cell>
          <cell r="P1289" t="str">
            <v>Mikania</v>
          </cell>
          <cell r="R1289" t="str">
            <v xml:space="preserve">Mikania </v>
          </cell>
        </row>
        <row r="1290">
          <cell r="J1290">
            <v>1439</v>
          </cell>
          <cell r="K1290" t="str">
            <v>Flor blanca</v>
          </cell>
          <cell r="L1290" t="str">
            <v>Flor blanca</v>
          </cell>
          <cell r="O1290" t="str">
            <v>Asteraceae</v>
          </cell>
          <cell r="P1290" t="str">
            <v>Mikania</v>
          </cell>
          <cell r="R1290" t="str">
            <v xml:space="preserve">Mikania </v>
          </cell>
        </row>
        <row r="1291">
          <cell r="J1291">
            <v>1440</v>
          </cell>
          <cell r="K1291" t="str">
            <v>fragil</v>
          </cell>
          <cell r="L1291" t="str">
            <v>Colignonia_1440</v>
          </cell>
          <cell r="M1291" t="str">
            <v xml:space="preserve"> =1440</v>
          </cell>
          <cell r="N1291" t="str">
            <v>jurgen &amp; Berthil (Colignonia scandens)</v>
          </cell>
          <cell r="O1291" t="str">
            <v>Nyctaginaceae</v>
          </cell>
          <cell r="P1291" t="str">
            <v>Colignonia</v>
          </cell>
          <cell r="Q1291" t="str">
            <v>scandens</v>
          </cell>
          <cell r="R1291" t="str">
            <v>Colignonia scandens</v>
          </cell>
        </row>
        <row r="1292">
          <cell r="J1292">
            <v>1441</v>
          </cell>
          <cell r="K1292" t="str">
            <v>Flor blanca</v>
          </cell>
          <cell r="L1292" t="str">
            <v>Flor blanca</v>
          </cell>
          <cell r="O1292" t="str">
            <v>Asteraceae</v>
          </cell>
          <cell r="P1292" t="str">
            <v>Mikania</v>
          </cell>
          <cell r="R1292" t="str">
            <v xml:space="preserve">Mikania </v>
          </cell>
        </row>
        <row r="1293">
          <cell r="J1293">
            <v>1442</v>
          </cell>
          <cell r="K1293" t="str">
            <v>H.A. dientes</v>
          </cell>
          <cell r="L1293" t="str">
            <v>Asteraceae 8 (Flores amarillas, hoja pequena)/Patitas de algodon plateado</v>
          </cell>
          <cell r="M1293" t="str">
            <v xml:space="preserve"> 1281, =1376</v>
          </cell>
          <cell r="O1293" t="str">
            <v>Asteraceae</v>
          </cell>
          <cell r="P1293" t="str">
            <v>Pentacalia</v>
          </cell>
          <cell r="R1293" t="str">
            <v xml:space="preserve">Pentacalia </v>
          </cell>
        </row>
        <row r="1294">
          <cell r="J1294">
            <v>1443</v>
          </cell>
          <cell r="K1294" t="str">
            <v>Flor blanca</v>
          </cell>
          <cell r="L1294" t="str">
            <v>Flor blanca</v>
          </cell>
          <cell r="O1294" t="str">
            <v>Asteraceae</v>
          </cell>
          <cell r="P1294" t="str">
            <v>Mikania</v>
          </cell>
          <cell r="R1294" t="str">
            <v xml:space="preserve">Mikania </v>
          </cell>
        </row>
        <row r="1295">
          <cell r="J1295">
            <v>1444</v>
          </cell>
          <cell r="K1295" t="str">
            <v>Asteraceae 9</v>
          </cell>
          <cell r="L1295" t="str">
            <v>Asteraceae 9</v>
          </cell>
          <cell r="M1295" t="str">
            <v xml:space="preserve"> =1426</v>
          </cell>
          <cell r="O1295" t="str">
            <v>Asteraceae</v>
          </cell>
          <cell r="R1295" t="str">
            <v xml:space="preserve"> </v>
          </cell>
        </row>
        <row r="1296">
          <cell r="J1296">
            <v>1445</v>
          </cell>
          <cell r="K1296" t="str">
            <v>Flor blanca</v>
          </cell>
          <cell r="L1296" t="str">
            <v>Flor blanca</v>
          </cell>
          <cell r="O1296" t="str">
            <v>Asteraceae</v>
          </cell>
          <cell r="P1296" t="str">
            <v>Mikania</v>
          </cell>
          <cell r="R1296" t="str">
            <v xml:space="preserve">Mikania </v>
          </cell>
        </row>
        <row r="1297">
          <cell r="J1297">
            <v>1446</v>
          </cell>
          <cell r="K1297" t="str">
            <v>Asteraceae 9</v>
          </cell>
          <cell r="L1297" t="str">
            <v>Asteraceae 9</v>
          </cell>
          <cell r="M1297" t="str">
            <v xml:space="preserve"> =1426</v>
          </cell>
          <cell r="O1297" t="str">
            <v>Asteraceae</v>
          </cell>
          <cell r="R1297" t="str">
            <v xml:space="preserve"> </v>
          </cell>
        </row>
        <row r="1298">
          <cell r="J1298">
            <v>1447</v>
          </cell>
          <cell r="K1298" t="str">
            <v>fragil</v>
          </cell>
          <cell r="L1298" t="str">
            <v>Colignonia_1440</v>
          </cell>
          <cell r="M1298" t="str">
            <v xml:space="preserve"> =1440</v>
          </cell>
          <cell r="O1298" t="str">
            <v>Nyctaginaceae</v>
          </cell>
          <cell r="P1298" t="str">
            <v>Colignonia</v>
          </cell>
          <cell r="Q1298" t="str">
            <v>scandens</v>
          </cell>
          <cell r="R1298" t="str">
            <v>Colignonia scandens</v>
          </cell>
        </row>
        <row r="1299">
          <cell r="J1299">
            <v>1448</v>
          </cell>
          <cell r="K1299" t="str">
            <v>Centropogon</v>
          </cell>
          <cell r="L1299" t="str">
            <v>Centropogon</v>
          </cell>
          <cell r="O1299" t="str">
            <v>Campanulaceae</v>
          </cell>
          <cell r="P1299" t="str">
            <v>Centropogon</v>
          </cell>
          <cell r="R1299" t="str">
            <v xml:space="preserve">Centropogon </v>
          </cell>
        </row>
        <row r="1300">
          <cell r="J1300">
            <v>1449</v>
          </cell>
          <cell r="K1300" t="str">
            <v>Centropogon</v>
          </cell>
          <cell r="L1300" t="str">
            <v>Centropogon</v>
          </cell>
          <cell r="M1300" t="str">
            <v xml:space="preserve"> =1448</v>
          </cell>
          <cell r="N1300" t="str">
            <v>jurgen &amp; Berthil (centropogon)</v>
          </cell>
          <cell r="O1300" t="str">
            <v>Campanulaceae</v>
          </cell>
          <cell r="P1300" t="str">
            <v>Centropogon</v>
          </cell>
          <cell r="R1300" t="str">
            <v xml:space="preserve">Centropogon </v>
          </cell>
        </row>
        <row r="1301">
          <cell r="J1301">
            <v>1450</v>
          </cell>
          <cell r="K1301" t="str">
            <v>Calceolaria</v>
          </cell>
          <cell r="L1301" t="str">
            <v>Calceolaria</v>
          </cell>
          <cell r="O1301" t="str">
            <v>Calceolariaceae</v>
          </cell>
          <cell r="P1301" t="str">
            <v>Calceolaria</v>
          </cell>
          <cell r="R1301" t="str">
            <v xml:space="preserve">Calceolaria </v>
          </cell>
        </row>
        <row r="1302">
          <cell r="J1302">
            <v>1451</v>
          </cell>
          <cell r="K1302" t="str">
            <v>Estrella</v>
          </cell>
          <cell r="L1302" t="str">
            <v>Estrella</v>
          </cell>
          <cell r="M1302" t="str">
            <v xml:space="preserve"> =1362</v>
          </cell>
          <cell r="O1302" t="str">
            <v>Asteraceae</v>
          </cell>
          <cell r="P1302" t="str">
            <v>Jungia</v>
          </cell>
          <cell r="R1302" t="str">
            <v xml:space="preserve">Jungia </v>
          </cell>
        </row>
        <row r="1303">
          <cell r="J1303">
            <v>1452</v>
          </cell>
          <cell r="K1303" t="str">
            <v>Flor blanca</v>
          </cell>
          <cell r="L1303" t="str">
            <v>Flor blanca</v>
          </cell>
          <cell r="O1303" t="str">
            <v>Asteraceae</v>
          </cell>
          <cell r="P1303" t="str">
            <v>Mikania</v>
          </cell>
          <cell r="R1303" t="str">
            <v xml:space="preserve">Mikania </v>
          </cell>
        </row>
        <row r="1304">
          <cell r="J1304">
            <v>1453</v>
          </cell>
          <cell r="K1304" t="str">
            <v>Flor blanca</v>
          </cell>
          <cell r="L1304" t="str">
            <v>Flor blanca</v>
          </cell>
          <cell r="O1304" t="str">
            <v>Asteraceae</v>
          </cell>
          <cell r="P1304" t="str">
            <v>Mikania</v>
          </cell>
          <cell r="R1304" t="str">
            <v xml:space="preserve">Mikania </v>
          </cell>
        </row>
        <row r="1305">
          <cell r="J1305">
            <v>1454</v>
          </cell>
          <cell r="K1305" t="str">
            <v>Flor blanca</v>
          </cell>
          <cell r="L1305" t="str">
            <v>Flor blanca</v>
          </cell>
          <cell r="O1305" t="str">
            <v>Asteraceae</v>
          </cell>
          <cell r="P1305" t="str">
            <v>Mikania</v>
          </cell>
          <cell r="R1305" t="str">
            <v xml:space="preserve">Mikania </v>
          </cell>
        </row>
        <row r="1306">
          <cell r="J1306">
            <v>1455</v>
          </cell>
          <cell r="K1306" t="str">
            <v>fragil</v>
          </cell>
          <cell r="L1306" t="str">
            <v>Colignonia_1440</v>
          </cell>
          <cell r="M1306" t="str">
            <v xml:space="preserve"> =1440</v>
          </cell>
          <cell r="O1306" t="str">
            <v>Nyctaginaceae</v>
          </cell>
          <cell r="P1306" t="str">
            <v>Colignonia</v>
          </cell>
          <cell r="Q1306" t="str">
            <v>scandens</v>
          </cell>
          <cell r="R1306" t="str">
            <v>Colignonia scandens</v>
          </cell>
        </row>
        <row r="1307">
          <cell r="J1307">
            <v>1456</v>
          </cell>
          <cell r="K1307" t="str">
            <v>Flor blanca</v>
          </cell>
          <cell r="L1307" t="str">
            <v>Flor blanca</v>
          </cell>
          <cell r="O1307" t="str">
            <v>Asteraceae</v>
          </cell>
          <cell r="P1307" t="str">
            <v>Mikania</v>
          </cell>
          <cell r="R1307" t="str">
            <v xml:space="preserve">Mikania </v>
          </cell>
        </row>
        <row r="1308">
          <cell r="J1308">
            <v>1457</v>
          </cell>
          <cell r="K1308" t="str">
            <v>Flor blanca</v>
          </cell>
          <cell r="L1308" t="str">
            <v>Flor blanca</v>
          </cell>
          <cell r="O1308" t="str">
            <v>Asteraceae</v>
          </cell>
          <cell r="P1308" t="str">
            <v>Mikania</v>
          </cell>
          <cell r="R1308" t="str">
            <v xml:space="preserve">Mikania </v>
          </cell>
        </row>
        <row r="1309">
          <cell r="J1309">
            <v>1458</v>
          </cell>
          <cell r="K1309" t="str">
            <v>Flor blanca</v>
          </cell>
          <cell r="L1309" t="str">
            <v>Flor blanca</v>
          </cell>
          <cell r="O1309" t="str">
            <v>Asteraceae</v>
          </cell>
          <cell r="P1309" t="str">
            <v>Mikania</v>
          </cell>
          <cell r="R1309" t="str">
            <v xml:space="preserve">Mikania </v>
          </cell>
        </row>
        <row r="1310">
          <cell r="J1310">
            <v>1459</v>
          </cell>
          <cell r="K1310" t="str">
            <v>Flor blanca</v>
          </cell>
          <cell r="L1310" t="str">
            <v>Flor blanca</v>
          </cell>
          <cell r="O1310" t="str">
            <v>Asteraceae</v>
          </cell>
          <cell r="P1310" t="str">
            <v>Mikania</v>
          </cell>
          <cell r="R1310" t="str">
            <v xml:space="preserve">Mikania </v>
          </cell>
        </row>
        <row r="1311">
          <cell r="J1311">
            <v>1460</v>
          </cell>
          <cell r="K1311" t="str">
            <v>Flor blanca</v>
          </cell>
          <cell r="L1311" t="str">
            <v>Flor blanca</v>
          </cell>
          <cell r="O1311" t="str">
            <v>Asteraceae</v>
          </cell>
          <cell r="P1311" t="str">
            <v>Mikania</v>
          </cell>
          <cell r="R1311" t="str">
            <v xml:space="preserve">Mikania </v>
          </cell>
        </row>
        <row r="1312">
          <cell r="J1312">
            <v>1461</v>
          </cell>
          <cell r="K1312" t="str">
            <v>patitas de algodon dorada</v>
          </cell>
          <cell r="L1312" t="str">
            <v>patitas_algodon_doradas_1320</v>
          </cell>
          <cell r="M1312" t="str">
            <v xml:space="preserve"> =1320</v>
          </cell>
          <cell r="O1312" t="str">
            <v>Asteraceae</v>
          </cell>
          <cell r="P1312" t="str">
            <v>Pentacalia</v>
          </cell>
          <cell r="R1312" t="str">
            <v xml:space="preserve">Pentacalia </v>
          </cell>
        </row>
        <row r="1313">
          <cell r="J1313">
            <v>1462</v>
          </cell>
          <cell r="K1313" t="str">
            <v>Hoja lanza</v>
          </cell>
          <cell r="L1313" t="str">
            <v>Munozia sp. 2</v>
          </cell>
          <cell r="M1313" t="str">
            <v xml:space="preserve"> =1397</v>
          </cell>
          <cell r="N1313" t="str">
            <v>Jurgen &amp; Berthil (Munozia), =Check (1463), 1462, 1397</v>
          </cell>
          <cell r="O1313" t="str">
            <v>Asteraceae</v>
          </cell>
          <cell r="P1313" t="str">
            <v>Munozia</v>
          </cell>
          <cell r="R1313" t="str">
            <v xml:space="preserve">Munozia </v>
          </cell>
        </row>
        <row r="1314">
          <cell r="J1314">
            <v>1463</v>
          </cell>
          <cell r="K1314" t="str">
            <v>patitas de algodon dorada</v>
          </cell>
          <cell r="L1314" t="str">
            <v>patitas_algodon_doradas_1320</v>
          </cell>
          <cell r="M1314" t="str">
            <v xml:space="preserve"> =1320, =1463</v>
          </cell>
          <cell r="O1314" t="str">
            <v>Asteraceae</v>
          </cell>
          <cell r="P1314" t="str">
            <v>Pentacalia</v>
          </cell>
          <cell r="R1314" t="str">
            <v xml:space="preserve">Pentacalia </v>
          </cell>
        </row>
        <row r="1315">
          <cell r="J1315">
            <v>1464</v>
          </cell>
          <cell r="K1315" t="str">
            <v>Flor blanca</v>
          </cell>
          <cell r="L1315" t="str">
            <v>Flor blanca</v>
          </cell>
          <cell r="O1315" t="str">
            <v>Asteraceae</v>
          </cell>
          <cell r="P1315" t="str">
            <v>Mikania</v>
          </cell>
          <cell r="R1315" t="str">
            <v xml:space="preserve">Mikania </v>
          </cell>
        </row>
        <row r="1316">
          <cell r="J1316">
            <v>1465</v>
          </cell>
          <cell r="K1316" t="str">
            <v>Flor blanca</v>
          </cell>
          <cell r="L1316" t="str">
            <v>Flor blanca</v>
          </cell>
          <cell r="O1316" t="str">
            <v>Asteraceae</v>
          </cell>
          <cell r="P1316" t="str">
            <v>Mikania</v>
          </cell>
          <cell r="R1316" t="str">
            <v xml:space="preserve">Mikania </v>
          </cell>
        </row>
        <row r="1317">
          <cell r="J1317">
            <v>1466</v>
          </cell>
          <cell r="K1317" t="str">
            <v>Flor blanca</v>
          </cell>
          <cell r="L1317" t="str">
            <v>Flor blanca</v>
          </cell>
          <cell r="O1317" t="str">
            <v>Asteraceae</v>
          </cell>
          <cell r="P1317" t="str">
            <v>Mikania</v>
          </cell>
          <cell r="R1317" t="str">
            <v xml:space="preserve">Mikania </v>
          </cell>
        </row>
        <row r="1318">
          <cell r="J1318">
            <v>1467</v>
          </cell>
          <cell r="K1318" t="str">
            <v>Flor blanca</v>
          </cell>
          <cell r="L1318" t="str">
            <v>Flor blanca</v>
          </cell>
          <cell r="O1318" t="str">
            <v>Asteraceae</v>
          </cell>
          <cell r="P1318" t="str">
            <v>Mikania</v>
          </cell>
          <cell r="R1318" t="str">
            <v xml:space="preserve">Mikania </v>
          </cell>
        </row>
        <row r="1319">
          <cell r="J1319">
            <v>1468</v>
          </cell>
          <cell r="K1319" t="str">
            <v>Flor blanca</v>
          </cell>
          <cell r="L1319" t="str">
            <v>Flor blanca</v>
          </cell>
          <cell r="O1319" t="str">
            <v>Asteraceae</v>
          </cell>
          <cell r="P1319" t="str">
            <v>Mikania</v>
          </cell>
          <cell r="R1319" t="str">
            <v xml:space="preserve">Mikania </v>
          </cell>
        </row>
        <row r="1320">
          <cell r="J1320">
            <v>1469</v>
          </cell>
          <cell r="K1320" t="str">
            <v>Fragil</v>
          </cell>
          <cell r="L1320" t="str">
            <v>Colignonia_1440</v>
          </cell>
          <cell r="M1320" t="str">
            <v xml:space="preserve"> =1440</v>
          </cell>
          <cell r="O1320" t="str">
            <v>Nyctaginaceae</v>
          </cell>
          <cell r="P1320" t="str">
            <v>Colignonia</v>
          </cell>
          <cell r="Q1320" t="str">
            <v>scandens</v>
          </cell>
          <cell r="R1320" t="str">
            <v>Colignonia scandens</v>
          </cell>
        </row>
        <row r="1321">
          <cell r="J1321">
            <v>1470</v>
          </cell>
          <cell r="K1321" t="str">
            <v>Fragil</v>
          </cell>
          <cell r="L1321" t="str">
            <v>Colignonia_1440</v>
          </cell>
          <cell r="M1321" t="str">
            <v xml:space="preserve"> =1440</v>
          </cell>
          <cell r="O1321" t="str">
            <v>Nyctaginaceae</v>
          </cell>
          <cell r="P1321" t="str">
            <v>Colignonia</v>
          </cell>
          <cell r="Q1321" t="str">
            <v>scandens</v>
          </cell>
          <cell r="R1321" t="str">
            <v>Colignonia scandens</v>
          </cell>
        </row>
        <row r="1322">
          <cell r="J1322">
            <v>1471</v>
          </cell>
          <cell r="K1322" t="str">
            <v>Flor blanca</v>
          </cell>
          <cell r="L1322" t="str">
            <v>Flor blanca</v>
          </cell>
          <cell r="O1322" t="str">
            <v>Asteraceae</v>
          </cell>
          <cell r="P1322" t="str">
            <v>Mikania</v>
          </cell>
          <cell r="R1322" t="str">
            <v xml:space="preserve">Mikania </v>
          </cell>
        </row>
        <row r="1323">
          <cell r="J1323">
            <v>1472</v>
          </cell>
          <cell r="K1323" t="str">
            <v>Asteraceae 5 (Melastomataceae)</v>
          </cell>
          <cell r="L1323" t="str">
            <v>Asteraceae 5 (Melastomataceae)</v>
          </cell>
          <cell r="O1323" t="str">
            <v>Asteraceae</v>
          </cell>
          <cell r="P1323" t="str">
            <v>Mikania</v>
          </cell>
          <cell r="R1323" t="str">
            <v xml:space="preserve">Mikania </v>
          </cell>
        </row>
        <row r="1324">
          <cell r="J1324">
            <v>1473</v>
          </cell>
          <cell r="K1324" t="str">
            <v>Asteraceae 5 (Melastomataceae)</v>
          </cell>
          <cell r="L1324" t="str">
            <v>Asteraceae 5 (Melastomataceae)</v>
          </cell>
          <cell r="M1324" t="str">
            <v xml:space="preserve"> =1472</v>
          </cell>
          <cell r="O1324" t="str">
            <v>Asteraceae</v>
          </cell>
          <cell r="P1324" t="str">
            <v>Mikania</v>
          </cell>
          <cell r="R1324" t="str">
            <v xml:space="preserve">Mikania </v>
          </cell>
        </row>
        <row r="1325">
          <cell r="J1325">
            <v>1474</v>
          </cell>
          <cell r="K1325" t="str">
            <v>Asteraceae 5 (Melastomataceae)</v>
          </cell>
          <cell r="L1325" t="str">
            <v>Asteraceae 5 (Melastomataceae)</v>
          </cell>
          <cell r="M1325" t="str">
            <v xml:space="preserve"> =1472</v>
          </cell>
          <cell r="O1325" t="str">
            <v>Asteraceae</v>
          </cell>
          <cell r="P1325" t="str">
            <v>Mikania</v>
          </cell>
          <cell r="R1325" t="str">
            <v xml:space="preserve">Mikania </v>
          </cell>
        </row>
        <row r="1326">
          <cell r="J1326">
            <v>1475</v>
          </cell>
          <cell r="K1326" t="str">
            <v>Asteraceae 6 (Ast. Dientes peludos)</v>
          </cell>
          <cell r="L1326" t="str">
            <v>Asteraceae 6 (Ast. Dientes peludos)</v>
          </cell>
          <cell r="M1326" t="str">
            <v xml:space="preserve"> =1394?</v>
          </cell>
          <cell r="O1326" t="str">
            <v>Asteraceae</v>
          </cell>
          <cell r="P1326" t="str">
            <v>Mikania</v>
          </cell>
          <cell r="R1326" t="str">
            <v xml:space="preserve">Mikania </v>
          </cell>
        </row>
        <row r="1327">
          <cell r="J1327">
            <v>1476</v>
          </cell>
          <cell r="K1327" t="str">
            <v>Asteraceae 5 (Melastomataceae)</v>
          </cell>
          <cell r="L1327" t="str">
            <v>Asteraceae 5 (Melastomataceae)</v>
          </cell>
          <cell r="M1327" t="str">
            <v xml:space="preserve"> =1472</v>
          </cell>
          <cell r="O1327" t="str">
            <v>Asteraceae</v>
          </cell>
          <cell r="P1327" t="str">
            <v>Mikania</v>
          </cell>
          <cell r="R1327" t="str">
            <v xml:space="preserve">Mikania </v>
          </cell>
        </row>
        <row r="1328">
          <cell r="J1328">
            <v>1477</v>
          </cell>
          <cell r="K1328" t="str">
            <v>Estrella</v>
          </cell>
          <cell r="L1328" t="str">
            <v>Estrella</v>
          </cell>
          <cell r="M1328" t="str">
            <v xml:space="preserve"> =1362</v>
          </cell>
          <cell r="O1328" t="str">
            <v>Asteraceae</v>
          </cell>
          <cell r="P1328" t="str">
            <v>Jungia</v>
          </cell>
          <cell r="R1328" t="str">
            <v xml:space="preserve">Jungia </v>
          </cell>
        </row>
        <row r="1329">
          <cell r="J1329">
            <v>1479</v>
          </cell>
          <cell r="K1329" t="str">
            <v>Estrella</v>
          </cell>
          <cell r="L1329" t="str">
            <v>Estrella</v>
          </cell>
          <cell r="O1329" t="str">
            <v>Asteraceae</v>
          </cell>
          <cell r="P1329" t="str">
            <v>Jungia</v>
          </cell>
          <cell r="R1329" t="str">
            <v xml:space="preserve">Jungia </v>
          </cell>
        </row>
        <row r="1330">
          <cell r="J1330">
            <v>1480</v>
          </cell>
          <cell r="K1330" t="str">
            <v>Estrella</v>
          </cell>
          <cell r="L1330" t="str">
            <v>Estrella</v>
          </cell>
          <cell r="O1330" t="str">
            <v>Asteraceae</v>
          </cell>
          <cell r="P1330" t="str">
            <v>Jungia</v>
          </cell>
          <cell r="R1330" t="str">
            <v xml:space="preserve">Jungia </v>
          </cell>
        </row>
        <row r="1331">
          <cell r="J1331">
            <v>1481</v>
          </cell>
          <cell r="K1331" t="str">
            <v>Asteraceae 10</v>
          </cell>
          <cell r="L1331" t="str">
            <v>Munozia sp. 1</v>
          </cell>
          <cell r="M1331" t="str">
            <v xml:space="preserve"> =1426</v>
          </cell>
          <cell r="N1331" t="str">
            <v>jurgen &amp; Berthil (Munozia cf.), =1481, 1426</v>
          </cell>
          <cell r="O1331" t="str">
            <v>Asteraceae</v>
          </cell>
          <cell r="P1331" t="str">
            <v>0_cf. Munozia</v>
          </cell>
          <cell r="R1331" t="str">
            <v xml:space="preserve">0_cf. Munozia </v>
          </cell>
        </row>
        <row r="1332">
          <cell r="J1332">
            <v>1482</v>
          </cell>
          <cell r="K1332" t="str">
            <v>Asteraceae 10</v>
          </cell>
          <cell r="L1332" t="str">
            <v>Asteraceae 10</v>
          </cell>
          <cell r="M1332" t="str">
            <v xml:space="preserve"> =1481</v>
          </cell>
          <cell r="O1332" t="str">
            <v>Asteraceae</v>
          </cell>
          <cell r="R1332" t="str">
            <v xml:space="preserve"> </v>
          </cell>
        </row>
        <row r="1333">
          <cell r="J1333">
            <v>1483</v>
          </cell>
          <cell r="K1333" t="str">
            <v>Flor blanca</v>
          </cell>
          <cell r="L1333" t="str">
            <v>Flor blanca</v>
          </cell>
          <cell r="O1333" t="str">
            <v>Asteraceae</v>
          </cell>
          <cell r="P1333" t="str">
            <v>Mikania</v>
          </cell>
          <cell r="R1333" t="str">
            <v xml:space="preserve">Mikania </v>
          </cell>
        </row>
        <row r="1334">
          <cell r="J1334">
            <v>1484</v>
          </cell>
          <cell r="K1334" t="str">
            <v>Asteraceae 5 (Melastomataceae)</v>
          </cell>
          <cell r="L1334" t="str">
            <v>Asteraceae 5 (Melastomataceae)</v>
          </cell>
          <cell r="M1334" t="str">
            <v xml:space="preserve"> =1472</v>
          </cell>
          <cell r="O1334" t="str">
            <v>Asteraceae</v>
          </cell>
          <cell r="P1334" t="str">
            <v>Mikania</v>
          </cell>
          <cell r="R1334" t="str">
            <v xml:space="preserve">Mikania </v>
          </cell>
        </row>
        <row r="1335">
          <cell r="J1335">
            <v>1485</v>
          </cell>
          <cell r="K1335" t="str">
            <v>Flor blanca</v>
          </cell>
          <cell r="L1335" t="str">
            <v>Flor blanca</v>
          </cell>
          <cell r="O1335" t="str">
            <v>Asteraceae</v>
          </cell>
          <cell r="P1335" t="str">
            <v>Mikania</v>
          </cell>
          <cell r="R1335" t="str">
            <v xml:space="preserve">Mikania </v>
          </cell>
        </row>
        <row r="1336">
          <cell r="J1336">
            <v>1486</v>
          </cell>
          <cell r="K1336" t="str">
            <v>Asteraceae 5 (Melastomataceae)</v>
          </cell>
          <cell r="L1336" t="str">
            <v>Asteraceae 5 (Melastomataceae)</v>
          </cell>
          <cell r="M1336" t="str">
            <v xml:space="preserve"> =1472</v>
          </cell>
          <cell r="O1336" t="str">
            <v>Asteraceae</v>
          </cell>
          <cell r="P1336" t="str">
            <v>Mikania</v>
          </cell>
          <cell r="R1336" t="str">
            <v xml:space="preserve">Mikania </v>
          </cell>
        </row>
        <row r="1337">
          <cell r="J1337">
            <v>1487</v>
          </cell>
          <cell r="K1337" t="str">
            <v>Asteraceae 5 (Melastomataceae)</v>
          </cell>
          <cell r="L1337" t="str">
            <v>Asteraceae 5 (Melastomataceae)</v>
          </cell>
          <cell r="M1337" t="str">
            <v xml:space="preserve"> =1472</v>
          </cell>
          <cell r="O1337" t="str">
            <v>Asteraceae</v>
          </cell>
          <cell r="P1337" t="str">
            <v>Mikania</v>
          </cell>
          <cell r="R1337" t="str">
            <v xml:space="preserve">Mikania </v>
          </cell>
        </row>
        <row r="1338">
          <cell r="J1338">
            <v>1488</v>
          </cell>
          <cell r="K1338" t="str">
            <v>Asteraceae 7 (nervadura prominente)</v>
          </cell>
          <cell r="L1338" t="str">
            <v>Asteraceae 7_1 Flores_amarillas</v>
          </cell>
          <cell r="M1338" t="str">
            <v xml:space="preserve"> =1310</v>
          </cell>
          <cell r="N1338" t="str">
            <v>jurgen &amp; Berthil (Gynoxys??), =1310, 1488</v>
          </cell>
          <cell r="O1338" t="str">
            <v>Asteraceae</v>
          </cell>
          <cell r="P1338" t="str">
            <v>0_cf. Gynoxis</v>
          </cell>
          <cell r="R1338" t="str">
            <v xml:space="preserve">0_cf. Gynoxis </v>
          </cell>
        </row>
        <row r="1339">
          <cell r="J1339">
            <v>1489</v>
          </cell>
          <cell r="K1339" t="str">
            <v>Asteraceae 5 (Melastomataceae)</v>
          </cell>
          <cell r="L1339" t="str">
            <v>Asteraceae 5 (Melastomataceae)</v>
          </cell>
          <cell r="M1339" t="str">
            <v xml:space="preserve"> =1472</v>
          </cell>
          <cell r="O1339" t="str">
            <v>Asteraceae</v>
          </cell>
          <cell r="P1339" t="str">
            <v>Mikania</v>
          </cell>
          <cell r="R1339" t="str">
            <v xml:space="preserve">Mikania </v>
          </cell>
        </row>
        <row r="1340">
          <cell r="J1340">
            <v>1490</v>
          </cell>
          <cell r="K1340" t="str">
            <v>Centropogon</v>
          </cell>
          <cell r="L1340" t="str">
            <v>Centropogon</v>
          </cell>
          <cell r="M1340" t="str">
            <v xml:space="preserve"> =1448</v>
          </cell>
          <cell r="O1340" t="str">
            <v>Campanulaceae</v>
          </cell>
          <cell r="P1340" t="str">
            <v>Centropogon</v>
          </cell>
          <cell r="R1340" t="str">
            <v xml:space="preserve">Centropogon </v>
          </cell>
        </row>
        <row r="1341">
          <cell r="J1341">
            <v>1491</v>
          </cell>
          <cell r="K1341" t="str">
            <v>Asteraceae 10</v>
          </cell>
          <cell r="L1341" t="str">
            <v>Asteraceae 10</v>
          </cell>
          <cell r="M1341" t="str">
            <v xml:space="preserve"> =1481</v>
          </cell>
          <cell r="O1341" t="str">
            <v>Asteraceae</v>
          </cell>
          <cell r="R1341" t="str">
            <v xml:space="preserve"> </v>
          </cell>
        </row>
        <row r="1342">
          <cell r="J1342">
            <v>1492</v>
          </cell>
          <cell r="K1342" t="str">
            <v>Flor blanca</v>
          </cell>
          <cell r="L1342" t="str">
            <v>Flor blanca</v>
          </cell>
          <cell r="O1342" t="str">
            <v>Asteraceae</v>
          </cell>
          <cell r="P1342" t="str">
            <v>Mikania</v>
          </cell>
          <cell r="R1342" t="str">
            <v xml:space="preserve">Mikania </v>
          </cell>
        </row>
        <row r="1343">
          <cell r="J1343">
            <v>1493</v>
          </cell>
          <cell r="K1343" t="str">
            <v>Flor blanca</v>
          </cell>
          <cell r="L1343" t="str">
            <v>Flor blanca</v>
          </cell>
          <cell r="O1343" t="str">
            <v>Asteraceae</v>
          </cell>
          <cell r="P1343" t="str">
            <v>Mikania</v>
          </cell>
          <cell r="R1343" t="str">
            <v xml:space="preserve">Mikania </v>
          </cell>
        </row>
        <row r="1344">
          <cell r="J1344">
            <v>1494</v>
          </cell>
          <cell r="K1344" t="str">
            <v>Asteraceae 11</v>
          </cell>
          <cell r="L1344" t="str">
            <v>Asteraceae 11</v>
          </cell>
          <cell r="O1344" t="str">
            <v>Asteraceae</v>
          </cell>
          <cell r="P1344" t="str">
            <v>Mikania</v>
          </cell>
          <cell r="R1344" t="str">
            <v xml:space="preserve">Mikania </v>
          </cell>
        </row>
        <row r="1345">
          <cell r="J1345">
            <v>1495</v>
          </cell>
          <cell r="K1345" t="str">
            <v>Asteraceae 11</v>
          </cell>
          <cell r="L1345" t="str">
            <v>Asteraceae 11</v>
          </cell>
          <cell r="M1345" t="str">
            <v xml:space="preserve"> =1494</v>
          </cell>
          <cell r="O1345" t="str">
            <v>Asteraceae</v>
          </cell>
          <cell r="P1345" t="str">
            <v>Mikania</v>
          </cell>
          <cell r="R1345" t="str">
            <v xml:space="preserve">Mikania </v>
          </cell>
        </row>
        <row r="1346">
          <cell r="J1346">
            <v>1496</v>
          </cell>
          <cell r="K1346" t="str">
            <v>Flor blanca</v>
          </cell>
          <cell r="L1346" t="str">
            <v>Flor blanca</v>
          </cell>
          <cell r="O1346" t="str">
            <v>Asteraceae</v>
          </cell>
          <cell r="P1346" t="str">
            <v>Mikania</v>
          </cell>
          <cell r="R1346" t="str">
            <v xml:space="preserve">Mikania </v>
          </cell>
        </row>
        <row r="1347">
          <cell r="J1347">
            <v>1497</v>
          </cell>
          <cell r="K1347" t="str">
            <v>Asteraceae 11</v>
          </cell>
          <cell r="L1347" t="str">
            <v>Asteraceae 11</v>
          </cell>
          <cell r="M1347" t="str">
            <v xml:space="preserve"> =1494</v>
          </cell>
          <cell r="O1347" t="str">
            <v>Asteraceae</v>
          </cell>
          <cell r="P1347" t="str">
            <v>Mikania</v>
          </cell>
          <cell r="R1347" t="str">
            <v xml:space="preserve">Mikania </v>
          </cell>
        </row>
        <row r="1348">
          <cell r="J1348">
            <v>1498</v>
          </cell>
          <cell r="L1348" t="str">
            <v>Ast_1498</v>
          </cell>
          <cell r="M1348" t="str">
            <v xml:space="preserve"> =1498</v>
          </cell>
          <cell r="O1348" t="str">
            <v>Asteraceae</v>
          </cell>
          <cell r="R1348" t="str">
            <v xml:space="preserve"> </v>
          </cell>
        </row>
        <row r="1349">
          <cell r="J1349">
            <v>1499</v>
          </cell>
          <cell r="K1349" t="str">
            <v>Boraginaceae</v>
          </cell>
          <cell r="L1349" t="str">
            <v>Boraginaceae</v>
          </cell>
          <cell r="M1349" t="str">
            <v xml:space="preserve"> =1301</v>
          </cell>
          <cell r="O1349" t="str">
            <v>0_Boraginaceae??</v>
          </cell>
          <cell r="P1349" t="str">
            <v>0_cf. Tournefortia</v>
          </cell>
          <cell r="R1349" t="str">
            <v xml:space="preserve">0_cf. Tournefortia </v>
          </cell>
        </row>
        <row r="1350">
          <cell r="J1350">
            <v>1500</v>
          </cell>
          <cell r="L1350" t="str">
            <v>Ast_1498</v>
          </cell>
          <cell r="M1350" t="str">
            <v xml:space="preserve"> =1498</v>
          </cell>
          <cell r="O1350" t="str">
            <v>Asteraceae</v>
          </cell>
          <cell r="R1350" t="str">
            <v xml:space="preserve"> </v>
          </cell>
        </row>
        <row r="1351">
          <cell r="J1351">
            <v>1501</v>
          </cell>
          <cell r="L1351" t="str">
            <v>Ast_1498</v>
          </cell>
          <cell r="M1351" t="str">
            <v xml:space="preserve"> =1498</v>
          </cell>
          <cell r="O1351" t="str">
            <v>Asteraceae</v>
          </cell>
          <cell r="R1351" t="str">
            <v xml:space="preserve"> </v>
          </cell>
        </row>
        <row r="1352">
          <cell r="J1352">
            <v>1502</v>
          </cell>
          <cell r="L1352" t="str">
            <v>Ast_1498</v>
          </cell>
          <cell r="M1352" t="str">
            <v xml:space="preserve"> =1498</v>
          </cell>
          <cell r="O1352" t="str">
            <v>Asteraceae</v>
          </cell>
          <cell r="R1352" t="str">
            <v xml:space="preserve"> </v>
          </cell>
        </row>
        <row r="1353">
          <cell r="J1353">
            <v>1503</v>
          </cell>
          <cell r="K1353" t="str">
            <v>Flor blanca</v>
          </cell>
          <cell r="L1353" t="str">
            <v>Flor blanca</v>
          </cell>
          <cell r="O1353" t="str">
            <v>Asteraceae</v>
          </cell>
          <cell r="P1353" t="str">
            <v>Mikania</v>
          </cell>
          <cell r="R1353" t="str">
            <v xml:space="preserve">Mikania </v>
          </cell>
        </row>
        <row r="1354">
          <cell r="J1354">
            <v>1504</v>
          </cell>
          <cell r="K1354" t="str">
            <v>Flor blanca</v>
          </cell>
          <cell r="L1354" t="str">
            <v>Flor blanca</v>
          </cell>
          <cell r="O1354" t="str">
            <v>Asteraceae</v>
          </cell>
          <cell r="P1354" t="str">
            <v>Mikania</v>
          </cell>
          <cell r="R1354" t="str">
            <v xml:space="preserve">Mikania </v>
          </cell>
        </row>
        <row r="1355">
          <cell r="J1355">
            <v>1505</v>
          </cell>
          <cell r="K1355" t="str">
            <v>Flor blanca</v>
          </cell>
          <cell r="L1355" t="str">
            <v>Flor blanca</v>
          </cell>
          <cell r="O1355" t="str">
            <v>Asteraceae</v>
          </cell>
          <cell r="P1355" t="str">
            <v>Mikania</v>
          </cell>
          <cell r="R1355" t="str">
            <v xml:space="preserve">Mikania </v>
          </cell>
        </row>
        <row r="1356">
          <cell r="J1356">
            <v>1506</v>
          </cell>
          <cell r="K1356" t="str">
            <v>Calceolaria</v>
          </cell>
          <cell r="L1356" t="str">
            <v>Calceolaria</v>
          </cell>
          <cell r="M1356" t="str">
            <v xml:space="preserve"> =1355</v>
          </cell>
          <cell r="O1356" t="str">
            <v>Calceolariaceae</v>
          </cell>
          <cell r="P1356" t="str">
            <v>Calceolaria</v>
          </cell>
          <cell r="R1356" t="str">
            <v xml:space="preserve">Calceolaria </v>
          </cell>
        </row>
        <row r="1357">
          <cell r="J1357">
            <v>1507</v>
          </cell>
          <cell r="K1357" t="str">
            <v>Asteraceae 5 (Melastomataceae)</v>
          </cell>
          <cell r="L1357" t="str">
            <v>Asteraceae 5 (Melastomataceae)</v>
          </cell>
          <cell r="N1357" t="str">
            <v>Jurgen &amp; Berthil (Mikania)</v>
          </cell>
          <cell r="O1357" t="str">
            <v>Asteraceae</v>
          </cell>
          <cell r="P1357" t="str">
            <v>Mikania</v>
          </cell>
          <cell r="R1357" t="str">
            <v xml:space="preserve">Mikania </v>
          </cell>
        </row>
        <row r="1358">
          <cell r="J1358">
            <v>1508</v>
          </cell>
          <cell r="K1358" t="str">
            <v>Flor blanca</v>
          </cell>
          <cell r="L1358" t="str">
            <v>Flor blanca</v>
          </cell>
          <cell r="O1358" t="str">
            <v>Asteraceae</v>
          </cell>
          <cell r="P1358" t="str">
            <v>Mikania</v>
          </cell>
          <cell r="R1358" t="str">
            <v xml:space="preserve">Mikania </v>
          </cell>
        </row>
        <row r="1359">
          <cell r="J1359">
            <v>1509</v>
          </cell>
          <cell r="K1359" t="str">
            <v>Asteraceae 5 (Melastomataceae)</v>
          </cell>
          <cell r="L1359" t="str">
            <v>Asteraceae 5 (Melastomataceae)</v>
          </cell>
          <cell r="M1359" t="str">
            <v xml:space="preserve"> =1507</v>
          </cell>
          <cell r="O1359" t="str">
            <v>Asteraceae</v>
          </cell>
          <cell r="P1359" t="str">
            <v>Mikania</v>
          </cell>
          <cell r="R1359" t="str">
            <v xml:space="preserve">Mikania </v>
          </cell>
        </row>
        <row r="1360">
          <cell r="J1360">
            <v>1510</v>
          </cell>
          <cell r="K1360" t="str">
            <v>Peciolo morado</v>
          </cell>
          <cell r="L1360" t="str">
            <v>Peciolo_morado_1306</v>
          </cell>
          <cell r="M1360" t="str">
            <v xml:space="preserve"> =1306, =1510</v>
          </cell>
          <cell r="R1360" t="str">
            <v xml:space="preserve"> </v>
          </cell>
        </row>
        <row r="1361">
          <cell r="J1361">
            <v>1511</v>
          </cell>
          <cell r="L1361" t="str">
            <v>Ast_1498</v>
          </cell>
          <cell r="M1361" t="str">
            <v xml:space="preserve"> =1498</v>
          </cell>
          <cell r="O1361" t="str">
            <v>Asteraceae</v>
          </cell>
          <cell r="R1361" t="str">
            <v xml:space="preserve"> </v>
          </cell>
        </row>
        <row r="1362">
          <cell r="J1362">
            <v>1512</v>
          </cell>
          <cell r="K1362" t="str">
            <v>Flor blanca</v>
          </cell>
          <cell r="L1362" t="str">
            <v>Flor blanca</v>
          </cell>
          <cell r="O1362" t="str">
            <v>Asteraceae</v>
          </cell>
          <cell r="P1362" t="str">
            <v>Mikania</v>
          </cell>
          <cell r="R1362" t="str">
            <v xml:space="preserve">Mikania </v>
          </cell>
        </row>
        <row r="1363">
          <cell r="J1363">
            <v>1513</v>
          </cell>
          <cell r="K1363" t="str">
            <v>Asteraceae 11</v>
          </cell>
          <cell r="L1363" t="str">
            <v>Asteraceae 11</v>
          </cell>
          <cell r="M1363" t="str">
            <v xml:space="preserve"> =1494</v>
          </cell>
          <cell r="N1363" t="str">
            <v>Jurgen &amp; Berthil (Mikania)</v>
          </cell>
          <cell r="O1363" t="str">
            <v>Asteraceae</v>
          </cell>
          <cell r="P1363" t="str">
            <v>Mikania</v>
          </cell>
          <cell r="R1363" t="str">
            <v xml:space="preserve">Mikania </v>
          </cell>
        </row>
        <row r="1364">
          <cell r="J1364">
            <v>1514</v>
          </cell>
          <cell r="K1364" t="str">
            <v>Peciolo morado</v>
          </cell>
          <cell r="L1364" t="str">
            <v>Peciolo_morado_1306</v>
          </cell>
          <cell r="M1364" t="str">
            <v xml:space="preserve"> =1306, =1510</v>
          </cell>
          <cell r="R1364" t="str">
            <v xml:space="preserve"> </v>
          </cell>
        </row>
        <row r="1365">
          <cell r="J1365">
            <v>1515</v>
          </cell>
          <cell r="K1365" t="str">
            <v>Peciolo morado</v>
          </cell>
          <cell r="L1365" t="str">
            <v>Peciolo_morado_1306</v>
          </cell>
          <cell r="M1365" t="str">
            <v xml:space="preserve"> =1306</v>
          </cell>
          <cell r="R1365" t="str">
            <v xml:space="preserve"> </v>
          </cell>
        </row>
        <row r="1366">
          <cell r="J1366">
            <v>1516</v>
          </cell>
          <cell r="K1366" t="str">
            <v>fragil</v>
          </cell>
          <cell r="L1366" t="str">
            <v>Colignonia_1440</v>
          </cell>
          <cell r="M1366" t="str">
            <v xml:space="preserve"> =1440</v>
          </cell>
          <cell r="O1366" t="str">
            <v>Nyctaginaceae</v>
          </cell>
          <cell r="P1366" t="str">
            <v>Colignonia</v>
          </cell>
          <cell r="Q1366" t="str">
            <v>scandens</v>
          </cell>
          <cell r="R1366" t="str">
            <v>Colignonia scandens</v>
          </cell>
        </row>
        <row r="1367">
          <cell r="J1367">
            <v>1517</v>
          </cell>
          <cell r="K1367" t="str">
            <v>Hoja carnosa con terminacion morada</v>
          </cell>
          <cell r="L1367" t="str">
            <v>carnosa_terminacion_morada_1285</v>
          </cell>
          <cell r="M1367" t="str">
            <v xml:space="preserve"> =1285</v>
          </cell>
          <cell r="O1367" t="str">
            <v>0_cf. Asteraceae</v>
          </cell>
          <cell r="R1367" t="str">
            <v xml:space="preserve"> </v>
          </cell>
        </row>
        <row r="1368">
          <cell r="J1368">
            <v>1518</v>
          </cell>
          <cell r="K1368" t="str">
            <v>Flor blanca</v>
          </cell>
          <cell r="L1368" t="str">
            <v>Flor blanca</v>
          </cell>
          <cell r="O1368" t="str">
            <v>Asteraceae</v>
          </cell>
          <cell r="P1368" t="str">
            <v>Mikania</v>
          </cell>
          <cell r="R1368" t="str">
            <v xml:space="preserve">Mikania </v>
          </cell>
        </row>
        <row r="1369">
          <cell r="J1369">
            <v>1519</v>
          </cell>
          <cell r="L1369" t="str">
            <v>Ast_1588</v>
          </cell>
          <cell r="M1369" t="str">
            <v xml:space="preserve"> =1588, =1546, =1520</v>
          </cell>
          <cell r="O1369" t="str">
            <v>Asteraceae</v>
          </cell>
          <cell r="R1369" t="str">
            <v xml:space="preserve"> </v>
          </cell>
        </row>
        <row r="1370">
          <cell r="J1370">
            <v>1520</v>
          </cell>
          <cell r="K1370" t="str">
            <v>indet_1520</v>
          </cell>
          <cell r="L1370" t="str">
            <v>Ast_1588</v>
          </cell>
          <cell r="M1370" t="str">
            <v xml:space="preserve"> =1588, =1546, =1520</v>
          </cell>
          <cell r="O1370" t="str">
            <v>Asteraceae</v>
          </cell>
          <cell r="R1370" t="str">
            <v xml:space="preserve"> </v>
          </cell>
        </row>
        <row r="1371">
          <cell r="J1371">
            <v>1521</v>
          </cell>
          <cell r="K1371" t="str">
            <v>Asteraceae 5 (Melastomataceae)</v>
          </cell>
          <cell r="L1371" t="str">
            <v>Asteraceae 5 (Melastomataceae)</v>
          </cell>
          <cell r="M1371" t="str">
            <v xml:space="preserve"> =1507</v>
          </cell>
          <cell r="O1371" t="str">
            <v>Asteraceae</v>
          </cell>
          <cell r="P1371" t="str">
            <v>Mikania</v>
          </cell>
          <cell r="R1371" t="str">
            <v xml:space="preserve">Mikania </v>
          </cell>
        </row>
        <row r="1372">
          <cell r="J1372">
            <v>1522</v>
          </cell>
          <cell r="K1372" t="str">
            <v>Bignoniaceae</v>
          </cell>
          <cell r="L1372" t="str">
            <v>Clematis_1522</v>
          </cell>
          <cell r="M1372" t="str">
            <v xml:space="preserve"> =1522</v>
          </cell>
          <cell r="N1372" t="str">
            <v>Berthil (Clematis)</v>
          </cell>
          <cell r="O1372" t="str">
            <v>Ranunculaceae</v>
          </cell>
          <cell r="P1372" t="str">
            <v>Clematis</v>
          </cell>
          <cell r="Q1372" t="str">
            <v>cf. guadeloupe</v>
          </cell>
          <cell r="R1372" t="str">
            <v>Clematis cf. guadeloupe</v>
          </cell>
        </row>
        <row r="1373">
          <cell r="J1373">
            <v>1523</v>
          </cell>
          <cell r="K1373" t="str">
            <v>Estrella</v>
          </cell>
          <cell r="L1373" t="str">
            <v>Estrella</v>
          </cell>
          <cell r="O1373" t="str">
            <v>Asteraceae</v>
          </cell>
          <cell r="P1373" t="str">
            <v>Jungia</v>
          </cell>
          <cell r="R1373" t="str">
            <v xml:space="preserve">Jungia </v>
          </cell>
        </row>
        <row r="1374">
          <cell r="J1374">
            <v>1524</v>
          </cell>
          <cell r="K1374" t="str">
            <v>Bignoniaceae</v>
          </cell>
          <cell r="L1374" t="str">
            <v>Clematis_1522</v>
          </cell>
          <cell r="M1374" t="str">
            <v xml:space="preserve"> =1522</v>
          </cell>
          <cell r="O1374" t="str">
            <v>Ranunculaceae</v>
          </cell>
          <cell r="P1374" t="str">
            <v>Clematis</v>
          </cell>
          <cell r="Q1374" t="str">
            <v>cf. guadeloupe</v>
          </cell>
          <cell r="R1374" t="str">
            <v>Clematis cf. guadeloupe</v>
          </cell>
        </row>
        <row r="1375">
          <cell r="J1375">
            <v>1525</v>
          </cell>
          <cell r="K1375" t="str">
            <v>Asteraceae 5 (Melastomataceae)</v>
          </cell>
          <cell r="L1375" t="str">
            <v>Asteraceae 5 (Melastomataceae)</v>
          </cell>
          <cell r="M1375" t="str">
            <v xml:space="preserve"> =1507</v>
          </cell>
          <cell r="O1375" t="str">
            <v>Asteraceae</v>
          </cell>
          <cell r="P1375" t="str">
            <v>Mikania</v>
          </cell>
          <cell r="R1375" t="str">
            <v xml:space="preserve">Mikania </v>
          </cell>
        </row>
        <row r="1376">
          <cell r="J1376">
            <v>1526</v>
          </cell>
          <cell r="K1376" t="str">
            <v>Nervadura conspicua, borde aserrado, tipo ficus</v>
          </cell>
          <cell r="L1376" t="str">
            <v>Hydrangea_1313</v>
          </cell>
          <cell r="M1376" t="str">
            <v xml:space="preserve"> =1313</v>
          </cell>
          <cell r="O1376" t="str">
            <v>Hydrangeaceae</v>
          </cell>
          <cell r="P1376" t="str">
            <v>Hydrangea</v>
          </cell>
          <cell r="R1376" t="str">
            <v xml:space="preserve">Hydrangea </v>
          </cell>
        </row>
        <row r="1377">
          <cell r="J1377">
            <v>1527</v>
          </cell>
          <cell r="K1377" t="str">
            <v>Peciolo morado</v>
          </cell>
          <cell r="L1377" t="str">
            <v>Peciolo_morado_1306</v>
          </cell>
          <cell r="M1377" t="str">
            <v xml:space="preserve"> =1306</v>
          </cell>
          <cell r="R1377" t="str">
            <v xml:space="preserve"> </v>
          </cell>
        </row>
        <row r="1378">
          <cell r="J1378">
            <v>1528</v>
          </cell>
          <cell r="K1378" t="str">
            <v>Bignoniaceae</v>
          </cell>
          <cell r="L1378" t="str">
            <v>Clematis_1522</v>
          </cell>
          <cell r="M1378" t="str">
            <v xml:space="preserve"> =1522</v>
          </cell>
          <cell r="O1378" t="str">
            <v>Ranunculaceae</v>
          </cell>
          <cell r="P1378" t="str">
            <v>Clematis</v>
          </cell>
          <cell r="Q1378" t="str">
            <v>cf. guadeloupe</v>
          </cell>
          <cell r="R1378" t="str">
            <v>Clematis cf. guadeloupe</v>
          </cell>
        </row>
        <row r="1379">
          <cell r="J1379">
            <v>1529</v>
          </cell>
          <cell r="K1379" t="str">
            <v>Asteraceae 5 (Melastomataceae)</v>
          </cell>
          <cell r="L1379" t="str">
            <v>Asteraceae 5 (Melastomataceae)</v>
          </cell>
          <cell r="M1379" t="str">
            <v xml:space="preserve"> =1507</v>
          </cell>
          <cell r="O1379" t="str">
            <v>Asteraceae</v>
          </cell>
          <cell r="P1379" t="str">
            <v>Mikania</v>
          </cell>
          <cell r="R1379" t="str">
            <v xml:space="preserve">Mikania </v>
          </cell>
        </row>
        <row r="1380">
          <cell r="J1380">
            <v>1530</v>
          </cell>
          <cell r="K1380" t="str">
            <v>Boraginaceae</v>
          </cell>
          <cell r="L1380" t="str">
            <v>Boraginaceae</v>
          </cell>
          <cell r="M1380" t="str">
            <v xml:space="preserve"> =1301</v>
          </cell>
          <cell r="O1380" t="str">
            <v>0_Boraginaceae??</v>
          </cell>
          <cell r="P1380" t="str">
            <v>0_cf. Tournefortia</v>
          </cell>
          <cell r="R1380" t="str">
            <v xml:space="preserve">0_cf. Tournefortia </v>
          </cell>
        </row>
        <row r="1381">
          <cell r="J1381">
            <v>1531</v>
          </cell>
          <cell r="K1381" t="str">
            <v>translucida</v>
          </cell>
          <cell r="L1381" t="str">
            <v>Ast_1498</v>
          </cell>
          <cell r="M1381" t="str">
            <v xml:space="preserve"> =1498</v>
          </cell>
          <cell r="O1381" t="str">
            <v>Asteraceae</v>
          </cell>
          <cell r="R1381" t="str">
            <v xml:space="preserve"> </v>
          </cell>
        </row>
        <row r="1382">
          <cell r="J1382">
            <v>1532</v>
          </cell>
          <cell r="K1382" t="str">
            <v>Asteraceae 10</v>
          </cell>
          <cell r="L1382" t="str">
            <v>Asteraceae 10</v>
          </cell>
          <cell r="M1382" t="str">
            <v xml:space="preserve"> =1481</v>
          </cell>
          <cell r="O1382" t="str">
            <v>Asteraceae</v>
          </cell>
          <cell r="R1382" t="str">
            <v xml:space="preserve"> </v>
          </cell>
        </row>
        <row r="1383">
          <cell r="J1383">
            <v>1533</v>
          </cell>
          <cell r="K1383" t="str">
            <v>Hoja lanza</v>
          </cell>
          <cell r="L1383" t="str">
            <v>Munozia sp. 2</v>
          </cell>
          <cell r="M1383" t="str">
            <v xml:space="preserve"> =1397, =1462</v>
          </cell>
          <cell r="O1383" t="str">
            <v>Asteraceae</v>
          </cell>
          <cell r="P1383" t="str">
            <v>Munozia</v>
          </cell>
          <cell r="R1383" t="str">
            <v xml:space="preserve">Munozia </v>
          </cell>
        </row>
        <row r="1384">
          <cell r="J1384">
            <v>1534</v>
          </cell>
          <cell r="L1384" t="str">
            <v>Ast_1588</v>
          </cell>
          <cell r="M1384" t="str">
            <v xml:space="preserve"> =1588, =1546, =1520</v>
          </cell>
          <cell r="O1384" t="str">
            <v>Asteraceae</v>
          </cell>
          <cell r="R1384" t="str">
            <v xml:space="preserve"> </v>
          </cell>
        </row>
        <row r="1385">
          <cell r="J1385">
            <v>1535</v>
          </cell>
          <cell r="K1385" t="str">
            <v>Flor blanca</v>
          </cell>
          <cell r="L1385" t="str">
            <v>Flor blanca</v>
          </cell>
          <cell r="O1385" t="str">
            <v>Asteraceae</v>
          </cell>
          <cell r="P1385" t="str">
            <v>Mikania</v>
          </cell>
          <cell r="R1385" t="str">
            <v xml:space="preserve">Mikania </v>
          </cell>
        </row>
        <row r="1386">
          <cell r="J1386">
            <v>1536</v>
          </cell>
          <cell r="K1386" t="str">
            <v>Asteraceae 5 (Melastomataceae)</v>
          </cell>
          <cell r="L1386" t="str">
            <v>Asteraceae 5 (Melastomataceae)</v>
          </cell>
          <cell r="M1386" t="str">
            <v xml:space="preserve"> =1507</v>
          </cell>
          <cell r="O1386" t="str">
            <v>Asteraceae</v>
          </cell>
          <cell r="P1386" t="str">
            <v>Mikania</v>
          </cell>
          <cell r="R1386" t="str">
            <v xml:space="preserve">Mikania </v>
          </cell>
        </row>
        <row r="1387">
          <cell r="J1387">
            <v>1537</v>
          </cell>
          <cell r="K1387" t="str">
            <v>Estrella</v>
          </cell>
          <cell r="L1387" t="str">
            <v>Estrella</v>
          </cell>
          <cell r="O1387" t="str">
            <v>Asteraceae</v>
          </cell>
          <cell r="P1387" t="str">
            <v>Jungia</v>
          </cell>
          <cell r="R1387" t="str">
            <v xml:space="preserve">Jungia </v>
          </cell>
        </row>
        <row r="1388">
          <cell r="J1388">
            <v>1538</v>
          </cell>
          <cell r="K1388" t="str">
            <v>Nervadura conspicua, borde aserrado, tipo ficus</v>
          </cell>
          <cell r="L1388" t="str">
            <v>Hydrangea_1313</v>
          </cell>
          <cell r="M1388" t="str">
            <v xml:space="preserve"> =1313</v>
          </cell>
          <cell r="O1388" t="str">
            <v>Hydrangeaceae</v>
          </cell>
          <cell r="P1388" t="str">
            <v>Hydrangea</v>
          </cell>
          <cell r="R1388" t="str">
            <v xml:space="preserve">Hydrangea </v>
          </cell>
        </row>
        <row r="1389">
          <cell r="J1389">
            <v>1539</v>
          </cell>
          <cell r="K1389" t="str">
            <v>Asteraceae 5 (Melastomataceae)</v>
          </cell>
          <cell r="L1389" t="str">
            <v>Asteraceae 5 (Melastomataceae)</v>
          </cell>
          <cell r="M1389" t="str">
            <v xml:space="preserve"> =1507</v>
          </cell>
          <cell r="O1389" t="str">
            <v>Asteraceae</v>
          </cell>
          <cell r="P1389" t="str">
            <v>Mikania</v>
          </cell>
          <cell r="R1389" t="str">
            <v xml:space="preserve">Mikania </v>
          </cell>
        </row>
        <row r="1390">
          <cell r="J1390">
            <v>1540</v>
          </cell>
          <cell r="K1390" t="str">
            <v>Asteraceae 7 (nervadura prominente)</v>
          </cell>
          <cell r="L1390" t="str">
            <v>Asteraceae 7 (nervadura prominente)</v>
          </cell>
          <cell r="M1390" t="str">
            <v xml:space="preserve"> =1488</v>
          </cell>
          <cell r="O1390" t="str">
            <v>Asteraceae</v>
          </cell>
          <cell r="R1390" t="str">
            <v xml:space="preserve"> </v>
          </cell>
        </row>
        <row r="1391">
          <cell r="J1391">
            <v>1541</v>
          </cell>
          <cell r="K1391" t="str">
            <v>Ast. H. corazon</v>
          </cell>
          <cell r="L1391" t="str">
            <v>Ast. H. corazon</v>
          </cell>
          <cell r="M1391" t="str">
            <v xml:space="preserve"> =1354</v>
          </cell>
          <cell r="O1391" t="str">
            <v>Asteraceae</v>
          </cell>
          <cell r="P1391" t="str">
            <v>Mikania</v>
          </cell>
          <cell r="R1391" t="str">
            <v xml:space="preserve">Mikania </v>
          </cell>
        </row>
        <row r="1392">
          <cell r="J1392">
            <v>1542</v>
          </cell>
          <cell r="K1392" t="str">
            <v>Bignoniaceae</v>
          </cell>
          <cell r="L1392" t="str">
            <v>Clematis_1522</v>
          </cell>
          <cell r="M1392" t="str">
            <v xml:space="preserve"> =1522</v>
          </cell>
          <cell r="O1392" t="str">
            <v>Ranunculaceae</v>
          </cell>
          <cell r="P1392" t="str">
            <v>Clematis</v>
          </cell>
          <cell r="Q1392" t="str">
            <v>cf. guadeloupe</v>
          </cell>
          <cell r="R1392" t="str">
            <v>Clematis cf. guadeloupe</v>
          </cell>
        </row>
        <row r="1393">
          <cell r="J1393">
            <v>1543</v>
          </cell>
          <cell r="K1393" t="str">
            <v>Flor blanca</v>
          </cell>
          <cell r="L1393" t="str">
            <v>Flor blanca</v>
          </cell>
          <cell r="O1393" t="str">
            <v>Asteraceae</v>
          </cell>
          <cell r="P1393" t="str">
            <v>Mikania</v>
          </cell>
          <cell r="R1393" t="str">
            <v xml:space="preserve">Mikania </v>
          </cell>
        </row>
        <row r="1394">
          <cell r="J1394">
            <v>1544</v>
          </cell>
          <cell r="K1394" t="str">
            <v>Flor blanca</v>
          </cell>
          <cell r="L1394" t="str">
            <v>Flor blanca</v>
          </cell>
          <cell r="O1394" t="str">
            <v>Asteraceae</v>
          </cell>
          <cell r="P1394" t="str">
            <v>Mikania</v>
          </cell>
          <cell r="R1394" t="str">
            <v xml:space="preserve">Mikania </v>
          </cell>
        </row>
        <row r="1395">
          <cell r="J1395">
            <v>1545</v>
          </cell>
          <cell r="L1395" t="str">
            <v>indet_1545</v>
          </cell>
          <cell r="R1395" t="str">
            <v xml:space="preserve"> </v>
          </cell>
        </row>
        <row r="1396">
          <cell r="J1396">
            <v>1546</v>
          </cell>
          <cell r="L1396" t="str">
            <v>Ast_1588</v>
          </cell>
          <cell r="M1396" t="str">
            <v xml:space="preserve"> =1588, =1546, =1520</v>
          </cell>
          <cell r="O1396" t="str">
            <v>Asteraceae</v>
          </cell>
          <cell r="R1396" t="str">
            <v xml:space="preserve"> </v>
          </cell>
        </row>
        <row r="1397">
          <cell r="J1397">
            <v>1547</v>
          </cell>
          <cell r="K1397" t="str">
            <v>Asteraceae 5 (Melastomataceae)</v>
          </cell>
          <cell r="L1397" t="str">
            <v>Asteraceae 5 (Melastomataceae)</v>
          </cell>
          <cell r="M1397" t="str">
            <v xml:space="preserve"> =1507</v>
          </cell>
          <cell r="O1397" t="str">
            <v>Asteraceae</v>
          </cell>
          <cell r="P1397" t="str">
            <v>Mikania</v>
          </cell>
          <cell r="R1397" t="str">
            <v xml:space="preserve">Mikania </v>
          </cell>
        </row>
        <row r="1398">
          <cell r="J1398">
            <v>1548</v>
          </cell>
          <cell r="K1398" t="str">
            <v>Bignoniaceae</v>
          </cell>
          <cell r="L1398" t="str">
            <v>Clematis_1522</v>
          </cell>
          <cell r="M1398" t="str">
            <v xml:space="preserve"> =1522</v>
          </cell>
          <cell r="O1398" t="str">
            <v>Ranunculaceae</v>
          </cell>
          <cell r="P1398" t="str">
            <v>Clematis</v>
          </cell>
          <cell r="Q1398" t="str">
            <v>cf. guadeloupe</v>
          </cell>
          <cell r="R1398" t="str">
            <v>Clematis cf. guadeloupe</v>
          </cell>
        </row>
        <row r="1399">
          <cell r="J1399">
            <v>1549</v>
          </cell>
          <cell r="K1399" t="str">
            <v>Estrella</v>
          </cell>
          <cell r="L1399" t="str">
            <v>Estrella</v>
          </cell>
          <cell r="O1399" t="str">
            <v>Asteraceae</v>
          </cell>
          <cell r="P1399" t="str">
            <v>Jungia</v>
          </cell>
          <cell r="R1399" t="str">
            <v xml:space="preserve">Jungia </v>
          </cell>
        </row>
        <row r="1400">
          <cell r="J1400">
            <v>1550</v>
          </cell>
          <cell r="K1400" t="str">
            <v>Peciolo morado</v>
          </cell>
          <cell r="L1400" t="str">
            <v>Peciolo_morado_1306</v>
          </cell>
          <cell r="M1400" t="str">
            <v xml:space="preserve"> =1306</v>
          </cell>
          <cell r="R1400" t="str">
            <v xml:space="preserve"> </v>
          </cell>
        </row>
        <row r="1401">
          <cell r="J1401">
            <v>1551</v>
          </cell>
          <cell r="K1401" t="str">
            <v>Boraginaceae</v>
          </cell>
          <cell r="L1401" t="str">
            <v>Boraginaceae</v>
          </cell>
          <cell r="O1401" t="str">
            <v>0_Boraginaceae??</v>
          </cell>
          <cell r="P1401" t="str">
            <v>0_cf. Tournefortia</v>
          </cell>
          <cell r="R1401" t="str">
            <v xml:space="preserve">0_cf. Tournefortia </v>
          </cell>
        </row>
        <row r="1402">
          <cell r="J1402">
            <v>1552</v>
          </cell>
          <cell r="K1402" t="str">
            <v>Asteraceae 7 (nervadura prominente)</v>
          </cell>
          <cell r="L1402" t="str">
            <v>Asteraceae 7 (nervadura prominente)</v>
          </cell>
          <cell r="M1402" t="str">
            <v xml:space="preserve"> =1488</v>
          </cell>
          <cell r="O1402" t="str">
            <v>Asteraceae</v>
          </cell>
          <cell r="R1402" t="str">
            <v xml:space="preserve"> </v>
          </cell>
        </row>
        <row r="1403">
          <cell r="J1403">
            <v>1553</v>
          </cell>
          <cell r="K1403" t="str">
            <v>Asteraceae 7 (nervadura prominente)</v>
          </cell>
          <cell r="L1403" t="str">
            <v>Asteraceae 7 (nervadura prominente)</v>
          </cell>
          <cell r="M1403" t="str">
            <v xml:space="preserve"> =1488</v>
          </cell>
          <cell r="O1403" t="str">
            <v>Asteraceae</v>
          </cell>
          <cell r="R1403" t="str">
            <v xml:space="preserve"> </v>
          </cell>
        </row>
        <row r="1404">
          <cell r="J1404">
            <v>1554</v>
          </cell>
          <cell r="K1404" t="str">
            <v>Asteraceae 7 (nervadura prominente)</v>
          </cell>
          <cell r="L1404" t="str">
            <v>Asteraceae 7 (nervadura prominente)</v>
          </cell>
          <cell r="M1404" t="str">
            <v xml:space="preserve"> =1488</v>
          </cell>
          <cell r="O1404" t="str">
            <v>Asteraceae</v>
          </cell>
          <cell r="R1404" t="str">
            <v xml:space="preserve"> </v>
          </cell>
        </row>
        <row r="1405">
          <cell r="J1405">
            <v>1555</v>
          </cell>
          <cell r="K1405" t="str">
            <v>Asteraceae 7 (nervadura prominente)</v>
          </cell>
          <cell r="L1405" t="str">
            <v>Asteraceae 7 (nervadura prominente)</v>
          </cell>
          <cell r="M1405" t="str">
            <v xml:space="preserve"> =1488</v>
          </cell>
          <cell r="O1405" t="str">
            <v>Asteraceae</v>
          </cell>
          <cell r="R1405" t="str">
            <v xml:space="preserve"> </v>
          </cell>
        </row>
        <row r="1406">
          <cell r="J1406">
            <v>1556</v>
          </cell>
          <cell r="K1406" t="str">
            <v>Asteraceae 7 (nervadura prominente)</v>
          </cell>
          <cell r="L1406" t="str">
            <v>Asteraceae 7 (nervadura prominente)</v>
          </cell>
          <cell r="M1406" t="str">
            <v xml:space="preserve"> =1488</v>
          </cell>
          <cell r="O1406" t="str">
            <v>Asteraceae</v>
          </cell>
          <cell r="R1406" t="str">
            <v xml:space="preserve"> </v>
          </cell>
        </row>
        <row r="1407">
          <cell r="J1407">
            <v>1557</v>
          </cell>
          <cell r="K1407" t="str">
            <v>Asteraceae 7 (nervadura prominente)</v>
          </cell>
          <cell r="L1407" t="str">
            <v>Asteraceae 7 (nervadura prominente)</v>
          </cell>
          <cell r="M1407" t="str">
            <v xml:space="preserve"> =1488</v>
          </cell>
          <cell r="O1407" t="str">
            <v>Asteraceae</v>
          </cell>
          <cell r="R1407" t="str">
            <v xml:space="preserve"> </v>
          </cell>
        </row>
        <row r="1408">
          <cell r="J1408">
            <v>1558</v>
          </cell>
          <cell r="L1408" t="str">
            <v>indet_1558</v>
          </cell>
          <cell r="M1408" t="str">
            <v xml:space="preserve"> =1561</v>
          </cell>
          <cell r="O1408" t="str">
            <v>Asteraceae</v>
          </cell>
          <cell r="R1408" t="str">
            <v xml:space="preserve"> </v>
          </cell>
        </row>
        <row r="1409">
          <cell r="J1409">
            <v>1559</v>
          </cell>
          <cell r="K1409" t="str">
            <v>Flor blanca</v>
          </cell>
          <cell r="L1409" t="str">
            <v>Flor blanca</v>
          </cell>
          <cell r="O1409" t="str">
            <v>Asteraceae</v>
          </cell>
          <cell r="P1409" t="str">
            <v>Mikania</v>
          </cell>
          <cell r="R1409" t="str">
            <v xml:space="preserve">Mikania </v>
          </cell>
        </row>
        <row r="1410">
          <cell r="J1410">
            <v>1560</v>
          </cell>
          <cell r="K1410" t="str">
            <v>Flor blanca</v>
          </cell>
          <cell r="L1410" t="str">
            <v>Flor blanca</v>
          </cell>
          <cell r="O1410" t="str">
            <v>Asteraceae</v>
          </cell>
          <cell r="P1410" t="str">
            <v>Mikania</v>
          </cell>
          <cell r="R1410" t="str">
            <v xml:space="preserve">Mikania </v>
          </cell>
        </row>
        <row r="1411">
          <cell r="J1411">
            <v>1561</v>
          </cell>
          <cell r="L1411" t="str">
            <v>indet_1558</v>
          </cell>
          <cell r="M1411" t="str">
            <v xml:space="preserve"> =1561</v>
          </cell>
          <cell r="O1411" t="str">
            <v>Asteraceae</v>
          </cell>
          <cell r="R1411" t="str">
            <v xml:space="preserve"> </v>
          </cell>
        </row>
        <row r="1412">
          <cell r="J1412">
            <v>1562</v>
          </cell>
          <cell r="K1412" t="str">
            <v>Flor blanca</v>
          </cell>
          <cell r="L1412" t="str">
            <v>Flor blanca</v>
          </cell>
          <cell r="O1412" t="str">
            <v>Asteraceae</v>
          </cell>
          <cell r="P1412" t="str">
            <v>Mikania</v>
          </cell>
          <cell r="R1412" t="str">
            <v xml:space="preserve">Mikania </v>
          </cell>
        </row>
        <row r="1413">
          <cell r="J1413">
            <v>1563</v>
          </cell>
          <cell r="K1413" t="str">
            <v>Peciolo morado</v>
          </cell>
          <cell r="L1413" t="str">
            <v>Peciolo_morado_1306</v>
          </cell>
          <cell r="M1413" t="str">
            <v xml:space="preserve"> =1306</v>
          </cell>
          <cell r="R1413" t="str">
            <v xml:space="preserve"> </v>
          </cell>
        </row>
        <row r="1414">
          <cell r="J1414">
            <v>1564</v>
          </cell>
          <cell r="K1414" t="str">
            <v>Apocynaceae_cajanuma</v>
          </cell>
          <cell r="L1414" t="str">
            <v>Apoc_1272</v>
          </cell>
          <cell r="O1414" t="str">
            <v>Apocynaceae</v>
          </cell>
          <cell r="P1414" t="str">
            <v>Mandevilla</v>
          </cell>
          <cell r="Q1414" t="str">
            <v>cf. ligustriflora</v>
          </cell>
          <cell r="R1414" t="str">
            <v>Mandevilla cf. ligustriflora</v>
          </cell>
        </row>
        <row r="1415">
          <cell r="J1415">
            <v>1565</v>
          </cell>
          <cell r="K1415" t="str">
            <v>Espinitas enves</v>
          </cell>
          <cell r="L1415" t="str">
            <v>Asteraceae 8 (Flores amarillas, hoja pequena)/Patitas de algodon plateado</v>
          </cell>
          <cell r="M1415" t="str">
            <v xml:space="preserve"> 1281, =1284, =1376</v>
          </cell>
          <cell r="O1415" t="str">
            <v>Asteraceae</v>
          </cell>
          <cell r="P1415" t="str">
            <v>Pentacalia</v>
          </cell>
          <cell r="R1415" t="str">
            <v xml:space="preserve">Pentacalia </v>
          </cell>
        </row>
        <row r="1416">
          <cell r="J1416">
            <v>1566</v>
          </cell>
          <cell r="K1416" t="str">
            <v>Asteraceae 5 (Melastomataceae)</v>
          </cell>
          <cell r="L1416" t="str">
            <v>Asteraceae 5 (Melastomataceae)</v>
          </cell>
          <cell r="M1416" t="str">
            <v xml:space="preserve"> =1507</v>
          </cell>
          <cell r="O1416" t="str">
            <v>Asteraceae</v>
          </cell>
          <cell r="P1416" t="str">
            <v>Mikania</v>
          </cell>
          <cell r="R1416" t="str">
            <v xml:space="preserve">Mikania </v>
          </cell>
        </row>
        <row r="1417">
          <cell r="J1417">
            <v>1567</v>
          </cell>
          <cell r="K1417" t="str">
            <v>Asteraceae 5 (Melastomataceae)</v>
          </cell>
          <cell r="L1417" t="str">
            <v>Asteraceae 5 (Melastomataceae)</v>
          </cell>
          <cell r="M1417" t="str">
            <v xml:space="preserve"> =1507</v>
          </cell>
          <cell r="O1417" t="str">
            <v>Asteraceae</v>
          </cell>
          <cell r="P1417" t="str">
            <v>Mikania</v>
          </cell>
          <cell r="R1417" t="str">
            <v xml:space="preserve">Mikania </v>
          </cell>
        </row>
        <row r="1418">
          <cell r="J1418">
            <v>1568</v>
          </cell>
          <cell r="K1418" t="str">
            <v>hojas rojas</v>
          </cell>
          <cell r="L1418" t="str">
            <v>hojas_rojas_1568</v>
          </cell>
          <cell r="M1418" t="str">
            <v xml:space="preserve"> =1568</v>
          </cell>
          <cell r="R1418" t="str">
            <v xml:space="preserve"> </v>
          </cell>
        </row>
        <row r="1419">
          <cell r="J1419">
            <v>1569</v>
          </cell>
          <cell r="K1419" t="str">
            <v>Flor blanca</v>
          </cell>
          <cell r="L1419" t="str">
            <v>Flor blanca</v>
          </cell>
          <cell r="O1419" t="str">
            <v>Asteraceae</v>
          </cell>
          <cell r="P1419" t="str">
            <v>Mikania</v>
          </cell>
          <cell r="R1419" t="str">
            <v xml:space="preserve">Mikania </v>
          </cell>
        </row>
        <row r="1420">
          <cell r="J1420">
            <v>1570</v>
          </cell>
          <cell r="K1420" t="str">
            <v>Flor blanca</v>
          </cell>
          <cell r="L1420" t="str">
            <v>Flor blanca</v>
          </cell>
          <cell r="O1420" t="str">
            <v>Asteraceae</v>
          </cell>
          <cell r="P1420" t="str">
            <v>Mikania</v>
          </cell>
          <cell r="R1420" t="str">
            <v xml:space="preserve">Mikania </v>
          </cell>
        </row>
        <row r="1421">
          <cell r="J1421">
            <v>1571</v>
          </cell>
          <cell r="K1421" t="str">
            <v>Asteraceae 5 (Melastomataceae)</v>
          </cell>
          <cell r="L1421" t="str">
            <v>Asteraceae 5 (Melastomataceae)</v>
          </cell>
          <cell r="M1421" t="str">
            <v xml:space="preserve"> =1507</v>
          </cell>
          <cell r="O1421" t="str">
            <v>Asteraceae</v>
          </cell>
          <cell r="P1421" t="str">
            <v>Mikania</v>
          </cell>
          <cell r="R1421" t="str">
            <v xml:space="preserve">Mikania </v>
          </cell>
        </row>
        <row r="1422">
          <cell r="J1422">
            <v>1572</v>
          </cell>
          <cell r="K1422" t="str">
            <v>Nervadura conspicua, borde aserrado, tipo ficus</v>
          </cell>
          <cell r="L1422" t="str">
            <v>Hydrangea_1313</v>
          </cell>
          <cell r="M1422" t="str">
            <v xml:space="preserve"> =1313</v>
          </cell>
          <cell r="O1422" t="str">
            <v>Hydrangeaceae</v>
          </cell>
          <cell r="P1422" t="str">
            <v>Hydrangea</v>
          </cell>
          <cell r="R1422" t="str">
            <v xml:space="preserve">Hydrangea </v>
          </cell>
        </row>
        <row r="1423">
          <cell r="J1423">
            <v>1573</v>
          </cell>
          <cell r="K1423" t="str">
            <v>Flor blanca</v>
          </cell>
          <cell r="L1423" t="str">
            <v>Flor blanca</v>
          </cell>
          <cell r="O1423" t="str">
            <v>Asteraceae</v>
          </cell>
          <cell r="P1423" t="str">
            <v>Mikania</v>
          </cell>
          <cell r="R1423" t="str">
            <v xml:space="preserve">Mikania </v>
          </cell>
        </row>
        <row r="1424">
          <cell r="J1424">
            <v>1574</v>
          </cell>
          <cell r="K1424" t="str">
            <v>Asteraceae 5 (Melastomataceae)</v>
          </cell>
          <cell r="L1424" t="str">
            <v>Asteraceae 5 (Melastomataceae)</v>
          </cell>
          <cell r="M1424" t="str">
            <v xml:space="preserve"> =1507</v>
          </cell>
          <cell r="O1424" t="str">
            <v>Asteraceae</v>
          </cell>
          <cell r="P1424" t="str">
            <v>Mikania</v>
          </cell>
          <cell r="R1424" t="str">
            <v xml:space="preserve">Mikania </v>
          </cell>
        </row>
        <row r="1425">
          <cell r="J1425">
            <v>1575</v>
          </cell>
          <cell r="K1425" t="str">
            <v>Asteraceae 5 (Melastomataceae)</v>
          </cell>
          <cell r="L1425" t="str">
            <v>Asteraceae 5 (Melastomataceae)</v>
          </cell>
          <cell r="M1425" t="str">
            <v xml:space="preserve"> =1507</v>
          </cell>
          <cell r="O1425" t="str">
            <v>Asteraceae</v>
          </cell>
          <cell r="P1425" t="str">
            <v>Mikania</v>
          </cell>
          <cell r="R1425" t="str">
            <v xml:space="preserve">Mikania </v>
          </cell>
        </row>
        <row r="1426">
          <cell r="J1426">
            <v>1576</v>
          </cell>
          <cell r="K1426" t="str">
            <v>Asteraceae 5 (Melastomataceae)</v>
          </cell>
          <cell r="L1426" t="str">
            <v>Asteraceae 5 (Melastomataceae)</v>
          </cell>
          <cell r="M1426" t="str">
            <v xml:space="preserve"> =1507</v>
          </cell>
          <cell r="O1426" t="str">
            <v>Asteraceae</v>
          </cell>
          <cell r="P1426" t="str">
            <v>Mikania</v>
          </cell>
          <cell r="R1426" t="str">
            <v xml:space="preserve">Mikania </v>
          </cell>
        </row>
        <row r="1427">
          <cell r="J1427">
            <v>1577</v>
          </cell>
          <cell r="K1427" t="str">
            <v>Asteraceae 5 (Melastomataceae)</v>
          </cell>
          <cell r="L1427" t="str">
            <v>Asteraceae 5 (Melastomataceae)</v>
          </cell>
          <cell r="M1427" t="str">
            <v xml:space="preserve"> =1507</v>
          </cell>
          <cell r="O1427" t="str">
            <v>Asteraceae</v>
          </cell>
          <cell r="P1427" t="str">
            <v>Mikania</v>
          </cell>
          <cell r="R1427" t="str">
            <v xml:space="preserve">Mikania </v>
          </cell>
        </row>
        <row r="1428">
          <cell r="J1428">
            <v>1578</v>
          </cell>
          <cell r="K1428" t="str">
            <v>Asteraceae 5 (Melastomataceae)</v>
          </cell>
          <cell r="L1428" t="str">
            <v>Asteraceae 5 (Melastomataceae)</v>
          </cell>
          <cell r="M1428" t="str">
            <v xml:space="preserve"> =1507</v>
          </cell>
          <cell r="O1428" t="str">
            <v>Asteraceae</v>
          </cell>
          <cell r="P1428" t="str">
            <v>Mikania</v>
          </cell>
          <cell r="R1428" t="str">
            <v xml:space="preserve">Mikania </v>
          </cell>
        </row>
        <row r="1429">
          <cell r="J1429">
            <v>1579</v>
          </cell>
          <cell r="K1429" t="str">
            <v>indet_latex_1579</v>
          </cell>
          <cell r="L1429" t="str">
            <v>Munozia sp. 2</v>
          </cell>
          <cell r="M1429" t="str">
            <v xml:space="preserve"> =1579</v>
          </cell>
          <cell r="O1429" t="str">
            <v>Asteraceae</v>
          </cell>
          <cell r="P1429" t="str">
            <v>Munozia</v>
          </cell>
          <cell r="R1429" t="str">
            <v xml:space="preserve">Munozia </v>
          </cell>
        </row>
        <row r="1430">
          <cell r="J1430">
            <v>1580</v>
          </cell>
          <cell r="K1430" t="str">
            <v>Asteraceae 5 (Melastomataceae)</v>
          </cell>
          <cell r="L1430" t="str">
            <v>Asteraceae 5 (Melastomataceae)</v>
          </cell>
          <cell r="M1430" t="str">
            <v xml:space="preserve"> =1507</v>
          </cell>
          <cell r="O1430" t="str">
            <v>Asteraceae</v>
          </cell>
          <cell r="P1430" t="str">
            <v>Mikania</v>
          </cell>
          <cell r="R1430" t="str">
            <v xml:space="preserve">Mikania </v>
          </cell>
        </row>
        <row r="1431">
          <cell r="J1431">
            <v>1581</v>
          </cell>
          <cell r="K1431" t="str">
            <v>Flor blanca</v>
          </cell>
          <cell r="L1431" t="str">
            <v>Flor blanca</v>
          </cell>
          <cell r="O1431" t="str">
            <v>Asteraceae</v>
          </cell>
          <cell r="P1431" t="str">
            <v>Mikania</v>
          </cell>
          <cell r="R1431" t="str">
            <v xml:space="preserve">Mikania </v>
          </cell>
        </row>
        <row r="1432">
          <cell r="J1432">
            <v>1582</v>
          </cell>
          <cell r="K1432" t="str">
            <v>hojas rojas</v>
          </cell>
          <cell r="L1432" t="str">
            <v>hojas_rojas_1568</v>
          </cell>
          <cell r="M1432" t="str">
            <v xml:space="preserve"> =1568</v>
          </cell>
          <cell r="R1432" t="str">
            <v xml:space="preserve"> </v>
          </cell>
        </row>
        <row r="1433">
          <cell r="J1433">
            <v>1583</v>
          </cell>
          <cell r="K1433" t="str">
            <v>Flor blanca</v>
          </cell>
          <cell r="L1433" t="str">
            <v>Flor blanca</v>
          </cell>
          <cell r="O1433" t="str">
            <v>Asteraceae</v>
          </cell>
          <cell r="P1433" t="str">
            <v>Mikania</v>
          </cell>
          <cell r="R1433" t="str">
            <v xml:space="preserve">Mikania </v>
          </cell>
        </row>
        <row r="1434">
          <cell r="J1434">
            <v>1584</v>
          </cell>
          <cell r="K1434" t="str">
            <v>Flor blanca</v>
          </cell>
          <cell r="L1434" t="str">
            <v>Flor blanca</v>
          </cell>
          <cell r="O1434" t="str">
            <v>Asteraceae</v>
          </cell>
          <cell r="P1434" t="str">
            <v>Mikania</v>
          </cell>
          <cell r="R1434" t="str">
            <v xml:space="preserve">Mikania </v>
          </cell>
        </row>
        <row r="1435">
          <cell r="J1435">
            <v>1585</v>
          </cell>
          <cell r="K1435" t="str">
            <v>Asteraceae 5 (Melastomataceae)</v>
          </cell>
          <cell r="L1435" t="str">
            <v>Asteraceae 5 (Melastomataceae)</v>
          </cell>
          <cell r="M1435" t="str">
            <v xml:space="preserve"> =1507</v>
          </cell>
          <cell r="O1435" t="str">
            <v>Asteraceae</v>
          </cell>
          <cell r="P1435" t="str">
            <v>Mikania</v>
          </cell>
          <cell r="R1435" t="str">
            <v xml:space="preserve">Mikania </v>
          </cell>
        </row>
        <row r="1436">
          <cell r="J1436">
            <v>1586</v>
          </cell>
          <cell r="K1436" t="str">
            <v>Flor blanca</v>
          </cell>
          <cell r="L1436" t="str">
            <v>Flor blanca</v>
          </cell>
          <cell r="O1436" t="str">
            <v>Asteraceae</v>
          </cell>
          <cell r="P1436" t="str">
            <v>Mikania</v>
          </cell>
          <cell r="R1436" t="str">
            <v xml:space="preserve">Mikania </v>
          </cell>
        </row>
        <row r="1437">
          <cell r="J1437">
            <v>1587</v>
          </cell>
          <cell r="K1437" t="str">
            <v>Asteraceae 5 (Melastomataceae)</v>
          </cell>
          <cell r="L1437" t="str">
            <v>Asteraceae 5 (Melastomataceae)</v>
          </cell>
          <cell r="M1437" t="str">
            <v xml:space="preserve"> =1507</v>
          </cell>
          <cell r="O1437" t="str">
            <v>Asteraceae</v>
          </cell>
          <cell r="P1437" t="str">
            <v>Mikania</v>
          </cell>
          <cell r="R1437" t="str">
            <v xml:space="preserve">Mikania </v>
          </cell>
        </row>
        <row r="1438">
          <cell r="J1438">
            <v>1588</v>
          </cell>
          <cell r="L1438" t="str">
            <v>Ast_1588</v>
          </cell>
          <cell r="M1438" t="str">
            <v xml:space="preserve"> =1588, =1546, =1520</v>
          </cell>
          <cell r="O1438" t="str">
            <v>Asteraceae</v>
          </cell>
          <cell r="R1438" t="str">
            <v xml:space="preserve"> </v>
          </cell>
        </row>
        <row r="1439">
          <cell r="J1439">
            <v>1589</v>
          </cell>
          <cell r="K1439" t="str">
            <v>Ast. H. corazon</v>
          </cell>
          <cell r="L1439" t="str">
            <v>Ast. H. corazon</v>
          </cell>
          <cell r="M1439" t="str">
            <v xml:space="preserve"> =1354</v>
          </cell>
          <cell r="O1439" t="str">
            <v>Asteraceae</v>
          </cell>
          <cell r="P1439" t="str">
            <v>Mikania</v>
          </cell>
          <cell r="R1439" t="str">
            <v xml:space="preserve">Mikania </v>
          </cell>
        </row>
        <row r="1440">
          <cell r="J1440">
            <v>1590</v>
          </cell>
          <cell r="K1440" t="str">
            <v>Flor blanca</v>
          </cell>
          <cell r="L1440" t="str">
            <v>Flor blanca</v>
          </cell>
          <cell r="O1440" t="str">
            <v>Asteraceae</v>
          </cell>
          <cell r="P1440" t="str">
            <v>Mikania</v>
          </cell>
          <cell r="R1440" t="str">
            <v xml:space="preserve">Mikania </v>
          </cell>
        </row>
        <row r="1441">
          <cell r="J1441">
            <v>1591</v>
          </cell>
          <cell r="K1441" t="str">
            <v>Flor blanca</v>
          </cell>
          <cell r="L1441" t="str">
            <v>Flor blanca</v>
          </cell>
          <cell r="O1441" t="str">
            <v>Asteraceae</v>
          </cell>
          <cell r="P1441" t="str">
            <v>Mikania</v>
          </cell>
          <cell r="R1441" t="str">
            <v xml:space="preserve">Mikania </v>
          </cell>
        </row>
        <row r="1442">
          <cell r="J1442">
            <v>1592</v>
          </cell>
          <cell r="K1442" t="str">
            <v>Flor blanca</v>
          </cell>
          <cell r="L1442" t="str">
            <v>Flor blanca</v>
          </cell>
          <cell r="O1442" t="str">
            <v>Asteraceae</v>
          </cell>
          <cell r="P1442" t="str">
            <v>Mikania</v>
          </cell>
          <cell r="R1442" t="str">
            <v xml:space="preserve">Mikania </v>
          </cell>
        </row>
        <row r="1443">
          <cell r="J1443">
            <v>1593</v>
          </cell>
          <cell r="K1443" t="str">
            <v>Flor blanca</v>
          </cell>
          <cell r="L1443" t="str">
            <v>Flor blanca</v>
          </cell>
          <cell r="O1443" t="str">
            <v>Asteraceae</v>
          </cell>
          <cell r="P1443" t="str">
            <v>Mikania</v>
          </cell>
          <cell r="R1443" t="str">
            <v xml:space="preserve">Mikania </v>
          </cell>
        </row>
        <row r="1444">
          <cell r="J1444">
            <v>1594</v>
          </cell>
          <cell r="K1444" t="str">
            <v>Flor blanca</v>
          </cell>
          <cell r="L1444" t="str">
            <v>Flor blanca</v>
          </cell>
          <cell r="O1444" t="str">
            <v>Asteraceae</v>
          </cell>
          <cell r="P1444" t="str">
            <v>Mikania</v>
          </cell>
          <cell r="R1444" t="str">
            <v xml:space="preserve">Mikania </v>
          </cell>
        </row>
        <row r="1445">
          <cell r="J1445">
            <v>1595</v>
          </cell>
          <cell r="K1445" t="str">
            <v>Flor blanca</v>
          </cell>
          <cell r="L1445" t="str">
            <v>Flor blanca</v>
          </cell>
          <cell r="O1445" t="str">
            <v>Asteraceae</v>
          </cell>
          <cell r="P1445" t="str">
            <v>Mikania</v>
          </cell>
          <cell r="R1445" t="str">
            <v xml:space="preserve">Mikania </v>
          </cell>
        </row>
        <row r="1446">
          <cell r="J1446">
            <v>1596</v>
          </cell>
          <cell r="K1446" t="str">
            <v>Flor blanca</v>
          </cell>
          <cell r="L1446" t="str">
            <v>Flor blanca</v>
          </cell>
          <cell r="O1446" t="str">
            <v>Asteraceae</v>
          </cell>
          <cell r="P1446" t="str">
            <v>Mikania</v>
          </cell>
          <cell r="R1446" t="str">
            <v xml:space="preserve">Mikania </v>
          </cell>
        </row>
        <row r="1447">
          <cell r="J1447">
            <v>1597</v>
          </cell>
          <cell r="K1447" t="str">
            <v>Flor blanca</v>
          </cell>
          <cell r="L1447" t="str">
            <v>Flor blanca</v>
          </cell>
          <cell r="O1447" t="str">
            <v>Asteraceae</v>
          </cell>
          <cell r="P1447" t="str">
            <v>Mikania</v>
          </cell>
          <cell r="R1447" t="str">
            <v xml:space="preserve">Mikania </v>
          </cell>
        </row>
        <row r="1448">
          <cell r="J1448">
            <v>1598</v>
          </cell>
          <cell r="K1448" t="str">
            <v>Flor blanca</v>
          </cell>
          <cell r="L1448" t="str">
            <v>Flor blanca</v>
          </cell>
          <cell r="O1448" t="str">
            <v>Asteraceae</v>
          </cell>
          <cell r="P1448" t="str">
            <v>Mikania</v>
          </cell>
          <cell r="R1448" t="str">
            <v xml:space="preserve">Mikania </v>
          </cell>
        </row>
        <row r="1449">
          <cell r="J1449">
            <v>1599</v>
          </cell>
          <cell r="K1449" t="str">
            <v>Flor blanca</v>
          </cell>
          <cell r="L1449" t="str">
            <v>Flor blanca</v>
          </cell>
          <cell r="O1449" t="str">
            <v>Asteraceae</v>
          </cell>
          <cell r="P1449" t="str">
            <v>Mikania</v>
          </cell>
          <cell r="R1449" t="str">
            <v xml:space="preserve">Mikania </v>
          </cell>
        </row>
        <row r="1450">
          <cell r="J1450">
            <v>1600</v>
          </cell>
          <cell r="K1450" t="str">
            <v>Asteraceae 5 (Melastomataceae)</v>
          </cell>
          <cell r="L1450" t="str">
            <v>Asteraceae 5 (Melastomataceae)</v>
          </cell>
          <cell r="M1450" t="str">
            <v xml:space="preserve"> =1507</v>
          </cell>
          <cell r="O1450" t="str">
            <v>Asteraceae</v>
          </cell>
          <cell r="P1450" t="str">
            <v>Mikania</v>
          </cell>
          <cell r="R1450" t="str">
            <v xml:space="preserve">Mikania </v>
          </cell>
        </row>
        <row r="1451">
          <cell r="J1451">
            <v>1601</v>
          </cell>
          <cell r="K1451" t="str">
            <v>Asteraceae 5 (Melastomataceae)</v>
          </cell>
          <cell r="L1451" t="str">
            <v>Asteraceae 5 (Melastomataceae)</v>
          </cell>
          <cell r="M1451" t="str">
            <v xml:space="preserve"> =1507</v>
          </cell>
          <cell r="O1451" t="str">
            <v>Asteraceae</v>
          </cell>
          <cell r="P1451" t="str">
            <v>Mikania</v>
          </cell>
          <cell r="R1451" t="str">
            <v xml:space="preserve">Mikania </v>
          </cell>
        </row>
        <row r="1452">
          <cell r="J1452">
            <v>1602</v>
          </cell>
          <cell r="K1452" t="str">
            <v>Asteraceae 5 (Melastomataceae)</v>
          </cell>
          <cell r="L1452" t="str">
            <v>Asteraceae 5 (Melastomataceae)</v>
          </cell>
          <cell r="M1452" t="str">
            <v xml:space="preserve"> =1507</v>
          </cell>
          <cell r="O1452" t="str">
            <v>Asteraceae</v>
          </cell>
          <cell r="P1452" t="str">
            <v>Mikania</v>
          </cell>
          <cell r="R1452" t="str">
            <v xml:space="preserve">Mikania </v>
          </cell>
        </row>
        <row r="1453">
          <cell r="J1453">
            <v>1603</v>
          </cell>
          <cell r="K1453" t="str">
            <v>Asteraceae 5 (Melastomataceae)</v>
          </cell>
          <cell r="L1453" t="str">
            <v>Asteraceae 5 (Melastomataceae)</v>
          </cell>
          <cell r="M1453" t="str">
            <v xml:space="preserve"> =1507</v>
          </cell>
          <cell r="O1453" t="str">
            <v>Asteraceae</v>
          </cell>
          <cell r="P1453" t="str">
            <v>Mikania</v>
          </cell>
          <cell r="R1453" t="str">
            <v xml:space="preserve">Mikania </v>
          </cell>
        </row>
        <row r="1454">
          <cell r="J1454">
            <v>1604</v>
          </cell>
          <cell r="K1454" t="str">
            <v>Flor blanca</v>
          </cell>
          <cell r="L1454" t="str">
            <v>Flor blanca</v>
          </cell>
          <cell r="O1454" t="str">
            <v>Asteraceae</v>
          </cell>
          <cell r="P1454" t="str">
            <v>Mikania</v>
          </cell>
          <cell r="R1454" t="str">
            <v xml:space="preserve">Mikania </v>
          </cell>
        </row>
        <row r="1455">
          <cell r="J1455">
            <v>1605</v>
          </cell>
          <cell r="K1455" t="str">
            <v>Estrella</v>
          </cell>
          <cell r="L1455" t="str">
            <v>Estrella</v>
          </cell>
          <cell r="O1455" t="str">
            <v>Asteraceae</v>
          </cell>
          <cell r="P1455" t="str">
            <v>Jungia</v>
          </cell>
          <cell r="R1455" t="str">
            <v xml:space="preserve">Jungia </v>
          </cell>
        </row>
        <row r="1456">
          <cell r="J1456">
            <v>1606</v>
          </cell>
          <cell r="K1456" t="str">
            <v>Peciolo morado</v>
          </cell>
          <cell r="L1456" t="str">
            <v>Peciolo_morado_1306</v>
          </cell>
          <cell r="M1456" t="str">
            <v xml:space="preserve"> =1306</v>
          </cell>
          <cell r="R1456" t="str">
            <v xml:space="preserve"> </v>
          </cell>
        </row>
        <row r="1457">
          <cell r="J1457">
            <v>1607</v>
          </cell>
          <cell r="K1457" t="str">
            <v>Asteraceae 5 (Melastomataceae)</v>
          </cell>
          <cell r="L1457" t="str">
            <v>Asteraceae 5 (Melastomataceae)</v>
          </cell>
          <cell r="M1457" t="str">
            <v xml:space="preserve"> =1507</v>
          </cell>
          <cell r="O1457" t="str">
            <v>Asteraceae</v>
          </cell>
          <cell r="P1457" t="str">
            <v>Mikania</v>
          </cell>
          <cell r="R1457" t="str">
            <v xml:space="preserve">Mikania </v>
          </cell>
        </row>
        <row r="1458">
          <cell r="J1458">
            <v>1608</v>
          </cell>
          <cell r="K1458" t="str">
            <v>Estrella</v>
          </cell>
          <cell r="L1458" t="str">
            <v>Estrella</v>
          </cell>
          <cell r="M1458" t="str">
            <v xml:space="preserve"> =1362</v>
          </cell>
          <cell r="O1458" t="str">
            <v>Asteraceae</v>
          </cell>
          <cell r="P1458" t="str">
            <v>Jungia</v>
          </cell>
          <cell r="R1458" t="str">
            <v xml:space="preserve">Jungia </v>
          </cell>
        </row>
        <row r="1459">
          <cell r="J1459">
            <v>1609</v>
          </cell>
          <cell r="K1459" t="str">
            <v>Asteraceae 5 (Melastomataceae)</v>
          </cell>
          <cell r="L1459" t="str">
            <v>Asteraceae 5 (Melastomataceae)</v>
          </cell>
          <cell r="M1459" t="str">
            <v xml:space="preserve"> =1507</v>
          </cell>
          <cell r="O1459" t="str">
            <v>Asteraceae</v>
          </cell>
          <cell r="P1459" t="str">
            <v>Mikania</v>
          </cell>
          <cell r="R1459" t="str">
            <v xml:space="preserve">Mikania </v>
          </cell>
        </row>
        <row r="1460">
          <cell r="J1460">
            <v>1610</v>
          </cell>
          <cell r="K1460" t="str">
            <v>Flor blanca</v>
          </cell>
          <cell r="L1460" t="str">
            <v>Flor blanca</v>
          </cell>
          <cell r="O1460" t="str">
            <v>Asteraceae</v>
          </cell>
          <cell r="P1460" t="str">
            <v>Mikania</v>
          </cell>
          <cell r="R1460" t="str">
            <v xml:space="preserve">Mikania </v>
          </cell>
        </row>
        <row r="1461">
          <cell r="J1461">
            <v>1611</v>
          </cell>
          <cell r="L1461" t="str">
            <v>Ast_1588</v>
          </cell>
          <cell r="M1461" t="str">
            <v xml:space="preserve"> =1588, =1546, =1520</v>
          </cell>
          <cell r="O1461" t="str">
            <v>Asteraceae</v>
          </cell>
          <cell r="R1461" t="str">
            <v xml:space="preserve"> </v>
          </cell>
        </row>
        <row r="1462">
          <cell r="J1462">
            <v>1612</v>
          </cell>
          <cell r="K1462" t="str">
            <v>Boraginaceae</v>
          </cell>
          <cell r="L1462" t="str">
            <v>Boraginaceae</v>
          </cell>
          <cell r="O1462" t="str">
            <v>0_Boraginaceae??</v>
          </cell>
          <cell r="P1462" t="str">
            <v>0_cf. Tournefortia</v>
          </cell>
          <cell r="R1462" t="str">
            <v xml:space="preserve">0_cf. Tournefortia </v>
          </cell>
        </row>
        <row r="1463">
          <cell r="J1463">
            <v>1613</v>
          </cell>
          <cell r="K1463" t="str">
            <v>Boraginaceae</v>
          </cell>
          <cell r="L1463" t="str">
            <v>Boraginaceae</v>
          </cell>
          <cell r="O1463" t="str">
            <v>0_Boraginaceae??</v>
          </cell>
          <cell r="P1463" t="str">
            <v>0_cf. Tournefortia</v>
          </cell>
          <cell r="R1463" t="str">
            <v xml:space="preserve">0_cf. Tournefortia </v>
          </cell>
        </row>
        <row r="1464">
          <cell r="J1464">
            <v>1614</v>
          </cell>
          <cell r="K1464" t="str">
            <v>Flor blanca</v>
          </cell>
          <cell r="L1464" t="str">
            <v>Flor blanca</v>
          </cell>
          <cell r="O1464" t="str">
            <v>Asteraceae</v>
          </cell>
          <cell r="P1464" t="str">
            <v>Mikania</v>
          </cell>
          <cell r="R1464" t="str">
            <v xml:space="preserve">Mikania </v>
          </cell>
        </row>
        <row r="1465">
          <cell r="J1465">
            <v>1615</v>
          </cell>
          <cell r="K1465" t="str">
            <v>Flor blanca</v>
          </cell>
          <cell r="L1465" t="str">
            <v>Flor blanca</v>
          </cell>
          <cell r="O1465" t="str">
            <v>Asteraceae</v>
          </cell>
          <cell r="P1465" t="str">
            <v>Mikania</v>
          </cell>
          <cell r="R1465" t="str">
            <v xml:space="preserve">Mikania </v>
          </cell>
        </row>
        <row r="1466">
          <cell r="J1466">
            <v>1616</v>
          </cell>
          <cell r="K1466" t="str">
            <v>Flor blanca</v>
          </cell>
          <cell r="L1466" t="str">
            <v>Flor blanca</v>
          </cell>
          <cell r="O1466" t="str">
            <v>Asteraceae</v>
          </cell>
          <cell r="P1466" t="str">
            <v>Mikania</v>
          </cell>
          <cell r="R1466" t="str">
            <v xml:space="preserve">Mikania </v>
          </cell>
        </row>
        <row r="1467">
          <cell r="J1467">
            <v>1617</v>
          </cell>
          <cell r="K1467" t="str">
            <v>Flor blanca</v>
          </cell>
          <cell r="L1467" t="str">
            <v>Flor blanca</v>
          </cell>
          <cell r="O1467" t="str">
            <v>Asteraceae</v>
          </cell>
          <cell r="P1467" t="str">
            <v>Mikania</v>
          </cell>
          <cell r="R1467" t="str">
            <v xml:space="preserve">Mikania </v>
          </cell>
        </row>
        <row r="1468">
          <cell r="J1468">
            <v>1618</v>
          </cell>
          <cell r="K1468" t="str">
            <v>Apocynaceae_cajanuma</v>
          </cell>
          <cell r="L1468" t="str">
            <v>Apoc_1272</v>
          </cell>
          <cell r="O1468" t="str">
            <v>Apocynaceae</v>
          </cell>
          <cell r="P1468" t="str">
            <v>Mandevilla</v>
          </cell>
          <cell r="Q1468" t="str">
            <v>cf. ligustriflora</v>
          </cell>
          <cell r="R1468" t="str">
            <v>Mandevilla cf. ligustriflora</v>
          </cell>
        </row>
        <row r="1469">
          <cell r="J1469">
            <v>1619</v>
          </cell>
          <cell r="K1469" t="str">
            <v>fragil</v>
          </cell>
          <cell r="L1469" t="str">
            <v>Colignonia_1440</v>
          </cell>
          <cell r="M1469" t="str">
            <v xml:space="preserve"> =1440</v>
          </cell>
          <cell r="O1469" t="str">
            <v>Nyctaginaceae</v>
          </cell>
          <cell r="P1469" t="str">
            <v>Colignonia</v>
          </cell>
          <cell r="Q1469" t="str">
            <v>scandens</v>
          </cell>
          <cell r="R1469" t="str">
            <v>Colignonia scandens</v>
          </cell>
        </row>
        <row r="1470">
          <cell r="J1470">
            <v>1620</v>
          </cell>
          <cell r="K1470" t="str">
            <v>Asteraceae 7 (nervadura prominente)</v>
          </cell>
          <cell r="L1470" t="str">
            <v>Asteraceae 7 (nervadura prominente)</v>
          </cell>
          <cell r="M1470" t="str">
            <v xml:space="preserve"> =1488</v>
          </cell>
          <cell r="O1470" t="str">
            <v>Asteraceae</v>
          </cell>
          <cell r="R1470" t="str">
            <v xml:space="preserve"> </v>
          </cell>
        </row>
        <row r="1471">
          <cell r="J1471">
            <v>1621</v>
          </cell>
          <cell r="L1471" t="str">
            <v>Ast_1621</v>
          </cell>
          <cell r="O1471" t="str">
            <v>Asteraceae</v>
          </cell>
          <cell r="R1471" t="str">
            <v xml:space="preserve"> </v>
          </cell>
        </row>
        <row r="1472">
          <cell r="J1472">
            <v>1622</v>
          </cell>
          <cell r="K1472" t="str">
            <v>Asteraceae 5 (Melastomataceae)</v>
          </cell>
          <cell r="L1472" t="str">
            <v>Asteraceae 5 (Melastomataceae)</v>
          </cell>
          <cell r="M1472" t="str">
            <v xml:space="preserve"> =1507</v>
          </cell>
          <cell r="O1472" t="str">
            <v>Asteraceae</v>
          </cell>
          <cell r="P1472" t="str">
            <v>Mikania</v>
          </cell>
          <cell r="R1472" t="str">
            <v xml:space="preserve">Mikania </v>
          </cell>
        </row>
        <row r="1473">
          <cell r="J1473">
            <v>1623</v>
          </cell>
          <cell r="K1473" t="str">
            <v>fragil</v>
          </cell>
          <cell r="L1473" t="str">
            <v>Colignonia_1440</v>
          </cell>
          <cell r="M1473" t="str">
            <v xml:space="preserve"> =1440</v>
          </cell>
          <cell r="O1473" t="str">
            <v>Nyctaginaceae</v>
          </cell>
          <cell r="P1473" t="str">
            <v>Colignonia</v>
          </cell>
          <cell r="Q1473" t="str">
            <v>scandens</v>
          </cell>
          <cell r="R1473" t="str">
            <v>Colignonia scandens</v>
          </cell>
        </row>
        <row r="1474">
          <cell r="J1474">
            <v>1624</v>
          </cell>
          <cell r="K1474" t="str">
            <v>Boraginaceae</v>
          </cell>
          <cell r="L1474" t="str">
            <v>Boraginaceae</v>
          </cell>
          <cell r="O1474" t="str">
            <v>0_Boraginaceae??</v>
          </cell>
          <cell r="P1474" t="str">
            <v>0_cf. Tournefortia</v>
          </cell>
          <cell r="R1474" t="str">
            <v xml:space="preserve">0_cf. Tournefortia </v>
          </cell>
        </row>
        <row r="1475">
          <cell r="J1475">
            <v>1625</v>
          </cell>
          <cell r="K1475" t="str">
            <v>Boraginaceae</v>
          </cell>
          <cell r="L1475" t="str">
            <v>Boraginaceae</v>
          </cell>
          <cell r="O1475" t="str">
            <v>0_Boraginaceae??</v>
          </cell>
          <cell r="P1475" t="str">
            <v>0_cf. Tournefortia</v>
          </cell>
          <cell r="R1475" t="str">
            <v xml:space="preserve">0_cf. Tournefortia </v>
          </cell>
        </row>
        <row r="1476">
          <cell r="J1476">
            <v>1626</v>
          </cell>
          <cell r="K1476" t="str">
            <v>Asteraceae 5 (Melastomataceae)</v>
          </cell>
          <cell r="L1476" t="str">
            <v>Asteraceae 5 (Melastomataceae)</v>
          </cell>
          <cell r="M1476" t="str">
            <v xml:space="preserve"> =1507</v>
          </cell>
          <cell r="O1476" t="str">
            <v>Asteraceae</v>
          </cell>
          <cell r="P1476" t="str">
            <v>Mikania</v>
          </cell>
          <cell r="R1476" t="str">
            <v xml:space="preserve">Mikania </v>
          </cell>
        </row>
        <row r="1477">
          <cell r="J1477">
            <v>1627</v>
          </cell>
          <cell r="K1477" t="str">
            <v>indet_latex_1579</v>
          </cell>
          <cell r="L1477" t="str">
            <v>Munozia sp. 2</v>
          </cell>
          <cell r="M1477" t="str">
            <v xml:space="preserve"> =1579</v>
          </cell>
          <cell r="O1477" t="str">
            <v>Asteraceae</v>
          </cell>
          <cell r="P1477" t="str">
            <v>Munozia</v>
          </cell>
          <cell r="R1477" t="str">
            <v xml:space="preserve">Munozia </v>
          </cell>
        </row>
        <row r="1478">
          <cell r="J1478">
            <v>1628</v>
          </cell>
          <cell r="K1478" t="str">
            <v>Boraginaceae</v>
          </cell>
          <cell r="L1478" t="str">
            <v>Boraginaceae</v>
          </cell>
          <cell r="O1478" t="str">
            <v>0_Boraginaceae??</v>
          </cell>
          <cell r="P1478" t="str">
            <v>0_cf. Tournefortia</v>
          </cell>
          <cell r="R1478" t="str">
            <v xml:space="preserve">0_cf. Tournefortia </v>
          </cell>
        </row>
        <row r="1479">
          <cell r="J1479">
            <v>1629</v>
          </cell>
          <cell r="K1479" t="str">
            <v>Flor blanca</v>
          </cell>
          <cell r="L1479" t="str">
            <v>Flor blanca</v>
          </cell>
          <cell r="O1479" t="str">
            <v>Asteraceae</v>
          </cell>
          <cell r="P1479" t="str">
            <v>Mikania</v>
          </cell>
          <cell r="R1479" t="str">
            <v xml:space="preserve">Mikania </v>
          </cell>
        </row>
        <row r="1480">
          <cell r="J1480">
            <v>1630</v>
          </cell>
          <cell r="K1480" t="str">
            <v>Flor blanca</v>
          </cell>
          <cell r="L1480" t="str">
            <v>Flor blanca</v>
          </cell>
          <cell r="O1480" t="str">
            <v>Asteraceae</v>
          </cell>
          <cell r="P1480" t="str">
            <v>Mikania</v>
          </cell>
          <cell r="R1480" t="str">
            <v xml:space="preserve">Mikania </v>
          </cell>
        </row>
        <row r="1481">
          <cell r="J1481">
            <v>1631</v>
          </cell>
          <cell r="K1481" t="str">
            <v>Asteraceae 5 (Melastomataceae)</v>
          </cell>
          <cell r="L1481" t="str">
            <v>Asteraceae 5 (Melastomataceae)</v>
          </cell>
          <cell r="M1481" t="str">
            <v xml:space="preserve"> =1507</v>
          </cell>
          <cell r="O1481" t="str">
            <v>Asteraceae</v>
          </cell>
          <cell r="P1481" t="str">
            <v>Mikania</v>
          </cell>
          <cell r="R1481" t="str">
            <v xml:space="preserve">Mikania </v>
          </cell>
        </row>
        <row r="1482">
          <cell r="J1482">
            <v>1632</v>
          </cell>
          <cell r="K1482" t="str">
            <v>Asteraceae 5 (Melastomataceae)</v>
          </cell>
          <cell r="L1482" t="str">
            <v>Asteraceae 5 (Melastomataceae)</v>
          </cell>
          <cell r="M1482" t="str">
            <v xml:space="preserve"> =1507</v>
          </cell>
          <cell r="O1482" t="str">
            <v>Asteraceae</v>
          </cell>
          <cell r="P1482" t="str">
            <v>Mikania</v>
          </cell>
          <cell r="R1482" t="str">
            <v xml:space="preserve">Mikania </v>
          </cell>
        </row>
        <row r="1483">
          <cell r="J1483">
            <v>1633</v>
          </cell>
          <cell r="K1483" t="str">
            <v>Asteraceae 5 (Melastomataceae)</v>
          </cell>
          <cell r="L1483" t="str">
            <v>Asteraceae 5 (Melastomataceae)</v>
          </cell>
          <cell r="M1483" t="str">
            <v xml:space="preserve"> =1507</v>
          </cell>
          <cell r="O1483" t="str">
            <v>Asteraceae</v>
          </cell>
          <cell r="P1483" t="str">
            <v>Mikania</v>
          </cell>
          <cell r="R1483" t="str">
            <v xml:space="preserve">Mikania </v>
          </cell>
        </row>
        <row r="1484">
          <cell r="J1484">
            <v>1634</v>
          </cell>
          <cell r="K1484" t="str">
            <v>Asteraceae 5 (Melastomataceae)</v>
          </cell>
          <cell r="L1484" t="str">
            <v>Asteraceae 5 (Melastomataceae)</v>
          </cell>
          <cell r="M1484" t="str">
            <v xml:space="preserve"> =1507</v>
          </cell>
          <cell r="O1484" t="str">
            <v>Asteraceae</v>
          </cell>
          <cell r="P1484" t="str">
            <v>Mikania</v>
          </cell>
          <cell r="R1484" t="str">
            <v xml:space="preserve">Mikania </v>
          </cell>
        </row>
        <row r="1485">
          <cell r="J1485">
            <v>1635</v>
          </cell>
          <cell r="K1485" t="str">
            <v>Asteraceae 5 (Melastomataceae)</v>
          </cell>
          <cell r="L1485" t="str">
            <v>Asteraceae 5 (Melastomataceae)</v>
          </cell>
          <cell r="M1485" t="str">
            <v xml:space="preserve"> =1507</v>
          </cell>
          <cell r="O1485" t="str">
            <v>Asteraceae</v>
          </cell>
          <cell r="P1485" t="str">
            <v>Mikania</v>
          </cell>
          <cell r="R1485" t="str">
            <v xml:space="preserve">Mikania </v>
          </cell>
        </row>
        <row r="1486">
          <cell r="J1486">
            <v>1636</v>
          </cell>
          <cell r="K1486" t="str">
            <v>Estrella</v>
          </cell>
          <cell r="L1486" t="str">
            <v>Estrella</v>
          </cell>
          <cell r="O1486" t="str">
            <v>Asteraceae</v>
          </cell>
          <cell r="P1486" t="str">
            <v>Jungia</v>
          </cell>
          <cell r="R1486" t="str">
            <v xml:space="preserve">Jungia </v>
          </cell>
        </row>
        <row r="1487">
          <cell r="J1487">
            <v>1637</v>
          </cell>
          <cell r="K1487" t="str">
            <v>Flor blanca</v>
          </cell>
          <cell r="L1487" t="str">
            <v>Flor blanca</v>
          </cell>
          <cell r="O1487" t="str">
            <v>Asteraceae</v>
          </cell>
          <cell r="P1487" t="str">
            <v>Mikania</v>
          </cell>
          <cell r="R1487" t="str">
            <v xml:space="preserve">Mikania </v>
          </cell>
        </row>
        <row r="1488">
          <cell r="J1488">
            <v>1638</v>
          </cell>
          <cell r="K1488" t="str">
            <v>Ast_1638</v>
          </cell>
          <cell r="L1488" t="str">
            <v>Ast_1588</v>
          </cell>
          <cell r="M1488" t="str">
            <v xml:space="preserve"> =1588, =1546, =1520</v>
          </cell>
          <cell r="O1488" t="str">
            <v>Asteraceae</v>
          </cell>
          <cell r="R1488" t="str">
            <v xml:space="preserve"> </v>
          </cell>
        </row>
        <row r="1489">
          <cell r="J1489">
            <v>1639</v>
          </cell>
          <cell r="L1489" t="str">
            <v>Ast_1588</v>
          </cell>
          <cell r="M1489" t="str">
            <v xml:space="preserve"> =1588, =1546, =1520</v>
          </cell>
          <cell r="O1489" t="str">
            <v>Asteraceae</v>
          </cell>
          <cell r="R1489" t="str">
            <v xml:space="preserve"> </v>
          </cell>
        </row>
        <row r="1490">
          <cell r="J1490">
            <v>1640</v>
          </cell>
          <cell r="K1490" t="str">
            <v>Apo1</v>
          </cell>
          <cell r="L1490" t="str">
            <v>Apo1_rara_latex</v>
          </cell>
          <cell r="M1490" t="str">
            <v xml:space="preserve"> =1826</v>
          </cell>
          <cell r="O1490" t="str">
            <v>Apocynaceae</v>
          </cell>
          <cell r="R1490" t="str">
            <v xml:space="preserve"> </v>
          </cell>
        </row>
        <row r="1491">
          <cell r="J1491">
            <v>1641</v>
          </cell>
          <cell r="K1491" t="str">
            <v>Apo1</v>
          </cell>
          <cell r="L1491" t="str">
            <v>Apo1_rara_latex</v>
          </cell>
          <cell r="M1491" t="str">
            <v xml:space="preserve"> =1826</v>
          </cell>
          <cell r="O1491" t="str">
            <v>Apocynaceae</v>
          </cell>
          <cell r="R1491" t="str">
            <v xml:space="preserve"> </v>
          </cell>
        </row>
        <row r="1492">
          <cell r="J1492">
            <v>1642</v>
          </cell>
          <cell r="K1492" t="str">
            <v>Aster 2_Bombuscaro</v>
          </cell>
          <cell r="L1492" t="str">
            <v>Aster 2_Bombuscaro</v>
          </cell>
          <cell r="M1492" t="str">
            <v xml:space="preserve"> =1642</v>
          </cell>
          <cell r="O1492" t="str">
            <v>Asteraceae</v>
          </cell>
          <cell r="R1492" t="str">
            <v xml:space="preserve"> </v>
          </cell>
        </row>
        <row r="1493">
          <cell r="J1493">
            <v>1643</v>
          </cell>
          <cell r="K1493" t="str">
            <v>Aster 2_Bombuscaro</v>
          </cell>
          <cell r="L1493" t="str">
            <v>Aster 2_Bombuscaro</v>
          </cell>
          <cell r="M1493" t="str">
            <v xml:space="preserve"> =1642</v>
          </cell>
          <cell r="O1493" t="str">
            <v>Asteraceae</v>
          </cell>
          <cell r="R1493" t="str">
            <v xml:space="preserve"> </v>
          </cell>
        </row>
        <row r="1494">
          <cell r="J1494">
            <v>1644</v>
          </cell>
          <cell r="K1494" t="str">
            <v>Aster 2_Bombuscaro</v>
          </cell>
          <cell r="L1494" t="str">
            <v>Aster 2_Bombuscaro</v>
          </cell>
          <cell r="M1494" t="str">
            <v xml:space="preserve"> =1642</v>
          </cell>
          <cell r="O1494" t="str">
            <v>Asteraceae</v>
          </cell>
          <cell r="R1494" t="str">
            <v xml:space="preserve"> </v>
          </cell>
        </row>
        <row r="1495">
          <cell r="J1495">
            <v>1645</v>
          </cell>
          <cell r="K1495" t="str">
            <v>Aster 2_Bombuscaro</v>
          </cell>
          <cell r="L1495" t="str">
            <v>Aster 2_Bombuscaro</v>
          </cell>
          <cell r="M1495" t="str">
            <v xml:space="preserve"> =1642</v>
          </cell>
          <cell r="O1495" t="str">
            <v>Asteraceae</v>
          </cell>
          <cell r="R1495" t="str">
            <v xml:space="preserve"> </v>
          </cell>
        </row>
        <row r="1496">
          <cell r="J1496">
            <v>1646</v>
          </cell>
          <cell r="K1496" t="str">
            <v>Aster 2_Bombuscaro</v>
          </cell>
          <cell r="L1496" t="str">
            <v>Aster 2_Bombuscaro</v>
          </cell>
          <cell r="M1496" t="str">
            <v xml:space="preserve"> =1642</v>
          </cell>
          <cell r="O1496" t="str">
            <v>Asteraceae</v>
          </cell>
          <cell r="R1496" t="str">
            <v xml:space="preserve"> </v>
          </cell>
        </row>
        <row r="1497">
          <cell r="J1497">
            <v>1647</v>
          </cell>
          <cell r="K1497" t="str">
            <v>Celtis</v>
          </cell>
          <cell r="L1497" t="str">
            <v>celtis_iguanea</v>
          </cell>
          <cell r="O1497" t="str">
            <v>Cannabaceae</v>
          </cell>
          <cell r="P1497" t="str">
            <v>Celtis</v>
          </cell>
          <cell r="Q1497" t="str">
            <v>iguanaea</v>
          </cell>
          <cell r="R1497" t="str">
            <v>Celtis iguanaea</v>
          </cell>
        </row>
        <row r="1498">
          <cell r="J1498">
            <v>1648</v>
          </cell>
          <cell r="K1498" t="str">
            <v>Aster 1_Bombuscaro</v>
          </cell>
          <cell r="L1498" t="str">
            <v>Aster 1_Bombuscaro</v>
          </cell>
          <cell r="O1498" t="str">
            <v>Asteraceae</v>
          </cell>
          <cell r="R1498" t="str">
            <v xml:space="preserve"> </v>
          </cell>
        </row>
        <row r="1499">
          <cell r="J1499">
            <v>1649</v>
          </cell>
          <cell r="L1499" t="str">
            <v>Paullinia sin latex</v>
          </cell>
          <cell r="O1499" t="str">
            <v>Sapindaceae</v>
          </cell>
          <cell r="R1499" t="str">
            <v xml:space="preserve"> </v>
          </cell>
        </row>
        <row r="1500">
          <cell r="J1500">
            <v>1650</v>
          </cell>
          <cell r="K1500" t="str">
            <v>roja_plot1</v>
          </cell>
          <cell r="L1500" t="str">
            <v>roja</v>
          </cell>
          <cell r="M1500" t="str">
            <v xml:space="preserve"> =1650</v>
          </cell>
          <cell r="O1500" t="str">
            <v>Fabaceae</v>
          </cell>
          <cell r="P1500" t="str">
            <v>Swartsia/Machaerium</v>
          </cell>
          <cell r="R1500" t="str">
            <v xml:space="preserve">Swartsia/Machaerium </v>
          </cell>
        </row>
        <row r="1501">
          <cell r="J1501">
            <v>1651</v>
          </cell>
          <cell r="K1501" t="str">
            <v>roja_plot1</v>
          </cell>
          <cell r="L1501" t="str">
            <v>roja</v>
          </cell>
          <cell r="M1501" t="str">
            <v xml:space="preserve"> =1650</v>
          </cell>
          <cell r="O1501" t="str">
            <v>Fabaceae</v>
          </cell>
          <cell r="P1501" t="str">
            <v>Swartsia/Machaerium</v>
          </cell>
          <cell r="R1501" t="str">
            <v xml:space="preserve">Swartsia/Machaerium </v>
          </cell>
        </row>
        <row r="1502">
          <cell r="J1502">
            <v>1652</v>
          </cell>
          <cell r="K1502" t="str">
            <v>bignoniaceae_plot1</v>
          </cell>
          <cell r="L1502" t="str">
            <v>bignoniaceae_plot1</v>
          </cell>
          <cell r="O1502" t="str">
            <v>Bignoniaceae</v>
          </cell>
          <cell r="R1502" t="str">
            <v xml:space="preserve"> </v>
          </cell>
        </row>
        <row r="1503">
          <cell r="J1503">
            <v>1653</v>
          </cell>
          <cell r="K1503" t="str">
            <v>roja_plot1</v>
          </cell>
          <cell r="L1503" t="str">
            <v>Marcgraviaceae</v>
          </cell>
          <cell r="O1503" t="str">
            <v>Marcgraviaceae</v>
          </cell>
          <cell r="R1503" t="str">
            <v xml:space="preserve"> </v>
          </cell>
        </row>
        <row r="1504">
          <cell r="J1504">
            <v>1654</v>
          </cell>
          <cell r="K1504" t="str">
            <v>Aster 2_Bombuscaro</v>
          </cell>
          <cell r="L1504" t="str">
            <v>Aster 2_Bombuscaro</v>
          </cell>
          <cell r="M1504" t="str">
            <v xml:space="preserve"> =1642</v>
          </cell>
          <cell r="O1504" t="str">
            <v>Asteraceae</v>
          </cell>
          <cell r="R1504" t="str">
            <v xml:space="preserve"> </v>
          </cell>
        </row>
        <row r="1505">
          <cell r="J1505">
            <v>1655</v>
          </cell>
          <cell r="K1505" t="str">
            <v>Paullinia sin latex</v>
          </cell>
          <cell r="L1505" t="str">
            <v>Paullinia sin latex</v>
          </cell>
          <cell r="O1505" t="str">
            <v>Sapindaceae</v>
          </cell>
          <cell r="P1505" t="str">
            <v>Paullinia</v>
          </cell>
          <cell r="R1505" t="str">
            <v xml:space="preserve">Paullinia </v>
          </cell>
        </row>
        <row r="1506">
          <cell r="J1506">
            <v>1656</v>
          </cell>
          <cell r="K1506" t="str">
            <v>Paullinia sin latex</v>
          </cell>
          <cell r="L1506" t="str">
            <v>Paullinia sin latex</v>
          </cell>
          <cell r="O1506" t="str">
            <v>Sapindaceae</v>
          </cell>
          <cell r="P1506" t="str">
            <v>Paullinia</v>
          </cell>
          <cell r="R1506" t="str">
            <v xml:space="preserve">Paullinia </v>
          </cell>
        </row>
        <row r="1507">
          <cell r="J1507">
            <v>1657</v>
          </cell>
          <cell r="K1507" t="str">
            <v>Celtis</v>
          </cell>
          <cell r="L1507" t="str">
            <v>celtis_iguanea</v>
          </cell>
          <cell r="O1507" t="str">
            <v>Cannabaceae</v>
          </cell>
          <cell r="P1507" t="str">
            <v>Celtis</v>
          </cell>
          <cell r="Q1507" t="str">
            <v>iguanaea</v>
          </cell>
          <cell r="R1507" t="str">
            <v>Celtis iguanaea</v>
          </cell>
        </row>
        <row r="1508">
          <cell r="J1508">
            <v>1658</v>
          </cell>
          <cell r="L1508" t="str">
            <v>Corteza_pupitos_corteza_vidriosa_Tallo_amarillo</v>
          </cell>
          <cell r="R1508" t="str">
            <v xml:space="preserve"> </v>
          </cell>
        </row>
        <row r="1509">
          <cell r="J1509">
            <v>1659</v>
          </cell>
          <cell r="K1509" t="str">
            <v>Bignoniaceae</v>
          </cell>
          <cell r="L1509" t="str">
            <v>Bignoniaceae_1959</v>
          </cell>
          <cell r="O1509" t="str">
            <v>Bignoniaceae</v>
          </cell>
          <cell r="R1509" t="str">
            <v xml:space="preserve"> </v>
          </cell>
        </row>
        <row r="1510">
          <cell r="J1510">
            <v>1660</v>
          </cell>
          <cell r="K1510" t="str">
            <v>Malp. Bunchosia</v>
          </cell>
          <cell r="L1510" t="str">
            <v>Malp_Bunchosia</v>
          </cell>
          <cell r="M1510" t="str">
            <v xml:space="preserve"> =1660</v>
          </cell>
          <cell r="O1510" t="str">
            <v>Malpighiaceae</v>
          </cell>
          <cell r="P1510" t="str">
            <v>Hiraea</v>
          </cell>
          <cell r="Q1510" t="str">
            <v>cf. crassipes</v>
          </cell>
          <cell r="R1510" t="str">
            <v>Hiraea cf. crassipes</v>
          </cell>
        </row>
        <row r="1511">
          <cell r="J1511">
            <v>1661</v>
          </cell>
          <cell r="K1511" t="str">
            <v>Hojas pequenas como compuesta</v>
          </cell>
          <cell r="L1511" t="str">
            <v>Forsteronia_1661</v>
          </cell>
          <cell r="M1511" t="str">
            <v xml:space="preserve"> =1661</v>
          </cell>
          <cell r="O1511" t="str">
            <v>Apocynaceae</v>
          </cell>
          <cell r="P1511" t="str">
            <v>Forsteronia</v>
          </cell>
          <cell r="R1511" t="str">
            <v xml:space="preserve">Forsteronia </v>
          </cell>
        </row>
        <row r="1512">
          <cell r="J1512">
            <v>1662</v>
          </cell>
          <cell r="K1512" t="str">
            <v>Malp. Bunchosia</v>
          </cell>
          <cell r="L1512" t="str">
            <v>Malp_Bunchosia</v>
          </cell>
          <cell r="M1512" t="str">
            <v xml:space="preserve"> =1660</v>
          </cell>
          <cell r="O1512" t="str">
            <v>Malpighiaceae</v>
          </cell>
          <cell r="P1512" t="str">
            <v>Hiraea</v>
          </cell>
          <cell r="Q1512" t="str">
            <v>cf. crassipes</v>
          </cell>
          <cell r="R1512" t="str">
            <v>Hiraea cf. crassipes</v>
          </cell>
        </row>
        <row r="1513">
          <cell r="J1513">
            <v>1663</v>
          </cell>
          <cell r="K1513" t="str">
            <v>Hojas pequenas como compuesta</v>
          </cell>
          <cell r="L1513" t="str">
            <v>Forsteronia_1661</v>
          </cell>
          <cell r="M1513" t="str">
            <v xml:space="preserve"> =1661</v>
          </cell>
          <cell r="O1513" t="str">
            <v>Apocynaceae</v>
          </cell>
          <cell r="P1513" t="str">
            <v>Forsteronia</v>
          </cell>
          <cell r="R1513" t="str">
            <v xml:space="preserve">Forsteronia </v>
          </cell>
        </row>
        <row r="1514">
          <cell r="J1514">
            <v>1664</v>
          </cell>
          <cell r="K1514" t="str">
            <v>Paulinia sin latex</v>
          </cell>
          <cell r="L1514" t="str">
            <v>Paullinia sin latex</v>
          </cell>
          <cell r="M1514" t="str">
            <v xml:space="preserve"> =1664</v>
          </cell>
          <cell r="O1514" t="str">
            <v>Sapindaceae</v>
          </cell>
          <cell r="R1514" t="str">
            <v xml:space="preserve"> </v>
          </cell>
        </row>
        <row r="1515">
          <cell r="J1515">
            <v>1665</v>
          </cell>
          <cell r="K1515" t="str">
            <v>Malp. Bunchosia</v>
          </cell>
          <cell r="L1515" t="str">
            <v>Malp_Bunchosia</v>
          </cell>
          <cell r="M1515" t="str">
            <v xml:space="preserve"> =1660</v>
          </cell>
          <cell r="O1515" t="str">
            <v>Malpighiaceae</v>
          </cell>
          <cell r="P1515" t="str">
            <v>Hiraea</v>
          </cell>
          <cell r="Q1515" t="str">
            <v>cf. crassipes</v>
          </cell>
          <cell r="R1515" t="str">
            <v>Hiraea cf. crassipes</v>
          </cell>
        </row>
        <row r="1516">
          <cell r="J1516">
            <v>1666</v>
          </cell>
          <cell r="K1516" t="str">
            <v>Malp. Bunchosia</v>
          </cell>
          <cell r="L1516" t="str">
            <v>Malp_Bunchosia</v>
          </cell>
          <cell r="M1516" t="str">
            <v xml:space="preserve"> =1660</v>
          </cell>
          <cell r="O1516" t="str">
            <v>Malpighiaceae</v>
          </cell>
          <cell r="P1516" t="str">
            <v>Hiraea</v>
          </cell>
          <cell r="Q1516" t="str">
            <v>cf. crassipes</v>
          </cell>
          <cell r="R1516" t="str">
            <v>Hiraea cf. crassipes</v>
          </cell>
        </row>
        <row r="1517">
          <cell r="J1517">
            <v>1667</v>
          </cell>
          <cell r="K1517" t="str">
            <v>Malp. Bunchosia</v>
          </cell>
          <cell r="L1517" t="str">
            <v>Malp_Bunchosia</v>
          </cell>
          <cell r="M1517" t="str">
            <v xml:space="preserve"> =1660</v>
          </cell>
          <cell r="O1517" t="str">
            <v>Malpighiaceae</v>
          </cell>
          <cell r="P1517" t="str">
            <v>Hiraea</v>
          </cell>
          <cell r="Q1517" t="str">
            <v>cf. crassipes</v>
          </cell>
          <cell r="R1517" t="str">
            <v>Hiraea cf. crassipes</v>
          </cell>
        </row>
        <row r="1518">
          <cell r="J1518">
            <v>1668</v>
          </cell>
          <cell r="K1518" t="str">
            <v>Malp. Bunchosia</v>
          </cell>
          <cell r="L1518" t="str">
            <v>Malp_Bunchosia</v>
          </cell>
          <cell r="M1518" t="str">
            <v xml:space="preserve"> =1660</v>
          </cell>
          <cell r="O1518" t="str">
            <v>Malpighiaceae</v>
          </cell>
          <cell r="P1518" t="str">
            <v>Hiraea</v>
          </cell>
          <cell r="Q1518" t="str">
            <v>cf. crassipes</v>
          </cell>
          <cell r="R1518" t="str">
            <v>Hiraea cf. crassipes</v>
          </cell>
        </row>
        <row r="1519">
          <cell r="J1519">
            <v>1669</v>
          </cell>
          <cell r="K1519" t="str">
            <v>Con placas</v>
          </cell>
          <cell r="L1519" t="str">
            <v>placas_1672</v>
          </cell>
          <cell r="M1519" t="str">
            <v xml:space="preserve"> =1672</v>
          </cell>
          <cell r="O1519" t="str">
            <v>Euphorbiaceae</v>
          </cell>
          <cell r="P1519" t="str">
            <v>0_cf. Omphalea</v>
          </cell>
          <cell r="R1519" t="str">
            <v xml:space="preserve">0_cf. Omphalea </v>
          </cell>
        </row>
        <row r="1520">
          <cell r="J1520">
            <v>1670</v>
          </cell>
          <cell r="K1520" t="str">
            <v>Poli</v>
          </cell>
          <cell r="L1520" t="str">
            <v>Polyg_1936</v>
          </cell>
          <cell r="O1520" t="str">
            <v>0_Polygonaceae??</v>
          </cell>
          <cell r="R1520" t="str">
            <v xml:space="preserve"> </v>
          </cell>
        </row>
        <row r="1521">
          <cell r="J1521">
            <v>1671</v>
          </cell>
          <cell r="K1521" t="str">
            <v>Mikania glabra redonda</v>
          </cell>
          <cell r="L1521" t="str">
            <v>Mikania_glabra_1671</v>
          </cell>
          <cell r="O1521" t="str">
            <v>Asteraceae</v>
          </cell>
          <cell r="P1521" t="str">
            <v>Mikania</v>
          </cell>
          <cell r="R1521" t="str">
            <v xml:space="preserve">Mikania </v>
          </cell>
        </row>
        <row r="1522">
          <cell r="J1522">
            <v>1672</v>
          </cell>
          <cell r="K1522" t="str">
            <v>Con placas</v>
          </cell>
          <cell r="L1522" t="str">
            <v>placas_1672</v>
          </cell>
          <cell r="M1522" t="str">
            <v xml:space="preserve"> =1672</v>
          </cell>
          <cell r="O1522" t="str">
            <v>Euphorbiaceae</v>
          </cell>
          <cell r="P1522" t="str">
            <v>0_cf. Omphalea</v>
          </cell>
          <cell r="R1522" t="str">
            <v xml:space="preserve">0_cf. Omphalea </v>
          </cell>
        </row>
        <row r="1523">
          <cell r="J1523">
            <v>1673</v>
          </cell>
          <cell r="K1523" t="str">
            <v>Hojas pequenas como compuesta</v>
          </cell>
          <cell r="L1523" t="str">
            <v>Forsteronia_1661</v>
          </cell>
          <cell r="M1523" t="str">
            <v xml:space="preserve"> =1661</v>
          </cell>
          <cell r="O1523" t="str">
            <v>Apocynaceae</v>
          </cell>
          <cell r="P1523" t="str">
            <v>Forsteronia</v>
          </cell>
          <cell r="R1523" t="str">
            <v xml:space="preserve">Forsteronia </v>
          </cell>
        </row>
        <row r="1524">
          <cell r="J1524">
            <v>1674</v>
          </cell>
          <cell r="K1524" t="str">
            <v>Paulinia sin latex</v>
          </cell>
          <cell r="L1524" t="str">
            <v>Paullinia sin latex</v>
          </cell>
          <cell r="M1524" t="str">
            <v xml:space="preserve"> =1664</v>
          </cell>
          <cell r="O1524" t="str">
            <v>Sapindaceae</v>
          </cell>
          <cell r="P1524" t="str">
            <v>Paullinia</v>
          </cell>
          <cell r="R1524" t="str">
            <v xml:space="preserve">Paullinia </v>
          </cell>
        </row>
        <row r="1525">
          <cell r="J1525">
            <v>1675</v>
          </cell>
          <cell r="K1525" t="str">
            <v>Con placas</v>
          </cell>
          <cell r="L1525" t="str">
            <v>placas_1672</v>
          </cell>
          <cell r="M1525" t="str">
            <v xml:space="preserve"> =1672</v>
          </cell>
          <cell r="O1525" t="str">
            <v>Euphorbiaceae</v>
          </cell>
          <cell r="P1525" t="str">
            <v>0_cf. Omphalea</v>
          </cell>
          <cell r="R1525" t="str">
            <v xml:space="preserve">0_cf. Omphalea </v>
          </cell>
        </row>
        <row r="1526">
          <cell r="J1526">
            <v>1676</v>
          </cell>
          <cell r="K1526" t="str">
            <v>Paulinia sin latex</v>
          </cell>
          <cell r="L1526" t="str">
            <v>Paullinia sin latex</v>
          </cell>
          <cell r="M1526" t="str">
            <v xml:space="preserve"> =1664</v>
          </cell>
          <cell r="O1526" t="str">
            <v>Sapindaceae</v>
          </cell>
          <cell r="P1526" t="str">
            <v>Paullinia</v>
          </cell>
          <cell r="R1526" t="str">
            <v xml:space="preserve">Paullinia </v>
          </cell>
        </row>
        <row r="1527">
          <cell r="J1527">
            <v>1677</v>
          </cell>
          <cell r="K1527" t="str">
            <v>Cucurbi</v>
          </cell>
          <cell r="L1527" t="str">
            <v>Cuc_1677</v>
          </cell>
          <cell r="O1527" t="str">
            <v>Cucurbitaceae</v>
          </cell>
          <cell r="P1527" t="str">
            <v>Cayaponia</v>
          </cell>
          <cell r="Q1527" t="str">
            <v xml:space="preserve">macrocalyx </v>
          </cell>
          <cell r="R1527" t="str">
            <v xml:space="preserve">Cayaponia macrocalyx </v>
          </cell>
        </row>
        <row r="1528">
          <cell r="J1528">
            <v>1678</v>
          </cell>
          <cell r="K1528" t="str">
            <v>Paulinia con latex</v>
          </cell>
          <cell r="L1528" t="str">
            <v>Paulinia con latex</v>
          </cell>
          <cell r="O1528" t="str">
            <v>Sapindaceae</v>
          </cell>
          <cell r="P1528" t="str">
            <v>Paullinia</v>
          </cell>
          <cell r="R1528" t="str">
            <v xml:space="preserve">Paullinia </v>
          </cell>
        </row>
        <row r="1529">
          <cell r="J1529">
            <v>1679</v>
          </cell>
          <cell r="L1529" t="str">
            <v>Gouania_1679</v>
          </cell>
          <cell r="O1529" t="str">
            <v>Rhamnaceae</v>
          </cell>
          <cell r="P1529" t="str">
            <v>Gouania</v>
          </cell>
          <cell r="R1529" t="str">
            <v xml:space="preserve">Gouania </v>
          </cell>
        </row>
        <row r="1530">
          <cell r="J1530">
            <v>1680</v>
          </cell>
          <cell r="K1530" t="str">
            <v>Con placas</v>
          </cell>
          <cell r="L1530" t="str">
            <v>placas_1672</v>
          </cell>
          <cell r="O1530" t="str">
            <v>Euphorbiaceae</v>
          </cell>
          <cell r="P1530" t="str">
            <v>0_cf. Omphalea</v>
          </cell>
          <cell r="R1530" t="str">
            <v xml:space="preserve">0_cf. Omphalea </v>
          </cell>
        </row>
        <row r="1531">
          <cell r="J1531">
            <v>1681</v>
          </cell>
          <cell r="K1531" t="str">
            <v>Poli</v>
          </cell>
          <cell r="L1531" t="str">
            <v>Polyg_1936</v>
          </cell>
          <cell r="O1531" t="str">
            <v>0_Polygonaceae??</v>
          </cell>
          <cell r="R1531" t="str">
            <v xml:space="preserve"> </v>
          </cell>
        </row>
        <row r="1532">
          <cell r="J1532">
            <v>1682</v>
          </cell>
          <cell r="K1532" t="str">
            <v>Con placas</v>
          </cell>
          <cell r="L1532" t="str">
            <v>placas_1672</v>
          </cell>
          <cell r="O1532" t="str">
            <v>Euphorbiaceae</v>
          </cell>
          <cell r="P1532" t="str">
            <v>0_cf. Omphalea</v>
          </cell>
          <cell r="R1532" t="str">
            <v xml:space="preserve">0_cf. Omphalea </v>
          </cell>
        </row>
        <row r="1533">
          <cell r="J1533">
            <v>1683</v>
          </cell>
          <cell r="L1533" t="str">
            <v>Chamisoa_1683</v>
          </cell>
          <cell r="M1533" t="str">
            <v xml:space="preserve"> =1683</v>
          </cell>
          <cell r="O1533" t="str">
            <v>Maranthaceae</v>
          </cell>
          <cell r="P1533" t="str">
            <v>Chamisoa</v>
          </cell>
          <cell r="R1533" t="str">
            <v xml:space="preserve">Chamisoa </v>
          </cell>
        </row>
        <row r="1534">
          <cell r="J1534">
            <v>1684</v>
          </cell>
          <cell r="L1534" t="str">
            <v>Chamisoa_1683</v>
          </cell>
          <cell r="M1534" t="str">
            <v xml:space="preserve"> =1683</v>
          </cell>
          <cell r="O1534" t="str">
            <v>Maranthaceae</v>
          </cell>
          <cell r="P1534" t="str">
            <v>Chamisoa</v>
          </cell>
          <cell r="R1534" t="str">
            <v xml:space="preserve">Chamisoa </v>
          </cell>
        </row>
        <row r="1535">
          <cell r="J1535">
            <v>1685</v>
          </cell>
          <cell r="L1535" t="str">
            <v>Urticaceae??</v>
          </cell>
          <cell r="M1535" t="str">
            <v xml:space="preserve"> =1685</v>
          </cell>
          <cell r="R1535" t="str">
            <v xml:space="preserve"> </v>
          </cell>
        </row>
        <row r="1536">
          <cell r="J1536">
            <v>1686</v>
          </cell>
          <cell r="L1536" t="str">
            <v>Urticaceae??</v>
          </cell>
          <cell r="M1536" t="str">
            <v xml:space="preserve"> =1685</v>
          </cell>
          <cell r="O1536" t="str">
            <v>0_Urticaceae??</v>
          </cell>
          <cell r="R1536" t="str">
            <v xml:space="preserve"> </v>
          </cell>
        </row>
        <row r="1537">
          <cell r="J1537">
            <v>1687</v>
          </cell>
          <cell r="L1537" t="str">
            <v>Urera_1687</v>
          </cell>
          <cell r="M1537" t="str">
            <v xml:space="preserve"> =1687</v>
          </cell>
          <cell r="O1537" t="str">
            <v>0_Urticaceae??</v>
          </cell>
          <cell r="P1537" t="str">
            <v>Urera</v>
          </cell>
          <cell r="R1537" t="str">
            <v xml:space="preserve">Urera </v>
          </cell>
        </row>
        <row r="1538">
          <cell r="J1538">
            <v>1688</v>
          </cell>
          <cell r="L1538" t="str">
            <v>Apo_1688</v>
          </cell>
          <cell r="O1538" t="str">
            <v>0_Apocynaceae o asclepiadaceae??</v>
          </cell>
          <cell r="R1538" t="str">
            <v xml:space="preserve"> </v>
          </cell>
        </row>
        <row r="1539">
          <cell r="J1539">
            <v>1689</v>
          </cell>
          <cell r="K1539" t="str">
            <v>corazon, corteza rara</v>
          </cell>
          <cell r="L1539" t="str">
            <v>Apoc_cf_1689</v>
          </cell>
          <cell r="O1539" t="str">
            <v>Apocynaceae</v>
          </cell>
          <cell r="R1539" t="str">
            <v xml:space="preserve"> </v>
          </cell>
        </row>
        <row r="1540">
          <cell r="J1540">
            <v>1690</v>
          </cell>
          <cell r="K1540" t="str">
            <v>Celtis</v>
          </cell>
          <cell r="L1540" t="str">
            <v>celtis_iguanea</v>
          </cell>
          <cell r="O1540" t="str">
            <v>Cannabaceae</v>
          </cell>
          <cell r="P1540" t="str">
            <v>Celtis</v>
          </cell>
          <cell r="Q1540" t="str">
            <v>iguanaea</v>
          </cell>
          <cell r="R1540" t="str">
            <v>Celtis iguanaea</v>
          </cell>
        </row>
        <row r="1541">
          <cell r="J1541">
            <v>1691</v>
          </cell>
          <cell r="K1541" t="str">
            <v>Con placas</v>
          </cell>
          <cell r="L1541" t="str">
            <v>placas_1672</v>
          </cell>
          <cell r="O1541" t="str">
            <v>Euphorbiaceae</v>
          </cell>
          <cell r="P1541" t="str">
            <v>0_cf. Omphalea</v>
          </cell>
          <cell r="R1541" t="str">
            <v xml:space="preserve">0_cf. Omphalea </v>
          </cell>
        </row>
        <row r="1542">
          <cell r="J1542">
            <v>1692</v>
          </cell>
          <cell r="L1542" t="str">
            <v>Urera_1687</v>
          </cell>
          <cell r="M1542" t="str">
            <v xml:space="preserve"> =1687</v>
          </cell>
          <cell r="O1542" t="str">
            <v>0_Urticaceae??</v>
          </cell>
          <cell r="R1542" t="str">
            <v xml:space="preserve"> </v>
          </cell>
        </row>
        <row r="1543">
          <cell r="J1543">
            <v>1697</v>
          </cell>
          <cell r="K1543" t="str">
            <v>Mikania tallo blanco</v>
          </cell>
          <cell r="L1543" t="str">
            <v>Mikania tallo blanco</v>
          </cell>
          <cell r="O1543" t="str">
            <v>Asteraceae</v>
          </cell>
          <cell r="R1543" t="str">
            <v xml:space="preserve"> </v>
          </cell>
        </row>
        <row r="1544">
          <cell r="J1544">
            <v>1698</v>
          </cell>
          <cell r="K1544" t="str">
            <v>Piper</v>
          </cell>
          <cell r="L1544" t="str">
            <v>Manekia_1698</v>
          </cell>
          <cell r="O1544" t="str">
            <v>Piperaceae</v>
          </cell>
          <cell r="P1544" t="str">
            <v>Manekia</v>
          </cell>
          <cell r="Q1544" t="str">
            <v>sydowii</v>
          </cell>
          <cell r="R1544" t="str">
            <v>Manekia sydowii</v>
          </cell>
        </row>
        <row r="1545">
          <cell r="J1545">
            <v>1699</v>
          </cell>
          <cell r="K1545" t="str">
            <v>Piper</v>
          </cell>
          <cell r="L1545" t="str">
            <v>Manekia_1698</v>
          </cell>
          <cell r="O1545" t="str">
            <v>Piperaceae</v>
          </cell>
          <cell r="P1545" t="str">
            <v>Manekia</v>
          </cell>
          <cell r="Q1545" t="str">
            <v>sydowii</v>
          </cell>
          <cell r="R1545" t="str">
            <v>Manekia sydowii</v>
          </cell>
        </row>
        <row r="1546">
          <cell r="J1546">
            <v>1700</v>
          </cell>
          <cell r="K1546" t="str">
            <v>Piper</v>
          </cell>
          <cell r="L1546" t="str">
            <v>Manekia_1698</v>
          </cell>
          <cell r="O1546" t="str">
            <v>Piperaceae</v>
          </cell>
          <cell r="P1546" t="str">
            <v>Manekia</v>
          </cell>
          <cell r="Q1546" t="str">
            <v>sydowii</v>
          </cell>
          <cell r="R1546" t="str">
            <v>Manekia sydowii</v>
          </cell>
        </row>
        <row r="1547">
          <cell r="J1547">
            <v>1701</v>
          </cell>
          <cell r="K1547" t="str">
            <v>Hojas pequenas como compuesta</v>
          </cell>
          <cell r="L1547" t="str">
            <v>Forsteronia_1661</v>
          </cell>
          <cell r="M1547" t="str">
            <v xml:space="preserve"> =1661, =1701</v>
          </cell>
          <cell r="O1547" t="str">
            <v>Apocynaceae</v>
          </cell>
          <cell r="P1547" t="str">
            <v>Forsteronia</v>
          </cell>
          <cell r="R1547" t="str">
            <v xml:space="preserve">Forsteronia </v>
          </cell>
        </row>
        <row r="1548">
          <cell r="J1548">
            <v>1702</v>
          </cell>
          <cell r="K1548" t="str">
            <v>Hojas pequenas como compuesta</v>
          </cell>
          <cell r="L1548" t="str">
            <v>Forsteronia_1661</v>
          </cell>
          <cell r="M1548" t="str">
            <v xml:space="preserve"> =1661</v>
          </cell>
          <cell r="O1548" t="str">
            <v>Apocynaceae</v>
          </cell>
          <cell r="P1548" t="str">
            <v>Forsteronia</v>
          </cell>
          <cell r="R1548" t="str">
            <v xml:space="preserve">Forsteronia </v>
          </cell>
        </row>
        <row r="1549">
          <cell r="J1549">
            <v>1703</v>
          </cell>
          <cell r="K1549" t="str">
            <v>Hojas pequenas como compuesta</v>
          </cell>
          <cell r="L1549" t="str">
            <v>Forsteronia_1661</v>
          </cell>
          <cell r="M1549" t="str">
            <v xml:space="preserve"> =1661</v>
          </cell>
          <cell r="O1549" t="str">
            <v>Apocynaceae</v>
          </cell>
          <cell r="P1549" t="str">
            <v>Forsteronia</v>
          </cell>
          <cell r="R1549" t="str">
            <v xml:space="preserve">Forsteronia </v>
          </cell>
        </row>
        <row r="1550">
          <cell r="J1550">
            <v>1704</v>
          </cell>
          <cell r="K1550" t="str">
            <v>Hojas pequenas como compuesta</v>
          </cell>
          <cell r="L1550" t="str">
            <v>Forsteronia_1661</v>
          </cell>
          <cell r="M1550" t="str">
            <v xml:space="preserve"> =1661</v>
          </cell>
          <cell r="O1550" t="str">
            <v>Apocynaceae</v>
          </cell>
          <cell r="P1550" t="str">
            <v>Forsteronia</v>
          </cell>
          <cell r="R1550" t="str">
            <v xml:space="preserve">Forsteronia </v>
          </cell>
        </row>
        <row r="1551">
          <cell r="J1551">
            <v>1705</v>
          </cell>
          <cell r="K1551" t="str">
            <v>Hojas pequenas como compuesta</v>
          </cell>
          <cell r="L1551" t="str">
            <v>Forsteronia_1661</v>
          </cell>
          <cell r="M1551" t="str">
            <v xml:space="preserve"> =1661</v>
          </cell>
          <cell r="O1551" t="str">
            <v>Apocynaceae</v>
          </cell>
          <cell r="P1551" t="str">
            <v>Forsteronia</v>
          </cell>
          <cell r="R1551" t="str">
            <v xml:space="preserve">Forsteronia </v>
          </cell>
        </row>
        <row r="1552">
          <cell r="J1552">
            <v>1706</v>
          </cell>
          <cell r="K1552" t="str">
            <v>Hojas pequenas como compuesta</v>
          </cell>
          <cell r="L1552" t="str">
            <v>Forsteronia_1661</v>
          </cell>
          <cell r="M1552" t="str">
            <v xml:space="preserve"> =1661</v>
          </cell>
          <cell r="O1552" t="str">
            <v>Apocynaceae</v>
          </cell>
          <cell r="P1552" t="str">
            <v>Forsteronia</v>
          </cell>
          <cell r="R1552" t="str">
            <v xml:space="preserve">Forsteronia </v>
          </cell>
        </row>
        <row r="1553">
          <cell r="J1553">
            <v>1707</v>
          </cell>
          <cell r="K1553" t="str">
            <v>Hojas pequenas como compuesta</v>
          </cell>
          <cell r="L1553" t="str">
            <v>Forsteronia_1661</v>
          </cell>
          <cell r="M1553" t="str">
            <v xml:space="preserve"> =1661</v>
          </cell>
          <cell r="O1553" t="str">
            <v>Apocynaceae</v>
          </cell>
          <cell r="P1553" t="str">
            <v>Forsteronia</v>
          </cell>
          <cell r="R1553" t="str">
            <v xml:space="preserve">Forsteronia </v>
          </cell>
        </row>
        <row r="1554">
          <cell r="J1554">
            <v>1708</v>
          </cell>
          <cell r="K1554" t="str">
            <v>Piper</v>
          </cell>
          <cell r="L1554" t="str">
            <v>Manekia_1698</v>
          </cell>
          <cell r="O1554" t="str">
            <v>Piperaceae</v>
          </cell>
          <cell r="P1554" t="str">
            <v>Manekia</v>
          </cell>
          <cell r="Q1554" t="str">
            <v>sydowii</v>
          </cell>
          <cell r="R1554" t="str">
            <v>Manekia sydowii</v>
          </cell>
        </row>
        <row r="1555">
          <cell r="J1555">
            <v>1709</v>
          </cell>
          <cell r="K1555" t="str">
            <v>Piper</v>
          </cell>
          <cell r="L1555" t="str">
            <v>Manekia_1698</v>
          </cell>
          <cell r="O1555" t="str">
            <v>Piperaceae</v>
          </cell>
          <cell r="P1555" t="str">
            <v>Manekia</v>
          </cell>
          <cell r="Q1555" t="str">
            <v>sydowii</v>
          </cell>
          <cell r="R1555" t="str">
            <v>Manekia sydowii</v>
          </cell>
        </row>
        <row r="1556">
          <cell r="J1556">
            <v>1710</v>
          </cell>
          <cell r="L1556" t="str">
            <v>Big_1710</v>
          </cell>
          <cell r="M1556" t="str">
            <v xml:space="preserve"> =1710</v>
          </cell>
          <cell r="O1556" t="str">
            <v>Bignoniaceae</v>
          </cell>
          <cell r="R1556" t="str">
            <v xml:space="preserve"> </v>
          </cell>
        </row>
        <row r="1557">
          <cell r="J1557">
            <v>1711</v>
          </cell>
          <cell r="K1557" t="str">
            <v>Hojas pequenas como compuesta</v>
          </cell>
          <cell r="L1557" t="str">
            <v>Forsteronia_1661</v>
          </cell>
          <cell r="M1557" t="str">
            <v xml:space="preserve"> =1661, =1701</v>
          </cell>
          <cell r="O1557" t="str">
            <v>Apocynaceae</v>
          </cell>
          <cell r="P1557" t="str">
            <v>Forsteronia</v>
          </cell>
          <cell r="R1557" t="str">
            <v xml:space="preserve">Forsteronia </v>
          </cell>
        </row>
        <row r="1558">
          <cell r="J1558">
            <v>1712</v>
          </cell>
          <cell r="K1558" t="str">
            <v>Paulinia sin latex</v>
          </cell>
          <cell r="L1558" t="str">
            <v>Paullinia sin latex</v>
          </cell>
          <cell r="O1558" t="str">
            <v>Sapindaceae</v>
          </cell>
          <cell r="P1558" t="str">
            <v>Paullinia</v>
          </cell>
          <cell r="R1558" t="str">
            <v xml:space="preserve">Paullinia </v>
          </cell>
        </row>
        <row r="1559">
          <cell r="J1559">
            <v>1713</v>
          </cell>
          <cell r="K1559" t="str">
            <v>corteza blanca, H.O.</v>
          </cell>
          <cell r="L1559" t="str">
            <v>Laubertia_1713</v>
          </cell>
          <cell r="O1559" t="str">
            <v>Apocynaceae</v>
          </cell>
          <cell r="P1559" t="str">
            <v>Laubertia</v>
          </cell>
          <cell r="Q1559" t="str">
            <v xml:space="preserve">aff. boissieri </v>
          </cell>
          <cell r="R1559" t="str">
            <v xml:space="preserve">Laubertia aff. boissieri </v>
          </cell>
        </row>
        <row r="1560">
          <cell r="J1560">
            <v>1714</v>
          </cell>
          <cell r="K1560" t="str">
            <v>Malp. Bunchosia</v>
          </cell>
          <cell r="L1560" t="str">
            <v>Malp_Bunchosia</v>
          </cell>
          <cell r="M1560" t="str">
            <v xml:space="preserve"> =1660</v>
          </cell>
          <cell r="O1560" t="str">
            <v>Malpighiaceae</v>
          </cell>
          <cell r="P1560" t="str">
            <v>Hiraea</v>
          </cell>
          <cell r="Q1560" t="str">
            <v>cf. crassipes</v>
          </cell>
          <cell r="R1560" t="str">
            <v>Hiraea cf. crassipes</v>
          </cell>
        </row>
        <row r="1561">
          <cell r="J1561">
            <v>1715</v>
          </cell>
          <cell r="L1561" t="str">
            <v>mucilago_cicatrices_longitudinales_cuadrados_corteza_cuando_seca_cal</v>
          </cell>
          <cell r="R1561" t="str">
            <v xml:space="preserve"> </v>
          </cell>
        </row>
        <row r="1562">
          <cell r="J1562">
            <v>1716</v>
          </cell>
          <cell r="K1562" t="str">
            <v>malp. Bunchosia?</v>
          </cell>
          <cell r="L1562" t="str">
            <v>malp. Bunchosia?</v>
          </cell>
          <cell r="O1562" t="str">
            <v>Malpighiaceae</v>
          </cell>
          <cell r="R1562" t="str">
            <v xml:space="preserve"> </v>
          </cell>
        </row>
        <row r="1563">
          <cell r="J1563">
            <v>1717</v>
          </cell>
          <cell r="K1563" t="str">
            <v>malp. Bunchosia</v>
          </cell>
          <cell r="L1563" t="str">
            <v>Malp_Bunchosia</v>
          </cell>
          <cell r="M1563" t="str">
            <v xml:space="preserve"> =1660</v>
          </cell>
          <cell r="O1563" t="str">
            <v>Malpighiaceae</v>
          </cell>
          <cell r="P1563" t="str">
            <v>Hiraea</v>
          </cell>
          <cell r="Q1563" t="str">
            <v>cf. crassipes</v>
          </cell>
          <cell r="R1563" t="str">
            <v>Hiraea cf. crassipes</v>
          </cell>
        </row>
        <row r="1564">
          <cell r="J1564">
            <v>1718</v>
          </cell>
          <cell r="K1564" t="str">
            <v>Tallo negro/corteza blanco hueso</v>
          </cell>
          <cell r="L1564" t="str">
            <v>indet_1718_blanco_hueso</v>
          </cell>
          <cell r="M1564" t="str">
            <v xml:space="preserve"> =1718</v>
          </cell>
          <cell r="O1564" t="str">
            <v>0_cf. Bignoniaceae</v>
          </cell>
          <cell r="R1564" t="str">
            <v xml:space="preserve"> </v>
          </cell>
        </row>
        <row r="1565">
          <cell r="J1565">
            <v>1719</v>
          </cell>
          <cell r="K1565" t="str">
            <v>Tallo negro/corteza blanco hueso</v>
          </cell>
          <cell r="L1565" t="str">
            <v>indet_1718_blanco_hueso</v>
          </cell>
          <cell r="M1565" t="str">
            <v xml:space="preserve"> =1718</v>
          </cell>
          <cell r="O1565" t="str">
            <v>0_cf. Bignoniaceae</v>
          </cell>
          <cell r="R1565" t="str">
            <v xml:space="preserve"> </v>
          </cell>
        </row>
        <row r="1566">
          <cell r="J1566">
            <v>1720</v>
          </cell>
          <cell r="K1566" t="str">
            <v>Piper</v>
          </cell>
          <cell r="L1566" t="str">
            <v>Manekia_1698</v>
          </cell>
          <cell r="O1566" t="str">
            <v>Piperaceae</v>
          </cell>
          <cell r="P1566" t="str">
            <v>Manekia</v>
          </cell>
          <cell r="Q1566" t="str">
            <v>sydowii</v>
          </cell>
          <cell r="R1566" t="str">
            <v>Manekia sydowii</v>
          </cell>
        </row>
        <row r="1567">
          <cell r="J1567">
            <v>1721</v>
          </cell>
          <cell r="K1567" t="str">
            <v>Asteraceae??</v>
          </cell>
          <cell r="L1567" t="str">
            <v>Asteraceae??</v>
          </cell>
          <cell r="O1567" t="str">
            <v>Asteraceae</v>
          </cell>
          <cell r="R1567" t="str">
            <v xml:space="preserve"> </v>
          </cell>
        </row>
        <row r="1568">
          <cell r="J1568">
            <v>1722</v>
          </cell>
          <cell r="K1568" t="str">
            <v>cf. Celtis</v>
          </cell>
          <cell r="L1568" t="str">
            <v>pupitos_1816</v>
          </cell>
          <cell r="M1568" t="str">
            <v xml:space="preserve"> =1722, =1816</v>
          </cell>
          <cell r="R1568" t="str">
            <v xml:space="preserve"> </v>
          </cell>
        </row>
        <row r="1569">
          <cell r="J1569">
            <v>1723</v>
          </cell>
          <cell r="K1569" t="str">
            <v>Tallo negro/corteza blanco hueso</v>
          </cell>
          <cell r="L1569" t="str">
            <v>indet_1718_blanco_hueso</v>
          </cell>
          <cell r="M1569" t="str">
            <v xml:space="preserve"> =1718</v>
          </cell>
          <cell r="O1569" t="str">
            <v>0_cf. Bignoniaceae</v>
          </cell>
          <cell r="R1569" t="str">
            <v xml:space="preserve"> </v>
          </cell>
        </row>
        <row r="1570">
          <cell r="J1570">
            <v>1724</v>
          </cell>
          <cell r="K1570" t="str">
            <v>cf. Celtis</v>
          </cell>
          <cell r="L1570" t="str">
            <v>pupitos_1816</v>
          </cell>
          <cell r="M1570" t="str">
            <v xml:space="preserve"> =1722, =1816</v>
          </cell>
          <cell r="R1570" t="str">
            <v xml:space="preserve"> </v>
          </cell>
        </row>
        <row r="1571">
          <cell r="J1571">
            <v>1725</v>
          </cell>
          <cell r="K1571" t="str">
            <v>cf. Celtis</v>
          </cell>
          <cell r="L1571" t="str">
            <v>pupitos_1816</v>
          </cell>
          <cell r="M1571" t="str">
            <v xml:space="preserve"> =1722, =1816</v>
          </cell>
          <cell r="R1571" t="str">
            <v xml:space="preserve"> </v>
          </cell>
        </row>
        <row r="1572">
          <cell r="J1572">
            <v>1726</v>
          </cell>
          <cell r="L1572" t="str">
            <v>Tallo_cuadrado_tiene_cuatro_tallos_pegados_Sin_latex_Corteza_roja</v>
          </cell>
          <cell r="R1572" t="str">
            <v xml:space="preserve"> </v>
          </cell>
        </row>
        <row r="1573">
          <cell r="J1573">
            <v>1727</v>
          </cell>
          <cell r="K1573" t="str">
            <v>Con placas</v>
          </cell>
          <cell r="L1573" t="str">
            <v>placas_1672</v>
          </cell>
          <cell r="O1573" t="str">
            <v>Euphorbiaceae</v>
          </cell>
          <cell r="P1573" t="str">
            <v>0_cf. Omphalea</v>
          </cell>
          <cell r="R1573" t="str">
            <v xml:space="preserve">0_cf. Omphalea </v>
          </cell>
        </row>
        <row r="1574">
          <cell r="J1574">
            <v>1728</v>
          </cell>
          <cell r="K1574" t="str">
            <v>Con placas</v>
          </cell>
          <cell r="L1574" t="str">
            <v>placas_1672</v>
          </cell>
          <cell r="O1574" t="str">
            <v>Euphorbiaceae</v>
          </cell>
          <cell r="P1574" t="str">
            <v>0_cf. Omphalea</v>
          </cell>
          <cell r="R1574" t="str">
            <v xml:space="preserve">0_cf. Omphalea </v>
          </cell>
        </row>
        <row r="1575">
          <cell r="J1575">
            <v>1729</v>
          </cell>
          <cell r="K1575" t="str">
            <v>Piper</v>
          </cell>
          <cell r="L1575" t="str">
            <v>Manekia_1698</v>
          </cell>
          <cell r="O1575" t="str">
            <v>Piperaceae</v>
          </cell>
          <cell r="P1575" t="str">
            <v>Manekia</v>
          </cell>
          <cell r="Q1575" t="str">
            <v>sydowii</v>
          </cell>
          <cell r="R1575" t="str">
            <v>Manekia sydowii</v>
          </cell>
        </row>
        <row r="1576">
          <cell r="J1576">
            <v>1730</v>
          </cell>
          <cell r="K1576" t="str">
            <v>Tallo negro/corteza blanco hueso</v>
          </cell>
          <cell r="L1576" t="str">
            <v>indet_1718_blanco_hueso</v>
          </cell>
          <cell r="M1576" t="str">
            <v xml:space="preserve"> =1718</v>
          </cell>
          <cell r="O1576" t="str">
            <v>0_cf. Bignoniaceae</v>
          </cell>
          <cell r="R1576" t="str">
            <v xml:space="preserve"> </v>
          </cell>
        </row>
        <row r="1577">
          <cell r="J1577">
            <v>1731</v>
          </cell>
          <cell r="K1577" t="str">
            <v>con placas??</v>
          </cell>
          <cell r="L1577" t="str">
            <v>con placas</v>
          </cell>
          <cell r="R1577" t="str">
            <v xml:space="preserve"> </v>
          </cell>
        </row>
        <row r="1578">
          <cell r="J1578">
            <v>1732</v>
          </cell>
          <cell r="L1578" t="str">
            <v>peciolo_negro_1732</v>
          </cell>
          <cell r="M1578" t="str">
            <v xml:space="preserve"> =1732</v>
          </cell>
          <cell r="R1578" t="str">
            <v xml:space="preserve"> </v>
          </cell>
        </row>
        <row r="1579">
          <cell r="J1579">
            <v>1733</v>
          </cell>
          <cell r="K1579" t="str">
            <v>malp. Bunchosia</v>
          </cell>
          <cell r="L1579" t="str">
            <v>Malp_Bunchosia</v>
          </cell>
          <cell r="M1579" t="str">
            <v xml:space="preserve"> =1660</v>
          </cell>
          <cell r="O1579" t="str">
            <v>Malpighiaceae</v>
          </cell>
          <cell r="P1579" t="str">
            <v>Hiraea</v>
          </cell>
          <cell r="Q1579" t="str">
            <v>cf. crassipes</v>
          </cell>
          <cell r="R1579" t="str">
            <v>Hiraea cf. crassipes</v>
          </cell>
        </row>
        <row r="1580">
          <cell r="J1580">
            <v>1734</v>
          </cell>
          <cell r="K1580" t="str">
            <v>Tallo negro/corteza blanco hueso</v>
          </cell>
          <cell r="L1580" t="str">
            <v>indet_1718_blanco_hueso</v>
          </cell>
          <cell r="M1580" t="str">
            <v xml:space="preserve"> =1718</v>
          </cell>
          <cell r="O1580" t="str">
            <v>0_cf. Bignoniaceae</v>
          </cell>
          <cell r="R1580" t="str">
            <v xml:space="preserve"> </v>
          </cell>
        </row>
        <row r="1581">
          <cell r="J1581">
            <v>1735</v>
          </cell>
          <cell r="K1581" t="str">
            <v>malp. Bunchosia</v>
          </cell>
          <cell r="L1581" t="str">
            <v>Malp_Bunchosia</v>
          </cell>
          <cell r="M1581" t="str">
            <v xml:space="preserve"> =1660</v>
          </cell>
          <cell r="O1581" t="str">
            <v>Malpighiaceae</v>
          </cell>
          <cell r="P1581" t="str">
            <v>Hiraea</v>
          </cell>
          <cell r="Q1581" t="str">
            <v>cf. crassipes</v>
          </cell>
          <cell r="R1581" t="str">
            <v>Hiraea cf. crassipes</v>
          </cell>
        </row>
        <row r="1582">
          <cell r="J1582">
            <v>1736</v>
          </cell>
          <cell r="L1582" t="str">
            <v>Malp_1736</v>
          </cell>
          <cell r="M1582" t="str">
            <v xml:space="preserve"> =1736</v>
          </cell>
          <cell r="O1582" t="str">
            <v>0_cf. Malpigiaceae</v>
          </cell>
          <cell r="R1582" t="str">
            <v xml:space="preserve"> </v>
          </cell>
        </row>
        <row r="1583">
          <cell r="J1583">
            <v>1737</v>
          </cell>
          <cell r="L1583" t="str">
            <v>Malp_1736</v>
          </cell>
          <cell r="M1583" t="str">
            <v xml:space="preserve"> =1736</v>
          </cell>
          <cell r="O1583" t="str">
            <v>0_cf. Malpigiaceae</v>
          </cell>
          <cell r="R1583" t="str">
            <v xml:space="preserve"> </v>
          </cell>
        </row>
        <row r="1584">
          <cell r="J1584">
            <v>1738</v>
          </cell>
          <cell r="K1584" t="str">
            <v>Paulinia sin latex</v>
          </cell>
          <cell r="L1584" t="str">
            <v>Paullinia sin latex</v>
          </cell>
          <cell r="O1584" t="str">
            <v>Sapindaceae</v>
          </cell>
          <cell r="P1584" t="str">
            <v>Paullinia</v>
          </cell>
          <cell r="R1584" t="str">
            <v xml:space="preserve">Paullinia </v>
          </cell>
        </row>
        <row r="1585">
          <cell r="J1585">
            <v>1739</v>
          </cell>
          <cell r="K1585" t="str">
            <v>Tallo_blanco_raicillas_lenti_longitudinales</v>
          </cell>
          <cell r="L1585" t="str">
            <v>indet_1718_blanco_hueso</v>
          </cell>
          <cell r="M1585" t="str">
            <v xml:space="preserve"> =1718, =1739</v>
          </cell>
          <cell r="O1585" t="str">
            <v>0_cf. Bignoniaceae</v>
          </cell>
          <cell r="R1585" t="str">
            <v xml:space="preserve"> </v>
          </cell>
        </row>
        <row r="1586">
          <cell r="J1586">
            <v>1740</v>
          </cell>
          <cell r="L1586" t="str">
            <v>Corteza_corcho_grueso_Sin latex_se oxida a rojo</v>
          </cell>
          <cell r="M1586" t="str">
            <v xml:space="preserve"> =1740</v>
          </cell>
          <cell r="O1586" t="str">
            <v>Phytolaccaceae</v>
          </cell>
          <cell r="P1586" t="str">
            <v>Trichostigma</v>
          </cell>
          <cell r="R1586" t="str">
            <v xml:space="preserve">Trichostigma </v>
          </cell>
        </row>
        <row r="1587">
          <cell r="J1587">
            <v>1741</v>
          </cell>
          <cell r="K1587" t="str">
            <v>fabaceae gigante</v>
          </cell>
          <cell r="L1587" t="str">
            <v>fabaceae_gigante</v>
          </cell>
          <cell r="M1587" t="str">
            <v xml:space="preserve"> =1741</v>
          </cell>
          <cell r="O1587" t="str">
            <v>Fabaceae</v>
          </cell>
          <cell r="R1587" t="str">
            <v xml:space="preserve"> </v>
          </cell>
        </row>
        <row r="1588">
          <cell r="J1588">
            <v>1742</v>
          </cell>
          <cell r="L1588" t="str">
            <v>Corteza_corcho_grueso_Sin latex_se oxida a rojo</v>
          </cell>
          <cell r="M1588" t="str">
            <v xml:space="preserve"> =1740</v>
          </cell>
          <cell r="O1588" t="str">
            <v>Phytolaccaceae</v>
          </cell>
          <cell r="P1588" t="str">
            <v>Trichostigma</v>
          </cell>
          <cell r="R1588" t="str">
            <v xml:space="preserve">Trichostigma </v>
          </cell>
        </row>
        <row r="1589">
          <cell r="J1589">
            <v>1743</v>
          </cell>
          <cell r="K1589" t="str">
            <v>con placas</v>
          </cell>
          <cell r="L1589" t="str">
            <v>placas_1672</v>
          </cell>
          <cell r="O1589" t="str">
            <v>Euphorbiaceae</v>
          </cell>
          <cell r="P1589" t="str">
            <v>0_cf. Omphalea</v>
          </cell>
          <cell r="R1589" t="str">
            <v xml:space="preserve">0_cf. Omphalea </v>
          </cell>
        </row>
        <row r="1590">
          <cell r="J1590">
            <v>1744</v>
          </cell>
          <cell r="K1590" t="str">
            <v>con placas</v>
          </cell>
          <cell r="L1590" t="str">
            <v>placas_1672</v>
          </cell>
          <cell r="O1590" t="str">
            <v>Euphorbiaceae</v>
          </cell>
          <cell r="P1590" t="str">
            <v>0_cf. Omphalea</v>
          </cell>
          <cell r="R1590" t="str">
            <v xml:space="preserve">0_cf. Omphalea </v>
          </cell>
        </row>
        <row r="1591">
          <cell r="J1591">
            <v>1745</v>
          </cell>
          <cell r="L1591" t="str">
            <v>Corteza_corcho_grueso_Sin latex_se oxida a rojo</v>
          </cell>
          <cell r="M1591" t="str">
            <v xml:space="preserve"> =1740</v>
          </cell>
          <cell r="O1591" t="str">
            <v>Phytolaccaceae</v>
          </cell>
          <cell r="P1591" t="str">
            <v>Trichostigma</v>
          </cell>
          <cell r="R1591" t="str">
            <v xml:space="preserve">Trichostigma </v>
          </cell>
        </row>
        <row r="1592">
          <cell r="J1592">
            <v>1746</v>
          </cell>
          <cell r="L1592" t="str">
            <v>Corteza_corcho_grueso_Sin latex_se oxida a rojo</v>
          </cell>
          <cell r="M1592" t="str">
            <v xml:space="preserve"> =1740</v>
          </cell>
          <cell r="O1592" t="str">
            <v>Phytolaccaceae</v>
          </cell>
          <cell r="P1592" t="str">
            <v>Trichostigma</v>
          </cell>
          <cell r="R1592" t="str">
            <v xml:space="preserve">Trichostigma </v>
          </cell>
        </row>
        <row r="1593">
          <cell r="J1593">
            <v>1747</v>
          </cell>
          <cell r="K1593" t="str">
            <v>Tallo_blanco_raicillas_lenti_longitudinales</v>
          </cell>
          <cell r="L1593" t="str">
            <v>indet_1718_blanco_hueso</v>
          </cell>
          <cell r="M1593" t="str">
            <v xml:space="preserve"> =1718, =1739</v>
          </cell>
          <cell r="O1593" t="str">
            <v>0_cf. Bignoniaceae</v>
          </cell>
          <cell r="R1593" t="str">
            <v xml:space="preserve"> </v>
          </cell>
        </row>
        <row r="1594">
          <cell r="J1594">
            <v>1748</v>
          </cell>
          <cell r="K1594" t="str">
            <v>Tallo_blanco_raicillas_lenti_longitudinales</v>
          </cell>
          <cell r="L1594" t="str">
            <v>indet_1718_blanco_hueso</v>
          </cell>
          <cell r="M1594" t="str">
            <v xml:space="preserve"> =1718, =1739</v>
          </cell>
          <cell r="O1594" t="str">
            <v>0_cf. Bignoniaceae</v>
          </cell>
          <cell r="R1594" t="str">
            <v xml:space="preserve"> </v>
          </cell>
        </row>
        <row r="1595">
          <cell r="J1595">
            <v>1749</v>
          </cell>
          <cell r="L1595" t="str">
            <v>fabaceae_gigante</v>
          </cell>
          <cell r="M1595" t="str">
            <v xml:space="preserve"> =1741</v>
          </cell>
          <cell r="O1595" t="str">
            <v>Fabaceae</v>
          </cell>
          <cell r="R1595" t="str">
            <v xml:space="preserve"> </v>
          </cell>
        </row>
        <row r="1596">
          <cell r="J1596">
            <v>1750</v>
          </cell>
          <cell r="K1596" t="str">
            <v>Hojas pequenas como compuesta</v>
          </cell>
          <cell r="L1596" t="str">
            <v>Forsteronia_1661</v>
          </cell>
          <cell r="M1596" t="str">
            <v xml:space="preserve"> =1661</v>
          </cell>
          <cell r="O1596" t="str">
            <v>Apocynaceae</v>
          </cell>
          <cell r="P1596" t="str">
            <v>Forsteronia</v>
          </cell>
          <cell r="R1596" t="str">
            <v xml:space="preserve">Forsteronia </v>
          </cell>
        </row>
        <row r="1597">
          <cell r="J1597">
            <v>1751</v>
          </cell>
          <cell r="K1597" t="str">
            <v>Piper</v>
          </cell>
          <cell r="L1597" t="str">
            <v>Manekia_1698</v>
          </cell>
          <cell r="O1597" t="str">
            <v>Piperaceae</v>
          </cell>
          <cell r="P1597" t="str">
            <v>Manekia</v>
          </cell>
          <cell r="Q1597" t="str">
            <v>sydowii</v>
          </cell>
          <cell r="R1597" t="str">
            <v>Manekia sydowii</v>
          </cell>
        </row>
        <row r="1598">
          <cell r="J1598">
            <v>1752</v>
          </cell>
          <cell r="K1598" t="str">
            <v>Paulinia con latex</v>
          </cell>
          <cell r="L1598" t="str">
            <v>Paulinia con latex</v>
          </cell>
          <cell r="O1598" t="str">
            <v>Sapindaceae</v>
          </cell>
          <cell r="P1598" t="str">
            <v>Paullinia</v>
          </cell>
          <cell r="R1598" t="str">
            <v xml:space="preserve">Paullinia </v>
          </cell>
        </row>
        <row r="1599">
          <cell r="J1599">
            <v>1753</v>
          </cell>
          <cell r="K1599" t="str">
            <v>Fabaceae</v>
          </cell>
          <cell r="L1599" t="str">
            <v>fabaceae_gigante</v>
          </cell>
          <cell r="M1599" t="str">
            <v xml:space="preserve"> =1741</v>
          </cell>
          <cell r="O1599" t="str">
            <v>Fabaceae</v>
          </cell>
          <cell r="R1599" t="str">
            <v xml:space="preserve"> </v>
          </cell>
        </row>
        <row r="1600">
          <cell r="J1600">
            <v>1754</v>
          </cell>
          <cell r="K1600" t="str">
            <v>Mikania café y lisa</v>
          </cell>
          <cell r="L1600" t="str">
            <v>Mikania café y lisa</v>
          </cell>
          <cell r="O1600" t="str">
            <v>Asteraceae</v>
          </cell>
          <cell r="R1600" t="str">
            <v xml:space="preserve"> </v>
          </cell>
        </row>
        <row r="1601">
          <cell r="J1601">
            <v>1755</v>
          </cell>
          <cell r="K1601" t="str">
            <v>Bignoniaceae</v>
          </cell>
          <cell r="L1601" t="str">
            <v>Bignoniaceae</v>
          </cell>
          <cell r="O1601" t="str">
            <v>Bignoniaceae</v>
          </cell>
          <cell r="R1601" t="str">
            <v xml:space="preserve"> </v>
          </cell>
        </row>
        <row r="1602">
          <cell r="J1602">
            <v>1756</v>
          </cell>
          <cell r="L1602" t="str">
            <v>hexagonal_1758</v>
          </cell>
          <cell r="M1602" t="str">
            <v xml:space="preserve"> =1756, =1821</v>
          </cell>
          <cell r="O1602" t="str">
            <v>Rhamnaceae</v>
          </cell>
          <cell r="P1602" t="str">
            <v>Gouania</v>
          </cell>
          <cell r="R1602" t="str">
            <v xml:space="preserve">Gouania </v>
          </cell>
        </row>
        <row r="1603">
          <cell r="J1603">
            <v>1757</v>
          </cell>
          <cell r="K1603" t="str">
            <v>Hojas pequenas como compuesta</v>
          </cell>
          <cell r="L1603" t="str">
            <v>Forsteronia_1661</v>
          </cell>
          <cell r="M1603" t="str">
            <v xml:space="preserve"> =1661</v>
          </cell>
          <cell r="O1603" t="str">
            <v>Apocynaceae</v>
          </cell>
          <cell r="P1603" t="str">
            <v>Forsteronia</v>
          </cell>
          <cell r="R1603" t="str">
            <v xml:space="preserve">Forsteronia </v>
          </cell>
        </row>
        <row r="1604">
          <cell r="J1604">
            <v>1758</v>
          </cell>
          <cell r="K1604" t="str">
            <v>Marcgraviaceae</v>
          </cell>
          <cell r="L1604" t="str">
            <v>Marcgraviaceae</v>
          </cell>
          <cell r="M1604" t="str">
            <v xml:space="preserve"> =1758, =1845</v>
          </cell>
          <cell r="O1604" t="str">
            <v>Marcgraviaceae</v>
          </cell>
          <cell r="R1604" t="str">
            <v xml:space="preserve"> </v>
          </cell>
        </row>
        <row r="1605">
          <cell r="J1605">
            <v>1759</v>
          </cell>
          <cell r="K1605" t="str">
            <v>Piper</v>
          </cell>
          <cell r="L1605" t="str">
            <v>Manekia_1698</v>
          </cell>
          <cell r="O1605" t="str">
            <v>Piperaceae</v>
          </cell>
          <cell r="P1605" t="str">
            <v>Manekia</v>
          </cell>
          <cell r="Q1605" t="str">
            <v>sydowii</v>
          </cell>
          <cell r="R1605" t="str">
            <v>Manekia sydowii</v>
          </cell>
        </row>
        <row r="1606">
          <cell r="J1606">
            <v>1760</v>
          </cell>
          <cell r="K1606" t="str">
            <v>Piper</v>
          </cell>
          <cell r="L1606" t="str">
            <v>Manekia_1698</v>
          </cell>
          <cell r="O1606" t="str">
            <v>Piperaceae</v>
          </cell>
          <cell r="P1606" t="str">
            <v>Manekia</v>
          </cell>
          <cell r="Q1606" t="str">
            <v>sydowii</v>
          </cell>
          <cell r="R1606" t="str">
            <v>Manekia sydowii</v>
          </cell>
        </row>
        <row r="1607">
          <cell r="J1607">
            <v>1761</v>
          </cell>
          <cell r="K1607" t="str">
            <v>malp. Bunchosia</v>
          </cell>
          <cell r="L1607" t="str">
            <v>Malp_Bunchosia</v>
          </cell>
          <cell r="M1607" t="str">
            <v xml:space="preserve"> =1660</v>
          </cell>
          <cell r="O1607" t="str">
            <v>Malpighiaceae</v>
          </cell>
          <cell r="P1607" t="str">
            <v>Hiraea</v>
          </cell>
          <cell r="Q1607" t="str">
            <v>cf. crassipes</v>
          </cell>
          <cell r="R1607" t="str">
            <v>Hiraea cf. crassipes</v>
          </cell>
        </row>
        <row r="1608">
          <cell r="J1608">
            <v>1762</v>
          </cell>
          <cell r="K1608" t="str">
            <v>Piper</v>
          </cell>
          <cell r="L1608" t="str">
            <v>Manekia_1698</v>
          </cell>
          <cell r="O1608" t="str">
            <v>Piperaceae</v>
          </cell>
          <cell r="P1608" t="str">
            <v>Manekia</v>
          </cell>
          <cell r="Q1608" t="str">
            <v>sydowii</v>
          </cell>
          <cell r="R1608" t="str">
            <v>Manekia sydowii</v>
          </cell>
        </row>
        <row r="1609">
          <cell r="J1609">
            <v>1763</v>
          </cell>
          <cell r="K1609" t="str">
            <v>Piper</v>
          </cell>
          <cell r="L1609" t="str">
            <v>Manekia_1698</v>
          </cell>
          <cell r="O1609" t="str">
            <v>Piperaceae</v>
          </cell>
          <cell r="P1609" t="str">
            <v>Manekia</v>
          </cell>
          <cell r="Q1609" t="str">
            <v>sydowii</v>
          </cell>
          <cell r="R1609" t="str">
            <v>Manekia sydowii</v>
          </cell>
        </row>
        <row r="1610">
          <cell r="J1610">
            <v>1764</v>
          </cell>
          <cell r="K1610" t="str">
            <v>corteza rara</v>
          </cell>
          <cell r="L1610" t="str">
            <v>corteza rara</v>
          </cell>
          <cell r="R1610" t="str">
            <v xml:space="preserve"> </v>
          </cell>
        </row>
        <row r="1611">
          <cell r="J1611">
            <v>1765</v>
          </cell>
          <cell r="K1611" t="str">
            <v>Celtis</v>
          </cell>
          <cell r="L1611" t="str">
            <v>celtis_iguanea</v>
          </cell>
          <cell r="O1611" t="str">
            <v>Cannabaceae</v>
          </cell>
          <cell r="P1611" t="str">
            <v>Celtis</v>
          </cell>
          <cell r="Q1611" t="str">
            <v>iguanaea</v>
          </cell>
          <cell r="R1611" t="str">
            <v>Celtis iguanaea</v>
          </cell>
        </row>
        <row r="1612">
          <cell r="J1612">
            <v>1766</v>
          </cell>
          <cell r="K1612" t="str">
            <v>Bauhinia</v>
          </cell>
          <cell r="L1612" t="str">
            <v>Bauhinia</v>
          </cell>
          <cell r="O1612" t="str">
            <v>Fabaceae</v>
          </cell>
          <cell r="P1612" t="str">
            <v>Bauhinia</v>
          </cell>
          <cell r="R1612" t="str">
            <v xml:space="preserve">Bauhinia </v>
          </cell>
        </row>
        <row r="1613">
          <cell r="J1613">
            <v>1767</v>
          </cell>
          <cell r="K1613" t="str">
            <v>roja</v>
          </cell>
          <cell r="L1613" t="str">
            <v>roja</v>
          </cell>
          <cell r="M1613" t="str">
            <v xml:space="preserve"> =1796</v>
          </cell>
          <cell r="O1613" t="str">
            <v>Fabaceae</v>
          </cell>
          <cell r="P1613" t="str">
            <v>Swartsia/Machaerium</v>
          </cell>
          <cell r="R1613" t="str">
            <v xml:space="preserve">Swartsia/Machaerium </v>
          </cell>
        </row>
        <row r="1614">
          <cell r="J1614">
            <v>1768</v>
          </cell>
          <cell r="K1614" t="str">
            <v>fabaceae gigante</v>
          </cell>
          <cell r="L1614" t="str">
            <v>fabaceae_gigante</v>
          </cell>
          <cell r="M1614" t="str">
            <v xml:space="preserve"> =1741</v>
          </cell>
          <cell r="O1614" t="str">
            <v>Fabaceae</v>
          </cell>
          <cell r="R1614" t="str">
            <v xml:space="preserve"> </v>
          </cell>
        </row>
        <row r="1615">
          <cell r="J1615">
            <v>1769</v>
          </cell>
          <cell r="K1615" t="str">
            <v>Bignoniaceae corteza exfoliante</v>
          </cell>
          <cell r="L1615" t="str">
            <v>Bignoniaceae_corteza_exfoliante</v>
          </cell>
          <cell r="O1615" t="str">
            <v>Bignoniaceae</v>
          </cell>
          <cell r="R1615" t="str">
            <v xml:space="preserve"> </v>
          </cell>
        </row>
        <row r="1616">
          <cell r="J1616">
            <v>1770</v>
          </cell>
          <cell r="K1616" t="str">
            <v>roja</v>
          </cell>
          <cell r="L1616" t="str">
            <v>roja</v>
          </cell>
          <cell r="M1616" t="str">
            <v xml:space="preserve"> =1796</v>
          </cell>
          <cell r="O1616" t="str">
            <v>Fabaceae</v>
          </cell>
          <cell r="P1616" t="str">
            <v>Swartsia/Machaerium</v>
          </cell>
          <cell r="R1616" t="str">
            <v xml:space="preserve">Swartsia/Machaerium </v>
          </cell>
        </row>
        <row r="1617">
          <cell r="J1617">
            <v>1771</v>
          </cell>
          <cell r="K1617" t="str">
            <v>roja</v>
          </cell>
          <cell r="L1617" t="str">
            <v>roja</v>
          </cell>
          <cell r="M1617" t="str">
            <v xml:space="preserve"> =1796</v>
          </cell>
          <cell r="O1617" t="str">
            <v>Fabaceae</v>
          </cell>
          <cell r="P1617" t="str">
            <v>Swartsia/Machaerium</v>
          </cell>
          <cell r="R1617" t="str">
            <v xml:space="preserve">Swartsia/Machaerium </v>
          </cell>
        </row>
        <row r="1618">
          <cell r="J1618">
            <v>1772</v>
          </cell>
          <cell r="K1618" t="str">
            <v>roja</v>
          </cell>
          <cell r="L1618" t="str">
            <v>roja</v>
          </cell>
          <cell r="M1618" t="str">
            <v xml:space="preserve"> =1796</v>
          </cell>
          <cell r="O1618" t="str">
            <v>Fabaceae</v>
          </cell>
          <cell r="P1618" t="str">
            <v>Swartsia/Machaerium</v>
          </cell>
          <cell r="R1618" t="str">
            <v xml:space="preserve">Swartsia/Machaerium </v>
          </cell>
        </row>
        <row r="1619">
          <cell r="J1619">
            <v>1773</v>
          </cell>
          <cell r="K1619" t="str">
            <v>roja</v>
          </cell>
          <cell r="L1619" t="str">
            <v>roja</v>
          </cell>
          <cell r="M1619" t="str">
            <v xml:space="preserve"> =1796</v>
          </cell>
          <cell r="O1619" t="str">
            <v>Fabaceae</v>
          </cell>
          <cell r="P1619" t="str">
            <v>Swartsia/Machaerium</v>
          </cell>
          <cell r="R1619" t="str">
            <v xml:space="preserve">Swartsia/Machaerium </v>
          </cell>
        </row>
        <row r="1620">
          <cell r="J1620">
            <v>1774</v>
          </cell>
          <cell r="K1620" t="str">
            <v>Piper</v>
          </cell>
          <cell r="L1620" t="str">
            <v>Manekia_1698</v>
          </cell>
          <cell r="O1620" t="str">
            <v>Piperaceae</v>
          </cell>
          <cell r="P1620" t="str">
            <v>Manekia</v>
          </cell>
          <cell r="Q1620" t="str">
            <v>sydowii</v>
          </cell>
          <cell r="R1620" t="str">
            <v>Manekia sydowii</v>
          </cell>
        </row>
        <row r="1621">
          <cell r="J1621">
            <v>1775</v>
          </cell>
          <cell r="K1621" t="str">
            <v>Piper</v>
          </cell>
          <cell r="L1621" t="str">
            <v>Manekia_1698</v>
          </cell>
          <cell r="O1621" t="str">
            <v>Piperaceae</v>
          </cell>
          <cell r="P1621" t="str">
            <v>Manekia</v>
          </cell>
          <cell r="Q1621" t="str">
            <v>sydowii</v>
          </cell>
          <cell r="R1621" t="str">
            <v>Manekia sydowii</v>
          </cell>
        </row>
        <row r="1622">
          <cell r="J1622">
            <v>1776</v>
          </cell>
          <cell r="K1622" t="str">
            <v>roja</v>
          </cell>
          <cell r="L1622" t="str">
            <v>roja</v>
          </cell>
          <cell r="M1622" t="str">
            <v xml:space="preserve"> =1796</v>
          </cell>
          <cell r="O1622" t="str">
            <v>Fabaceae</v>
          </cell>
          <cell r="P1622" t="str">
            <v>Swartsia/Machaerium</v>
          </cell>
          <cell r="R1622" t="str">
            <v xml:space="preserve">Swartsia/Machaerium </v>
          </cell>
        </row>
        <row r="1623">
          <cell r="J1623">
            <v>1777</v>
          </cell>
          <cell r="K1623" t="str">
            <v>Paullinia tallo redondo</v>
          </cell>
          <cell r="L1623" t="str">
            <v>Paullinia tallo redondo</v>
          </cell>
          <cell r="O1623" t="str">
            <v>Sapindaceae</v>
          </cell>
          <cell r="P1623" t="str">
            <v>Paullinia</v>
          </cell>
          <cell r="R1623" t="str">
            <v xml:space="preserve">Paullinia </v>
          </cell>
        </row>
        <row r="1624">
          <cell r="J1624">
            <v>1778</v>
          </cell>
          <cell r="K1624" t="str">
            <v>Paullinia triangulo</v>
          </cell>
          <cell r="L1624" t="str">
            <v>Paullinia triangulo</v>
          </cell>
          <cell r="O1624" t="str">
            <v>Sapindaceae</v>
          </cell>
          <cell r="P1624" t="str">
            <v>Paullinia</v>
          </cell>
          <cell r="R1624" t="str">
            <v xml:space="preserve">Paullinia </v>
          </cell>
        </row>
        <row r="1625">
          <cell r="J1625">
            <v>1779</v>
          </cell>
          <cell r="K1625" t="str">
            <v>roja</v>
          </cell>
          <cell r="L1625" t="str">
            <v>roja</v>
          </cell>
          <cell r="M1625" t="str">
            <v xml:space="preserve"> =1796</v>
          </cell>
          <cell r="O1625" t="str">
            <v>Fabaceae</v>
          </cell>
          <cell r="P1625" t="str">
            <v>Swartsia/Machaerium</v>
          </cell>
          <cell r="R1625" t="str">
            <v xml:space="preserve">Swartsia/Machaerium </v>
          </cell>
        </row>
        <row r="1626">
          <cell r="J1626">
            <v>1780</v>
          </cell>
          <cell r="K1626" t="str">
            <v>roja</v>
          </cell>
          <cell r="L1626" t="str">
            <v>roja</v>
          </cell>
          <cell r="M1626" t="str">
            <v xml:space="preserve"> =1796</v>
          </cell>
          <cell r="O1626" t="str">
            <v>Fabaceae</v>
          </cell>
          <cell r="P1626" t="str">
            <v>Swartsia/Machaerium</v>
          </cell>
          <cell r="R1626" t="str">
            <v xml:space="preserve">Swartsia/Machaerium </v>
          </cell>
        </row>
        <row r="1627">
          <cell r="J1627">
            <v>1781</v>
          </cell>
          <cell r="K1627" t="str">
            <v>roja</v>
          </cell>
          <cell r="L1627" t="str">
            <v>roja</v>
          </cell>
          <cell r="M1627" t="str">
            <v xml:space="preserve"> =1796</v>
          </cell>
          <cell r="O1627" t="str">
            <v>Fabaceae</v>
          </cell>
          <cell r="P1627" t="str">
            <v>Swartsia/Machaerium</v>
          </cell>
          <cell r="R1627" t="str">
            <v xml:space="preserve">Swartsia/Machaerium </v>
          </cell>
        </row>
        <row r="1628">
          <cell r="J1628">
            <v>1782</v>
          </cell>
          <cell r="K1628" t="str">
            <v>bauhinia?</v>
          </cell>
          <cell r="L1628" t="str">
            <v>Bauhinia</v>
          </cell>
          <cell r="O1628" t="str">
            <v>Fabaceae</v>
          </cell>
          <cell r="P1628" t="str">
            <v>Bauhinia</v>
          </cell>
          <cell r="R1628" t="str">
            <v xml:space="preserve">Bauhinia </v>
          </cell>
        </row>
        <row r="1629">
          <cell r="J1629">
            <v>1783</v>
          </cell>
          <cell r="K1629" t="str">
            <v>espinas</v>
          </cell>
          <cell r="L1629" t="str">
            <v>Rubus</v>
          </cell>
          <cell r="O1629" t="str">
            <v>Rosaceae</v>
          </cell>
          <cell r="P1629" t="str">
            <v>Rubus</v>
          </cell>
          <cell r="R1629" t="str">
            <v xml:space="preserve">Rubus </v>
          </cell>
        </row>
        <row r="1630">
          <cell r="J1630">
            <v>1784</v>
          </cell>
          <cell r="K1630" t="str">
            <v>roja</v>
          </cell>
          <cell r="L1630" t="str">
            <v>roja</v>
          </cell>
          <cell r="M1630" t="str">
            <v xml:space="preserve"> =1796</v>
          </cell>
          <cell r="O1630" t="str">
            <v>Fabaceae</v>
          </cell>
          <cell r="P1630" t="str">
            <v>Swartsia/Machaerium</v>
          </cell>
          <cell r="R1630" t="str">
            <v xml:space="preserve">Swartsia/Machaerium </v>
          </cell>
        </row>
        <row r="1631">
          <cell r="J1631">
            <v>1785</v>
          </cell>
          <cell r="K1631" t="str">
            <v>roja</v>
          </cell>
          <cell r="L1631" t="str">
            <v>roja</v>
          </cell>
          <cell r="M1631" t="str">
            <v xml:space="preserve"> =1796</v>
          </cell>
          <cell r="O1631" t="str">
            <v>Fabaceae</v>
          </cell>
          <cell r="P1631" t="str">
            <v>Swartsia/Machaerium</v>
          </cell>
          <cell r="R1631" t="str">
            <v xml:space="preserve">Swartsia/Machaerium </v>
          </cell>
        </row>
        <row r="1632">
          <cell r="J1632">
            <v>1786</v>
          </cell>
          <cell r="K1632" t="str">
            <v>Celtis</v>
          </cell>
          <cell r="L1632" t="str">
            <v>celtis_iguanea</v>
          </cell>
          <cell r="O1632" t="str">
            <v>Cannabaceae</v>
          </cell>
          <cell r="P1632" t="str">
            <v>Celtis</v>
          </cell>
          <cell r="Q1632" t="str">
            <v>iguanaea</v>
          </cell>
          <cell r="R1632" t="str">
            <v>Celtis iguanaea</v>
          </cell>
        </row>
        <row r="1633">
          <cell r="J1633">
            <v>1787</v>
          </cell>
          <cell r="K1633" t="str">
            <v>Piper</v>
          </cell>
          <cell r="L1633" t="str">
            <v>Manekia_1698</v>
          </cell>
          <cell r="O1633" t="str">
            <v>Piperaceae</v>
          </cell>
          <cell r="P1633" t="str">
            <v>Manekia</v>
          </cell>
          <cell r="Q1633" t="str">
            <v>sydowii</v>
          </cell>
          <cell r="R1633" t="str">
            <v>Manekia sydowii</v>
          </cell>
        </row>
        <row r="1634">
          <cell r="J1634">
            <v>1788</v>
          </cell>
          <cell r="K1634" t="str">
            <v>Celtis</v>
          </cell>
          <cell r="L1634" t="str">
            <v>celtis_iguanea</v>
          </cell>
          <cell r="O1634" t="str">
            <v>Cannabaceae</v>
          </cell>
          <cell r="P1634" t="str">
            <v>Celtis</v>
          </cell>
          <cell r="Q1634" t="str">
            <v>iguanaea</v>
          </cell>
          <cell r="R1634" t="str">
            <v>Celtis iguanaea</v>
          </cell>
        </row>
        <row r="1635">
          <cell r="J1635">
            <v>1789</v>
          </cell>
          <cell r="K1635" t="str">
            <v>Celtis</v>
          </cell>
          <cell r="L1635" t="str">
            <v>celtis_iguanea</v>
          </cell>
          <cell r="O1635" t="str">
            <v>Cannabaceae</v>
          </cell>
          <cell r="P1635" t="str">
            <v>Celtis</v>
          </cell>
          <cell r="Q1635" t="str">
            <v>iguanaea</v>
          </cell>
          <cell r="R1635" t="str">
            <v>Celtis iguanaea</v>
          </cell>
        </row>
        <row r="1636">
          <cell r="J1636">
            <v>1790</v>
          </cell>
          <cell r="K1636" t="str">
            <v>Piper</v>
          </cell>
          <cell r="L1636" t="str">
            <v>Manekia_1698</v>
          </cell>
          <cell r="O1636" t="str">
            <v>Piperaceae</v>
          </cell>
          <cell r="P1636" t="str">
            <v>Manekia</v>
          </cell>
          <cell r="Q1636" t="str">
            <v>sydowii</v>
          </cell>
          <cell r="R1636" t="str">
            <v>Manekia sydowii</v>
          </cell>
        </row>
        <row r="1637">
          <cell r="J1637">
            <v>1791</v>
          </cell>
          <cell r="K1637" t="str">
            <v>espinas</v>
          </cell>
          <cell r="L1637" t="str">
            <v>Rubus</v>
          </cell>
          <cell r="O1637" t="str">
            <v>Rosaceae</v>
          </cell>
          <cell r="P1637" t="str">
            <v>Rubus</v>
          </cell>
          <cell r="R1637" t="str">
            <v xml:space="preserve">Rubus </v>
          </cell>
        </row>
        <row r="1638">
          <cell r="J1638">
            <v>1792</v>
          </cell>
          <cell r="K1638" t="str">
            <v>Boraginaceae??</v>
          </cell>
          <cell r="L1638" t="str">
            <v>Boraginaceae</v>
          </cell>
          <cell r="O1638" t="str">
            <v>0_Boraginaceae??</v>
          </cell>
          <cell r="R1638" t="str">
            <v xml:space="preserve"> </v>
          </cell>
        </row>
        <row r="1639">
          <cell r="J1639">
            <v>1793</v>
          </cell>
          <cell r="K1639" t="str">
            <v>Boraginaceae??</v>
          </cell>
          <cell r="L1639" t="str">
            <v>Boraginaceae</v>
          </cell>
          <cell r="O1639" t="str">
            <v>0_Boraginaceae??</v>
          </cell>
          <cell r="R1639" t="str">
            <v xml:space="preserve"> </v>
          </cell>
        </row>
        <row r="1640">
          <cell r="J1640">
            <v>1794</v>
          </cell>
          <cell r="K1640" t="str">
            <v>Piper</v>
          </cell>
          <cell r="L1640" t="str">
            <v>Manekia_1698</v>
          </cell>
          <cell r="O1640" t="str">
            <v>Piperaceae</v>
          </cell>
          <cell r="P1640" t="str">
            <v>Manekia</v>
          </cell>
          <cell r="Q1640" t="str">
            <v>sydowii</v>
          </cell>
          <cell r="R1640" t="str">
            <v>Manekia sydowii</v>
          </cell>
        </row>
        <row r="1641">
          <cell r="J1641">
            <v>1795</v>
          </cell>
          <cell r="K1641" t="str">
            <v>Celtis</v>
          </cell>
          <cell r="L1641" t="str">
            <v>celtis_iguanea</v>
          </cell>
          <cell r="O1641" t="str">
            <v>Cannabaceae</v>
          </cell>
          <cell r="P1641" t="str">
            <v>Celtis</v>
          </cell>
          <cell r="Q1641" t="str">
            <v>iguanaea</v>
          </cell>
          <cell r="R1641" t="str">
            <v>Celtis iguanaea</v>
          </cell>
        </row>
        <row r="1642">
          <cell r="J1642">
            <v>1796</v>
          </cell>
          <cell r="K1642" t="str">
            <v>roja</v>
          </cell>
          <cell r="L1642" t="str">
            <v>roja</v>
          </cell>
          <cell r="M1642" t="str">
            <v xml:space="preserve"> =1796</v>
          </cell>
          <cell r="O1642" t="str">
            <v>Fabaceae</v>
          </cell>
          <cell r="P1642" t="str">
            <v>Swartsia/Machaerium</v>
          </cell>
          <cell r="R1642" t="str">
            <v xml:space="preserve">Swartsia/Machaerium </v>
          </cell>
        </row>
        <row r="1643">
          <cell r="J1643">
            <v>1797</v>
          </cell>
          <cell r="L1643" t="str">
            <v>lenticelas_corcho_1797</v>
          </cell>
          <cell r="O1643" t="str">
            <v>0_cf. Acanthaceae</v>
          </cell>
          <cell r="P1643" t="str">
            <v>Mendonceia</v>
          </cell>
          <cell r="R1643" t="str">
            <v xml:space="preserve">Mendonceia </v>
          </cell>
        </row>
        <row r="1644">
          <cell r="J1644">
            <v>1798</v>
          </cell>
          <cell r="K1644" t="str">
            <v>Boraginaceae??</v>
          </cell>
          <cell r="L1644" t="str">
            <v>Boraginaceae</v>
          </cell>
          <cell r="O1644" t="str">
            <v>0_Boraginaceae??</v>
          </cell>
          <cell r="R1644" t="str">
            <v xml:space="preserve"> </v>
          </cell>
        </row>
        <row r="1645">
          <cell r="J1645">
            <v>1799</v>
          </cell>
          <cell r="K1645" t="str">
            <v>Paullinia</v>
          </cell>
          <cell r="L1645" t="str">
            <v>Paullinia</v>
          </cell>
          <cell r="O1645" t="str">
            <v>Sapindaceae</v>
          </cell>
          <cell r="P1645" t="str">
            <v>Paullinia</v>
          </cell>
          <cell r="R1645" t="str">
            <v xml:space="preserve">Paullinia </v>
          </cell>
        </row>
        <row r="1646">
          <cell r="J1646">
            <v>1800</v>
          </cell>
          <cell r="K1646" t="str">
            <v>Rubus</v>
          </cell>
          <cell r="L1646" t="str">
            <v>Rubus</v>
          </cell>
          <cell r="O1646" t="str">
            <v>Rosaceae</v>
          </cell>
          <cell r="P1646" t="str">
            <v>Rubus</v>
          </cell>
          <cell r="R1646" t="str">
            <v xml:space="preserve">Rubus </v>
          </cell>
        </row>
        <row r="1647">
          <cell r="J1647">
            <v>1801</v>
          </cell>
          <cell r="K1647" t="str">
            <v>Rubus</v>
          </cell>
          <cell r="L1647" t="str">
            <v>Rubus</v>
          </cell>
          <cell r="O1647" t="str">
            <v>Rosaceae</v>
          </cell>
          <cell r="P1647" t="str">
            <v>Rubus</v>
          </cell>
          <cell r="R1647" t="str">
            <v xml:space="preserve">Rubus </v>
          </cell>
        </row>
        <row r="1648">
          <cell r="J1648">
            <v>1802</v>
          </cell>
          <cell r="K1648" t="str">
            <v>corteza rara con latex/corcho con latex</v>
          </cell>
          <cell r="L1648" t="str">
            <v>Prestonia_1802</v>
          </cell>
          <cell r="M1648" t="str">
            <v xml:space="preserve"> =1802</v>
          </cell>
          <cell r="O1648" t="str">
            <v>Apocynaceae</v>
          </cell>
          <cell r="P1648" t="str">
            <v>Prestonia</v>
          </cell>
          <cell r="R1648" t="str">
            <v xml:space="preserve">Prestonia </v>
          </cell>
        </row>
        <row r="1649">
          <cell r="J1649">
            <v>1803</v>
          </cell>
          <cell r="K1649" t="str">
            <v>corteza rara con latex/corcho con latex</v>
          </cell>
          <cell r="L1649" t="str">
            <v>Prestonia_1802</v>
          </cell>
          <cell r="M1649" t="str">
            <v xml:space="preserve"> =1802</v>
          </cell>
          <cell r="O1649" t="str">
            <v>Apocynaceae</v>
          </cell>
          <cell r="P1649" t="str">
            <v>Prestonia</v>
          </cell>
          <cell r="R1649" t="str">
            <v xml:space="preserve">Prestonia </v>
          </cell>
        </row>
        <row r="1650">
          <cell r="J1650">
            <v>1804</v>
          </cell>
          <cell r="K1650" t="str">
            <v>Piper</v>
          </cell>
          <cell r="L1650" t="str">
            <v>Manekia_1698</v>
          </cell>
          <cell r="O1650" t="str">
            <v>Piperaceae</v>
          </cell>
          <cell r="P1650" t="str">
            <v>Manekia</v>
          </cell>
          <cell r="Q1650" t="str">
            <v>sydowii</v>
          </cell>
          <cell r="R1650" t="str">
            <v>Manekia sydowii</v>
          </cell>
        </row>
        <row r="1651">
          <cell r="J1651">
            <v>1805</v>
          </cell>
          <cell r="K1651" t="str">
            <v>Piper</v>
          </cell>
          <cell r="L1651" t="str">
            <v>Manekia_1698</v>
          </cell>
          <cell r="O1651" t="str">
            <v>Piperaceae</v>
          </cell>
          <cell r="P1651" t="str">
            <v>Manekia</v>
          </cell>
          <cell r="Q1651" t="str">
            <v>sydowii</v>
          </cell>
          <cell r="R1651" t="str">
            <v>Manekia sydowii</v>
          </cell>
        </row>
        <row r="1652">
          <cell r="J1652">
            <v>1806</v>
          </cell>
          <cell r="K1652" t="str">
            <v>Piper</v>
          </cell>
          <cell r="L1652" t="str">
            <v>Manekia_1698</v>
          </cell>
          <cell r="O1652" t="str">
            <v>Piperaceae</v>
          </cell>
          <cell r="P1652" t="str">
            <v>Manekia</v>
          </cell>
          <cell r="Q1652" t="str">
            <v>sydowii</v>
          </cell>
          <cell r="R1652" t="str">
            <v>Manekia sydowii</v>
          </cell>
        </row>
        <row r="1653">
          <cell r="J1653">
            <v>1807</v>
          </cell>
          <cell r="K1653" t="str">
            <v>Piper</v>
          </cell>
          <cell r="L1653" t="str">
            <v>Manekia_1698</v>
          </cell>
          <cell r="O1653" t="str">
            <v>Piperaceae</v>
          </cell>
          <cell r="P1653" t="str">
            <v>Manekia</v>
          </cell>
          <cell r="Q1653" t="str">
            <v>sydowii</v>
          </cell>
          <cell r="R1653" t="str">
            <v>Manekia sydowii</v>
          </cell>
        </row>
        <row r="1654">
          <cell r="J1654">
            <v>1808</v>
          </cell>
          <cell r="K1654" t="str">
            <v>Rubus</v>
          </cell>
          <cell r="L1654" t="str">
            <v>Rubus</v>
          </cell>
          <cell r="O1654" t="str">
            <v>Rosaceae</v>
          </cell>
          <cell r="P1654" t="str">
            <v>Rubus</v>
          </cell>
          <cell r="R1654" t="str">
            <v xml:space="preserve">Rubus </v>
          </cell>
        </row>
        <row r="1655">
          <cell r="J1655">
            <v>1809</v>
          </cell>
          <cell r="K1655" t="str">
            <v>Rubus</v>
          </cell>
          <cell r="L1655" t="str">
            <v>Rubus</v>
          </cell>
          <cell r="O1655" t="str">
            <v>Rosaceae</v>
          </cell>
          <cell r="P1655" t="str">
            <v>Rubus</v>
          </cell>
          <cell r="R1655" t="str">
            <v xml:space="preserve">Rubus </v>
          </cell>
        </row>
        <row r="1656">
          <cell r="J1656">
            <v>1810</v>
          </cell>
          <cell r="K1656" t="str">
            <v>roja</v>
          </cell>
          <cell r="L1656" t="str">
            <v>roja</v>
          </cell>
          <cell r="M1656" t="str">
            <v xml:space="preserve"> =1796</v>
          </cell>
          <cell r="O1656" t="str">
            <v>Fabaceae</v>
          </cell>
          <cell r="P1656" t="str">
            <v>Swartsia/Machaerium</v>
          </cell>
          <cell r="R1656" t="str">
            <v xml:space="preserve">Swartsia/Machaerium </v>
          </cell>
        </row>
        <row r="1657">
          <cell r="J1657">
            <v>1811</v>
          </cell>
          <cell r="K1657" t="str">
            <v>roja</v>
          </cell>
          <cell r="L1657" t="str">
            <v>roja</v>
          </cell>
          <cell r="M1657" t="str">
            <v xml:space="preserve"> =1796</v>
          </cell>
          <cell r="O1657" t="str">
            <v>Fabaceae</v>
          </cell>
          <cell r="P1657" t="str">
            <v>Swartsia/Machaerium</v>
          </cell>
          <cell r="R1657" t="str">
            <v xml:space="preserve">Swartsia/Machaerium </v>
          </cell>
        </row>
        <row r="1658">
          <cell r="J1658">
            <v>1812</v>
          </cell>
          <cell r="K1658" t="str">
            <v>roja</v>
          </cell>
          <cell r="L1658" t="str">
            <v>roja</v>
          </cell>
          <cell r="M1658" t="str">
            <v xml:space="preserve"> =1796</v>
          </cell>
          <cell r="O1658" t="str">
            <v>Fabaceae</v>
          </cell>
          <cell r="P1658" t="str">
            <v>Swartsia/Machaerium</v>
          </cell>
          <cell r="R1658" t="str">
            <v xml:space="preserve">Swartsia/Machaerium </v>
          </cell>
        </row>
        <row r="1659">
          <cell r="J1659">
            <v>1813</v>
          </cell>
          <cell r="K1659" t="str">
            <v>Celtis</v>
          </cell>
          <cell r="L1659" t="str">
            <v>celtis_iguanea</v>
          </cell>
          <cell r="O1659" t="str">
            <v>Cannabaceae</v>
          </cell>
          <cell r="P1659" t="str">
            <v>Celtis</v>
          </cell>
          <cell r="Q1659" t="str">
            <v>iguanaea</v>
          </cell>
          <cell r="R1659" t="str">
            <v>Celtis iguanaea</v>
          </cell>
        </row>
        <row r="1660">
          <cell r="J1660">
            <v>1814</v>
          </cell>
          <cell r="K1660" t="str">
            <v>Celtis</v>
          </cell>
          <cell r="L1660" t="str">
            <v>celtis_iguanea</v>
          </cell>
          <cell r="O1660" t="str">
            <v>Cannabaceae</v>
          </cell>
          <cell r="P1660" t="str">
            <v>Celtis</v>
          </cell>
          <cell r="Q1660" t="str">
            <v>iguanaea</v>
          </cell>
          <cell r="R1660" t="str">
            <v>Celtis iguanaea</v>
          </cell>
        </row>
        <row r="1661">
          <cell r="J1661">
            <v>1815</v>
          </cell>
          <cell r="K1661" t="str">
            <v>Piper</v>
          </cell>
          <cell r="L1661" t="str">
            <v>Manekia_1698</v>
          </cell>
          <cell r="O1661" t="str">
            <v>Piperaceae</v>
          </cell>
          <cell r="P1661" t="str">
            <v>Manekia</v>
          </cell>
          <cell r="Q1661" t="str">
            <v>sydowii</v>
          </cell>
          <cell r="R1661" t="str">
            <v>Manekia sydowii</v>
          </cell>
        </row>
        <row r="1662">
          <cell r="J1662">
            <v>1816</v>
          </cell>
          <cell r="K1662" t="str">
            <v>pupitos</v>
          </cell>
          <cell r="L1662" t="str">
            <v>pupitos_1816</v>
          </cell>
          <cell r="M1662" t="str">
            <v xml:space="preserve"> =1722, =1816</v>
          </cell>
          <cell r="R1662" t="str">
            <v xml:space="preserve"> </v>
          </cell>
        </row>
        <row r="1663">
          <cell r="J1663">
            <v>1817</v>
          </cell>
          <cell r="K1663" t="str">
            <v>paullinia</v>
          </cell>
          <cell r="L1663" t="str">
            <v>paullinia</v>
          </cell>
          <cell r="M1663" t="str">
            <v xml:space="preserve"> =1817</v>
          </cell>
          <cell r="O1663" t="str">
            <v>Sapindaceae</v>
          </cell>
          <cell r="P1663" t="str">
            <v>Paullinia</v>
          </cell>
          <cell r="R1663" t="str">
            <v xml:space="preserve">Paullinia </v>
          </cell>
        </row>
        <row r="1664">
          <cell r="J1664">
            <v>1818</v>
          </cell>
          <cell r="L1664" t="str">
            <v>Menispermaceae</v>
          </cell>
          <cell r="O1664" t="str">
            <v>Menispermaceae</v>
          </cell>
          <cell r="R1664" t="str">
            <v xml:space="preserve"> </v>
          </cell>
        </row>
        <row r="1665">
          <cell r="J1665">
            <v>1819</v>
          </cell>
          <cell r="K1665" t="str">
            <v>Paullinia</v>
          </cell>
          <cell r="L1665" t="str">
            <v>Paullinia</v>
          </cell>
          <cell r="O1665" t="str">
            <v>Sapindaceae</v>
          </cell>
          <cell r="P1665" t="str">
            <v>Paullinia</v>
          </cell>
          <cell r="R1665" t="str">
            <v xml:space="preserve">Paullinia </v>
          </cell>
        </row>
        <row r="1666">
          <cell r="J1666">
            <v>1820</v>
          </cell>
          <cell r="L1666" t="str">
            <v>Menis_1820</v>
          </cell>
          <cell r="O1666" t="str">
            <v>Menispermaceae</v>
          </cell>
          <cell r="R1666" t="str">
            <v xml:space="preserve"> </v>
          </cell>
        </row>
        <row r="1667">
          <cell r="J1667">
            <v>1821</v>
          </cell>
          <cell r="K1667" t="str">
            <v>Grande con estrias</v>
          </cell>
          <cell r="L1667" t="str">
            <v>hexagonal_1758</v>
          </cell>
          <cell r="M1667" t="str">
            <v xml:space="preserve"> =1821</v>
          </cell>
          <cell r="O1667" t="str">
            <v>Rhamnaceae</v>
          </cell>
          <cell r="P1667" t="str">
            <v>Gouania</v>
          </cell>
          <cell r="R1667" t="str">
            <v xml:space="preserve">Gouania </v>
          </cell>
        </row>
        <row r="1668">
          <cell r="J1668">
            <v>1822</v>
          </cell>
          <cell r="K1668" t="str">
            <v>paullinia</v>
          </cell>
          <cell r="L1668" t="str">
            <v>paullinia</v>
          </cell>
          <cell r="O1668" t="str">
            <v>Sapindaceae</v>
          </cell>
          <cell r="P1668" t="str">
            <v>Paullinia</v>
          </cell>
          <cell r="R1668" t="str">
            <v xml:space="preserve">Paullinia </v>
          </cell>
        </row>
        <row r="1669">
          <cell r="J1669">
            <v>1823</v>
          </cell>
          <cell r="K1669" t="str">
            <v>Celtis</v>
          </cell>
          <cell r="L1669" t="str">
            <v>celtis_iguanea</v>
          </cell>
          <cell r="O1669" t="str">
            <v>Cannabaceae</v>
          </cell>
          <cell r="P1669" t="str">
            <v>Celtis</v>
          </cell>
          <cell r="Q1669" t="str">
            <v>iguanaea</v>
          </cell>
          <cell r="R1669" t="str">
            <v>Celtis iguanaea</v>
          </cell>
        </row>
        <row r="1670">
          <cell r="J1670">
            <v>1824</v>
          </cell>
          <cell r="K1670" t="str">
            <v>Celtis</v>
          </cell>
          <cell r="L1670" t="str">
            <v>celtis_iguanea</v>
          </cell>
          <cell r="O1670" t="str">
            <v>Cannabaceae</v>
          </cell>
          <cell r="P1670" t="str">
            <v>Celtis</v>
          </cell>
          <cell r="Q1670" t="str">
            <v>iguanaea</v>
          </cell>
          <cell r="R1670" t="str">
            <v>Celtis iguanaea</v>
          </cell>
        </row>
        <row r="1671">
          <cell r="J1671">
            <v>1825</v>
          </cell>
          <cell r="K1671" t="str">
            <v>Paullinia</v>
          </cell>
          <cell r="L1671" t="str">
            <v>Paullinia</v>
          </cell>
          <cell r="O1671" t="str">
            <v>Sapindaceae</v>
          </cell>
          <cell r="P1671" t="str">
            <v>Paullinia</v>
          </cell>
          <cell r="R1671" t="str">
            <v xml:space="preserve">Paullinia </v>
          </cell>
        </row>
        <row r="1672">
          <cell r="J1672">
            <v>1826</v>
          </cell>
          <cell r="K1672" t="str">
            <v>rara latex</v>
          </cell>
          <cell r="L1672" t="str">
            <v>Prestonia_1802</v>
          </cell>
          <cell r="M1672" t="str">
            <v xml:space="preserve"> =1826, =1802</v>
          </cell>
          <cell r="O1672" t="str">
            <v>Apocynaceae</v>
          </cell>
          <cell r="P1672" t="str">
            <v>Prestonia</v>
          </cell>
          <cell r="R1672" t="str">
            <v xml:space="preserve">Prestonia </v>
          </cell>
        </row>
        <row r="1673">
          <cell r="J1673">
            <v>1827</v>
          </cell>
          <cell r="K1673" t="str">
            <v>rara latex</v>
          </cell>
          <cell r="L1673" t="str">
            <v>Prestonia_1802</v>
          </cell>
          <cell r="M1673" t="str">
            <v xml:space="preserve"> =1826, =1802</v>
          </cell>
          <cell r="O1673" t="str">
            <v>Apocynaceae</v>
          </cell>
          <cell r="P1673" t="str">
            <v>Prestonia</v>
          </cell>
          <cell r="R1673" t="str">
            <v xml:space="preserve">Prestonia </v>
          </cell>
        </row>
        <row r="1674">
          <cell r="J1674">
            <v>1828</v>
          </cell>
          <cell r="K1674" t="str">
            <v>parecida a 1818 pero no es</v>
          </cell>
          <cell r="L1674" t="str">
            <v>Menis_1828</v>
          </cell>
          <cell r="M1674" t="str">
            <v xml:space="preserve"> =1828</v>
          </cell>
          <cell r="O1674" t="str">
            <v>Menispermaceae</v>
          </cell>
          <cell r="R1674" t="str">
            <v xml:space="preserve"> </v>
          </cell>
        </row>
        <row r="1675">
          <cell r="J1675">
            <v>1829</v>
          </cell>
          <cell r="L1675" t="str">
            <v>Menis_1828</v>
          </cell>
          <cell r="M1675" t="str">
            <v xml:space="preserve"> =1828</v>
          </cell>
          <cell r="O1675" t="str">
            <v>Menispermaceae</v>
          </cell>
          <cell r="R1675" t="str">
            <v xml:space="preserve"> </v>
          </cell>
        </row>
        <row r="1676">
          <cell r="J1676">
            <v>1830</v>
          </cell>
          <cell r="L1676" t="str">
            <v>Tallo_numerosas_lenticelas_Corteza_habana_Sin_latex</v>
          </cell>
          <cell r="R1676" t="str">
            <v xml:space="preserve"> </v>
          </cell>
        </row>
        <row r="1677">
          <cell r="J1677">
            <v>1831</v>
          </cell>
          <cell r="K1677" t="str">
            <v>roja</v>
          </cell>
          <cell r="L1677" t="str">
            <v>roja</v>
          </cell>
          <cell r="M1677" t="str">
            <v xml:space="preserve"> =1796</v>
          </cell>
          <cell r="O1677" t="str">
            <v>Fabaceae</v>
          </cell>
          <cell r="P1677" t="str">
            <v>Swartsia/Machaerium</v>
          </cell>
          <cell r="R1677" t="str">
            <v xml:space="preserve">Swartsia/Machaerium </v>
          </cell>
        </row>
        <row r="1678">
          <cell r="J1678">
            <v>1832</v>
          </cell>
          <cell r="L1678" t="str">
            <v>Malpi_1833</v>
          </cell>
          <cell r="M1678" t="str">
            <v xml:space="preserve"> =1833</v>
          </cell>
          <cell r="O1678" t="str">
            <v>Malpighiaceae</v>
          </cell>
          <cell r="R1678" t="str">
            <v xml:space="preserve"> </v>
          </cell>
        </row>
        <row r="1679">
          <cell r="J1679">
            <v>1833</v>
          </cell>
          <cell r="L1679" t="str">
            <v>Malpi_1833</v>
          </cell>
          <cell r="M1679" t="str">
            <v xml:space="preserve"> =1833</v>
          </cell>
          <cell r="O1679" t="str">
            <v>Malpighiaceae</v>
          </cell>
          <cell r="R1679" t="str">
            <v xml:space="preserve"> </v>
          </cell>
        </row>
        <row r="1680">
          <cell r="J1680">
            <v>1834</v>
          </cell>
          <cell r="L1680" t="str">
            <v>Malpi_1833</v>
          </cell>
          <cell r="M1680" t="str">
            <v xml:space="preserve"> =1833</v>
          </cell>
          <cell r="O1680" t="str">
            <v>Malpighiaceae</v>
          </cell>
          <cell r="R1680" t="str">
            <v xml:space="preserve"> </v>
          </cell>
        </row>
        <row r="1681">
          <cell r="J1681">
            <v>1835</v>
          </cell>
          <cell r="L1681" t="str">
            <v>placas_1672</v>
          </cell>
          <cell r="M1681" t="str">
            <v xml:space="preserve"> =1672</v>
          </cell>
          <cell r="O1681" t="str">
            <v>Euphorbiaceae</v>
          </cell>
          <cell r="P1681" t="str">
            <v>0_cf. Omphalea</v>
          </cell>
          <cell r="R1681" t="str">
            <v xml:space="preserve">0_cf. Omphalea </v>
          </cell>
        </row>
        <row r="1682">
          <cell r="J1682">
            <v>1836</v>
          </cell>
          <cell r="K1682" t="str">
            <v>posible 1819. no es</v>
          </cell>
          <cell r="L1682" t="str">
            <v>Fabaceae_1836</v>
          </cell>
          <cell r="O1682" t="str">
            <v>Fabaceae</v>
          </cell>
          <cell r="P1682" t="str">
            <v>Pseolus</v>
          </cell>
          <cell r="R1682" t="str">
            <v xml:space="preserve">Pseolus </v>
          </cell>
        </row>
        <row r="1683">
          <cell r="J1683">
            <v>1837</v>
          </cell>
          <cell r="L1683" t="str">
            <v>hexagonal_1758</v>
          </cell>
          <cell r="M1683" t="str">
            <v xml:space="preserve"> =1756, =1821</v>
          </cell>
          <cell r="O1683" t="str">
            <v>Rhamnaceae</v>
          </cell>
          <cell r="P1683" t="str">
            <v>Gouania</v>
          </cell>
          <cell r="R1683" t="str">
            <v xml:space="preserve">Gouania </v>
          </cell>
        </row>
        <row r="1684">
          <cell r="J1684">
            <v>1838</v>
          </cell>
          <cell r="K1684" t="str">
            <v>Paullinia con raquis alado, sin latex</v>
          </cell>
          <cell r="L1684" t="str">
            <v>Paullinia con raquis alado, sin latex</v>
          </cell>
          <cell r="O1684" t="str">
            <v>Sapindaceae</v>
          </cell>
          <cell r="P1684" t="str">
            <v>Paullinia</v>
          </cell>
          <cell r="R1684" t="str">
            <v xml:space="preserve">Paullinia </v>
          </cell>
        </row>
        <row r="1685">
          <cell r="J1685">
            <v>1839</v>
          </cell>
          <cell r="K1685" t="str">
            <v>Celtis</v>
          </cell>
          <cell r="L1685" t="str">
            <v>celtis_iguanea</v>
          </cell>
          <cell r="O1685" t="str">
            <v>Cannabaceae</v>
          </cell>
          <cell r="P1685" t="str">
            <v>Celtis</v>
          </cell>
          <cell r="Q1685" t="str">
            <v>iguanaea</v>
          </cell>
          <cell r="R1685" t="str">
            <v>Celtis iguanaea</v>
          </cell>
        </row>
        <row r="1686">
          <cell r="J1686">
            <v>1840</v>
          </cell>
          <cell r="K1686" t="str">
            <v>Paullinia con raquis alado, sin latex</v>
          </cell>
          <cell r="L1686" t="str">
            <v>Paullinia con raquis alado, sin latex</v>
          </cell>
          <cell r="O1686" t="str">
            <v>Sapindaceae</v>
          </cell>
          <cell r="P1686" t="str">
            <v>Paullinia</v>
          </cell>
          <cell r="R1686" t="str">
            <v xml:space="preserve">Paullinia </v>
          </cell>
        </row>
        <row r="1687">
          <cell r="J1687">
            <v>1841</v>
          </cell>
          <cell r="K1687" t="str">
            <v>Celtis</v>
          </cell>
          <cell r="L1687" t="str">
            <v>celtis_iguanea</v>
          </cell>
          <cell r="O1687" t="str">
            <v>Cannabaceae</v>
          </cell>
          <cell r="P1687" t="str">
            <v>Celtis</v>
          </cell>
          <cell r="Q1687" t="str">
            <v>iguanaea</v>
          </cell>
          <cell r="R1687" t="str">
            <v>Celtis iguanaea</v>
          </cell>
        </row>
        <row r="1688">
          <cell r="J1688">
            <v>1842</v>
          </cell>
          <cell r="L1688" t="str">
            <v>Menis_1842</v>
          </cell>
          <cell r="O1688" t="str">
            <v>Menispermaceae</v>
          </cell>
          <cell r="R1688" t="str">
            <v xml:space="preserve"> </v>
          </cell>
        </row>
        <row r="1689">
          <cell r="J1689">
            <v>1843</v>
          </cell>
          <cell r="L1689" t="str">
            <v>Tallo_irregular_corteza_al_rasparla_amarilla_Corteza_interna_verde_oxida_totalmente_negro</v>
          </cell>
          <cell r="R1689" t="str">
            <v xml:space="preserve"> </v>
          </cell>
        </row>
        <row r="1690">
          <cell r="J1690">
            <v>1844</v>
          </cell>
          <cell r="K1690" t="str">
            <v>Piper</v>
          </cell>
          <cell r="L1690" t="str">
            <v>Manekia_1698</v>
          </cell>
          <cell r="O1690" t="str">
            <v>Piperaceae</v>
          </cell>
          <cell r="P1690" t="str">
            <v>Manekia</v>
          </cell>
          <cell r="Q1690" t="str">
            <v>sydowii</v>
          </cell>
          <cell r="R1690" t="str">
            <v>Manekia sydowii</v>
          </cell>
        </row>
        <row r="1691">
          <cell r="J1691">
            <v>1845</v>
          </cell>
          <cell r="K1691" t="str">
            <v>Marcgraviaceae</v>
          </cell>
          <cell r="L1691" t="str">
            <v>Marcgraviaceae</v>
          </cell>
          <cell r="M1691" t="str">
            <v xml:space="preserve"> =1758, =1845</v>
          </cell>
          <cell r="O1691" t="str">
            <v>Marcgraviaceae</v>
          </cell>
          <cell r="R1691" t="str">
            <v xml:space="preserve"> </v>
          </cell>
        </row>
        <row r="1692">
          <cell r="J1692">
            <v>1846</v>
          </cell>
          <cell r="K1692" t="str">
            <v>roja</v>
          </cell>
          <cell r="L1692" t="str">
            <v>roja</v>
          </cell>
          <cell r="M1692" t="str">
            <v xml:space="preserve"> =1796</v>
          </cell>
          <cell r="O1692" t="str">
            <v>Fabaceae</v>
          </cell>
          <cell r="P1692" t="str">
            <v>Swartsia/Machaerium</v>
          </cell>
          <cell r="R1692" t="str">
            <v xml:space="preserve">Swartsia/Machaerium </v>
          </cell>
        </row>
        <row r="1693">
          <cell r="J1693">
            <v>1847</v>
          </cell>
          <cell r="K1693" t="str">
            <v>roja</v>
          </cell>
          <cell r="L1693" t="str">
            <v>roja</v>
          </cell>
          <cell r="M1693" t="str">
            <v xml:space="preserve"> =1796</v>
          </cell>
          <cell r="O1693" t="str">
            <v>Fabaceae</v>
          </cell>
          <cell r="P1693" t="str">
            <v>Swartsia/Machaerium</v>
          </cell>
          <cell r="R1693" t="str">
            <v xml:space="preserve">Swartsia/Machaerium </v>
          </cell>
        </row>
        <row r="1694">
          <cell r="J1694">
            <v>1848</v>
          </cell>
          <cell r="K1694" t="str">
            <v>roja</v>
          </cell>
          <cell r="L1694" t="str">
            <v>roja</v>
          </cell>
          <cell r="M1694" t="str">
            <v xml:space="preserve"> =1796</v>
          </cell>
          <cell r="O1694" t="str">
            <v>Fabaceae</v>
          </cell>
          <cell r="P1694" t="str">
            <v>Swartsia/Machaerium</v>
          </cell>
          <cell r="R1694" t="str">
            <v xml:space="preserve">Swartsia/Machaerium </v>
          </cell>
        </row>
        <row r="1695">
          <cell r="J1695">
            <v>1849</v>
          </cell>
          <cell r="L1695" t="str">
            <v>Sapindaceae</v>
          </cell>
          <cell r="M1695" t="str">
            <v xml:space="preserve"> =1849</v>
          </cell>
          <cell r="O1695" t="str">
            <v>Sapindaceae</v>
          </cell>
          <cell r="R1695" t="str">
            <v xml:space="preserve"> </v>
          </cell>
        </row>
        <row r="1696">
          <cell r="J1696">
            <v>1850</v>
          </cell>
          <cell r="L1696" t="str">
            <v>Tallo_verde_con_crema_estrias_raices_nudos</v>
          </cell>
          <cell r="M1696" t="str">
            <v xml:space="preserve"> =1850</v>
          </cell>
          <cell r="O1696" t="str">
            <v>Solanaceae</v>
          </cell>
          <cell r="P1696" t="str">
            <v>Solanum</v>
          </cell>
          <cell r="R1696" t="str">
            <v xml:space="preserve">Solanum </v>
          </cell>
        </row>
        <row r="1697">
          <cell r="J1697">
            <v>1851</v>
          </cell>
          <cell r="L1697" t="str">
            <v>Tallo_verde_con_crema_estrias_raices_nudos</v>
          </cell>
          <cell r="M1697" t="str">
            <v xml:space="preserve"> =1850</v>
          </cell>
          <cell r="O1697" t="str">
            <v>Solanaceae</v>
          </cell>
          <cell r="P1697" t="str">
            <v>Solanum</v>
          </cell>
          <cell r="R1697" t="str">
            <v xml:space="preserve">Solanum </v>
          </cell>
        </row>
        <row r="1698">
          <cell r="J1698">
            <v>1852</v>
          </cell>
          <cell r="K1698" t="str">
            <v>Piper</v>
          </cell>
          <cell r="L1698" t="str">
            <v>Manekia_1698</v>
          </cell>
          <cell r="O1698" t="str">
            <v>Piperaceae</v>
          </cell>
          <cell r="P1698" t="str">
            <v>Manekia</v>
          </cell>
          <cell r="Q1698" t="str">
            <v>sydowii</v>
          </cell>
          <cell r="R1698" t="str">
            <v>Manekia sydowii</v>
          </cell>
        </row>
        <row r="1699">
          <cell r="J1699">
            <v>1853</v>
          </cell>
          <cell r="K1699" t="str">
            <v>Aster</v>
          </cell>
          <cell r="L1699" t="str">
            <v>Aster 2_Bombuscaro</v>
          </cell>
          <cell r="M1699" t="str">
            <v xml:space="preserve"> =1642, =1853</v>
          </cell>
          <cell r="O1699" t="str">
            <v>Asteraceae</v>
          </cell>
          <cell r="R1699" t="str">
            <v xml:space="preserve"> </v>
          </cell>
        </row>
        <row r="1700">
          <cell r="J1700">
            <v>1854</v>
          </cell>
          <cell r="K1700" t="str">
            <v>Aster</v>
          </cell>
          <cell r="L1700" t="str">
            <v>Aster 2_Bombuscaro</v>
          </cell>
          <cell r="M1700" t="str">
            <v xml:space="preserve"> =1642, =1853</v>
          </cell>
          <cell r="O1700" t="str">
            <v>Asteraceae</v>
          </cell>
          <cell r="R1700" t="str">
            <v xml:space="preserve"> </v>
          </cell>
        </row>
        <row r="1701">
          <cell r="J1701">
            <v>1855</v>
          </cell>
          <cell r="L1701" t="str">
            <v>Tallo_duro__raicillas_oxida_crema</v>
          </cell>
          <cell r="R1701" t="str">
            <v xml:space="preserve"> </v>
          </cell>
        </row>
        <row r="1702">
          <cell r="J1702">
            <v>1856</v>
          </cell>
          <cell r="K1702" t="str">
            <v>Celtis</v>
          </cell>
          <cell r="L1702" t="str">
            <v>celtis_iguanea</v>
          </cell>
          <cell r="O1702" t="str">
            <v>Cannabaceae</v>
          </cell>
          <cell r="P1702" t="str">
            <v>Celtis</v>
          </cell>
          <cell r="Q1702" t="str">
            <v>iguanaea</v>
          </cell>
          <cell r="R1702" t="str">
            <v>Celtis iguanaea</v>
          </cell>
        </row>
        <row r="1703">
          <cell r="J1703">
            <v>1857</v>
          </cell>
          <cell r="K1703" t="str">
            <v>Piper</v>
          </cell>
          <cell r="L1703" t="str">
            <v>Manekia_1698</v>
          </cell>
          <cell r="O1703" t="str">
            <v>Piperaceae</v>
          </cell>
          <cell r="P1703" t="str">
            <v>Manekia</v>
          </cell>
          <cell r="Q1703" t="str">
            <v>sydowii</v>
          </cell>
          <cell r="R1703" t="str">
            <v>Manekia sydowii</v>
          </cell>
        </row>
        <row r="1704">
          <cell r="J1704">
            <v>1858</v>
          </cell>
          <cell r="K1704" t="str">
            <v>Enves plateado</v>
          </cell>
          <cell r="L1704" t="str">
            <v>Enves plateado</v>
          </cell>
          <cell r="M1704" t="str">
            <v xml:space="preserve"> =1858</v>
          </cell>
          <cell r="O1704" t="str">
            <v>Malpighiaceae</v>
          </cell>
          <cell r="R1704" t="str">
            <v xml:space="preserve"> </v>
          </cell>
        </row>
        <row r="1705">
          <cell r="J1705">
            <v>1859</v>
          </cell>
          <cell r="K1705" t="str">
            <v>Rubus</v>
          </cell>
          <cell r="L1705" t="str">
            <v>Rubus</v>
          </cell>
          <cell r="O1705" t="str">
            <v>Rosaceae</v>
          </cell>
          <cell r="P1705" t="str">
            <v>Rubus</v>
          </cell>
          <cell r="R1705" t="str">
            <v xml:space="preserve">Rubus </v>
          </cell>
        </row>
        <row r="1706">
          <cell r="J1706">
            <v>1860</v>
          </cell>
          <cell r="K1706" t="str">
            <v>Rubus</v>
          </cell>
          <cell r="L1706" t="str">
            <v>Rubus</v>
          </cell>
          <cell r="O1706" t="str">
            <v>Rosaceae</v>
          </cell>
          <cell r="P1706" t="str">
            <v>Rubus</v>
          </cell>
          <cell r="R1706" t="str">
            <v xml:space="preserve">Rubus </v>
          </cell>
        </row>
        <row r="1707">
          <cell r="J1707">
            <v>1861</v>
          </cell>
          <cell r="K1707" t="str">
            <v>Grande con estrias</v>
          </cell>
          <cell r="L1707" t="str">
            <v>hexagonal_1758</v>
          </cell>
          <cell r="M1707" t="str">
            <v xml:space="preserve"> =1821</v>
          </cell>
          <cell r="O1707" t="str">
            <v>Rhamnaceae</v>
          </cell>
          <cell r="P1707" t="str">
            <v>Gouania</v>
          </cell>
          <cell r="R1707" t="str">
            <v xml:space="preserve">Gouania </v>
          </cell>
        </row>
        <row r="1708">
          <cell r="J1708">
            <v>1862</v>
          </cell>
          <cell r="K1708" t="str">
            <v>Bignoniaceae_otra</v>
          </cell>
          <cell r="L1708" t="str">
            <v>Bignoniaceae_otra</v>
          </cell>
          <cell r="O1708" t="str">
            <v>Bignoniaceae</v>
          </cell>
          <cell r="R1708" t="str">
            <v xml:space="preserve"> </v>
          </cell>
        </row>
        <row r="1709">
          <cell r="J1709">
            <v>1863</v>
          </cell>
          <cell r="K1709" t="str">
            <v>Piper</v>
          </cell>
          <cell r="L1709" t="str">
            <v>Manekia_1698</v>
          </cell>
          <cell r="O1709" t="str">
            <v>Piperaceae</v>
          </cell>
          <cell r="P1709" t="str">
            <v>Manekia</v>
          </cell>
          <cell r="Q1709" t="str">
            <v>sydowii</v>
          </cell>
          <cell r="R1709" t="str">
            <v>Manekia sydowii</v>
          </cell>
        </row>
        <row r="1710">
          <cell r="J1710">
            <v>1864</v>
          </cell>
          <cell r="K1710" t="str">
            <v>Paullinia ??. No es</v>
          </cell>
          <cell r="L1710" t="str">
            <v>Bigno_1864</v>
          </cell>
          <cell r="N1710" t="str">
            <v>Ceron</v>
          </cell>
          <cell r="O1710" t="str">
            <v>Bignoniaceae</v>
          </cell>
          <cell r="R1710" t="str">
            <v xml:space="preserve"> </v>
          </cell>
        </row>
        <row r="1711">
          <cell r="J1711">
            <v>1865</v>
          </cell>
          <cell r="L1711" t="str">
            <v>Bignoniaceae</v>
          </cell>
          <cell r="O1711" t="str">
            <v>Bignoniaceae</v>
          </cell>
          <cell r="R1711" t="str">
            <v xml:space="preserve"> </v>
          </cell>
        </row>
        <row r="1712">
          <cell r="J1712">
            <v>1866</v>
          </cell>
          <cell r="L1712" t="str">
            <v>Enves plateado</v>
          </cell>
          <cell r="M1712" t="str">
            <v xml:space="preserve"> =1858</v>
          </cell>
          <cell r="O1712" t="str">
            <v>Malpighiaceae</v>
          </cell>
          <cell r="R1712" t="str">
            <v xml:space="preserve"> </v>
          </cell>
        </row>
        <row r="1713">
          <cell r="J1713">
            <v>1867</v>
          </cell>
          <cell r="K1713" t="str">
            <v>Rubus</v>
          </cell>
          <cell r="L1713" t="str">
            <v>Rubus</v>
          </cell>
          <cell r="O1713" t="str">
            <v>Rosaceae</v>
          </cell>
          <cell r="P1713" t="str">
            <v>Rubus</v>
          </cell>
          <cell r="R1713" t="str">
            <v xml:space="preserve">Rubus </v>
          </cell>
        </row>
        <row r="1714">
          <cell r="J1714">
            <v>1868</v>
          </cell>
          <cell r="K1714" t="str">
            <v>Rubus</v>
          </cell>
          <cell r="L1714" t="str">
            <v>Rubus</v>
          </cell>
          <cell r="O1714" t="str">
            <v>Rosaceae</v>
          </cell>
          <cell r="P1714" t="str">
            <v>Rubus</v>
          </cell>
          <cell r="R1714" t="str">
            <v xml:space="preserve">Rubus </v>
          </cell>
        </row>
        <row r="1715">
          <cell r="J1715">
            <v>1869</v>
          </cell>
          <cell r="K1715" t="str">
            <v>Rubus</v>
          </cell>
          <cell r="L1715" t="str">
            <v>Rubus</v>
          </cell>
          <cell r="O1715" t="str">
            <v>Rosaceae</v>
          </cell>
          <cell r="P1715" t="str">
            <v>Rubus</v>
          </cell>
          <cell r="R1715" t="str">
            <v xml:space="preserve">Rubus </v>
          </cell>
        </row>
        <row r="1716">
          <cell r="J1716">
            <v>1870</v>
          </cell>
          <cell r="K1716" t="str">
            <v>Piper</v>
          </cell>
          <cell r="L1716" t="str">
            <v>Manekia_1698</v>
          </cell>
          <cell r="O1716" t="str">
            <v>Piperaceae</v>
          </cell>
          <cell r="P1716" t="str">
            <v>Manekia</v>
          </cell>
          <cell r="Q1716" t="str">
            <v>sydowii</v>
          </cell>
          <cell r="R1716" t="str">
            <v>Manekia sydowii</v>
          </cell>
        </row>
        <row r="1717">
          <cell r="J1717">
            <v>1871</v>
          </cell>
          <cell r="K1717" t="str">
            <v>Piper</v>
          </cell>
          <cell r="L1717" t="str">
            <v>Manekia_1698</v>
          </cell>
          <cell r="O1717" t="str">
            <v>Piperaceae</v>
          </cell>
          <cell r="P1717" t="str">
            <v>Manekia</v>
          </cell>
          <cell r="Q1717" t="str">
            <v>sydowii</v>
          </cell>
          <cell r="R1717" t="str">
            <v>Manekia sydowii</v>
          </cell>
        </row>
        <row r="1718">
          <cell r="J1718">
            <v>1872</v>
          </cell>
          <cell r="L1718" t="str">
            <v>Combre_1872</v>
          </cell>
          <cell r="O1718" t="str">
            <v>Combretaceae</v>
          </cell>
          <cell r="R1718" t="str">
            <v xml:space="preserve"> </v>
          </cell>
        </row>
        <row r="1719">
          <cell r="J1719">
            <v>1873</v>
          </cell>
          <cell r="L1719" t="str">
            <v>Malpighiaceae_1873</v>
          </cell>
          <cell r="O1719" t="str">
            <v>Malpighiaceae</v>
          </cell>
          <cell r="R1719" t="str">
            <v xml:space="preserve"> </v>
          </cell>
        </row>
        <row r="1720">
          <cell r="J1720">
            <v>1874</v>
          </cell>
          <cell r="L1720" t="str">
            <v>Menis_1874</v>
          </cell>
          <cell r="O1720" t="str">
            <v>Menispermaceae</v>
          </cell>
          <cell r="R1720" t="str">
            <v xml:space="preserve"> </v>
          </cell>
        </row>
        <row r="1721">
          <cell r="J1721">
            <v>1875</v>
          </cell>
          <cell r="K1721" t="str">
            <v>malpighiaceae???</v>
          </cell>
          <cell r="L1721" t="str">
            <v>malpighiaceae???</v>
          </cell>
          <cell r="M1721" t="str">
            <v xml:space="preserve"> =1875</v>
          </cell>
          <cell r="O1721" t="str">
            <v>Celastraceae</v>
          </cell>
          <cell r="P1721" t="str">
            <v>Salacia</v>
          </cell>
          <cell r="Q1721" t="str">
            <v>multiflora</v>
          </cell>
          <cell r="R1721" t="str">
            <v>Salacia multiflora</v>
          </cell>
        </row>
        <row r="1722">
          <cell r="J1722">
            <v>1876</v>
          </cell>
          <cell r="L1722" t="str">
            <v>NO_Big_1880</v>
          </cell>
          <cell r="M1722" t="str">
            <v xml:space="preserve"> =1880</v>
          </cell>
          <cell r="O1722" t="str">
            <v>Malpighiaceae</v>
          </cell>
          <cell r="R1722" t="str">
            <v xml:space="preserve"> </v>
          </cell>
        </row>
        <row r="1723">
          <cell r="J1723">
            <v>1877</v>
          </cell>
          <cell r="L1723" t="str">
            <v>Big_1710</v>
          </cell>
          <cell r="M1723" t="str">
            <v xml:space="preserve"> =1710</v>
          </cell>
          <cell r="O1723" t="str">
            <v>Bignoniaceae</v>
          </cell>
          <cell r="R1723" t="str">
            <v xml:space="preserve"> </v>
          </cell>
        </row>
        <row r="1724">
          <cell r="J1724">
            <v>1878</v>
          </cell>
          <cell r="L1724" t="str">
            <v>Big_1710</v>
          </cell>
          <cell r="M1724" t="str">
            <v xml:space="preserve"> =1710</v>
          </cell>
          <cell r="O1724" t="str">
            <v>Bignoniaceae</v>
          </cell>
          <cell r="R1724" t="str">
            <v xml:space="preserve"> </v>
          </cell>
        </row>
        <row r="1725">
          <cell r="J1725">
            <v>1879</v>
          </cell>
          <cell r="L1725" t="str">
            <v>Big_1710</v>
          </cell>
          <cell r="M1725" t="str">
            <v xml:space="preserve"> =1710</v>
          </cell>
          <cell r="O1725" t="str">
            <v>Bignoniaceae</v>
          </cell>
          <cell r="R1725" t="str">
            <v xml:space="preserve"> </v>
          </cell>
        </row>
        <row r="1726">
          <cell r="J1726">
            <v>1880</v>
          </cell>
          <cell r="L1726" t="str">
            <v>NO_Big_1880</v>
          </cell>
          <cell r="M1726" t="str">
            <v xml:space="preserve"> =1880</v>
          </cell>
          <cell r="O1726" t="str">
            <v>Malpighiaceae</v>
          </cell>
          <cell r="R1726" t="str">
            <v xml:space="preserve"> </v>
          </cell>
        </row>
        <row r="1727">
          <cell r="J1727">
            <v>1881</v>
          </cell>
          <cell r="L1727" t="str">
            <v>NO_Big_1880</v>
          </cell>
          <cell r="M1727" t="str">
            <v xml:space="preserve"> =1880</v>
          </cell>
          <cell r="O1727" t="str">
            <v>Malpighiaceae</v>
          </cell>
          <cell r="R1727" t="str">
            <v xml:space="preserve"> </v>
          </cell>
        </row>
        <row r="1728">
          <cell r="J1728">
            <v>1882</v>
          </cell>
          <cell r="L1728" t="str">
            <v>Corteza_suave_tiras_oxida_blanco_Tallo_crema</v>
          </cell>
          <cell r="R1728" t="str">
            <v xml:space="preserve"> </v>
          </cell>
        </row>
        <row r="1729">
          <cell r="J1729">
            <v>1883</v>
          </cell>
          <cell r="L1729" t="str">
            <v>Menispermaceae</v>
          </cell>
          <cell r="O1729" t="str">
            <v>Menispermaceae</v>
          </cell>
          <cell r="R1729" t="str">
            <v xml:space="preserve"> </v>
          </cell>
        </row>
        <row r="1730">
          <cell r="J1730">
            <v>1884</v>
          </cell>
          <cell r="K1730" t="str">
            <v>Mikania</v>
          </cell>
          <cell r="L1730" t="str">
            <v>Mikania</v>
          </cell>
          <cell r="O1730" t="str">
            <v>Asteraceae</v>
          </cell>
          <cell r="R1730" t="str">
            <v xml:space="preserve"> </v>
          </cell>
        </row>
        <row r="1731">
          <cell r="J1731">
            <v>1885</v>
          </cell>
          <cell r="L1731" t="str">
            <v>Rhamnaceae_1906</v>
          </cell>
          <cell r="M1731" t="str">
            <v xml:space="preserve"> =1906</v>
          </cell>
          <cell r="O1731" t="str">
            <v>Rhamnaceae</v>
          </cell>
          <cell r="R1731" t="str">
            <v xml:space="preserve"> </v>
          </cell>
        </row>
        <row r="1732">
          <cell r="J1732">
            <v>1886</v>
          </cell>
          <cell r="K1732" t="str">
            <v>Asteraceae</v>
          </cell>
          <cell r="L1732" t="str">
            <v>Asteraceae</v>
          </cell>
          <cell r="O1732" t="str">
            <v>Asteraceae</v>
          </cell>
          <cell r="R1732" t="str">
            <v xml:space="preserve"> </v>
          </cell>
        </row>
        <row r="1733">
          <cell r="J1733">
            <v>1887</v>
          </cell>
          <cell r="K1733" t="str">
            <v>roja</v>
          </cell>
          <cell r="L1733" t="str">
            <v>roja</v>
          </cell>
          <cell r="O1733" t="str">
            <v>Fabaceae</v>
          </cell>
          <cell r="P1733" t="str">
            <v>Swartsia/Machaerium</v>
          </cell>
          <cell r="R1733" t="str">
            <v xml:space="preserve">Swartsia/Machaerium </v>
          </cell>
        </row>
        <row r="1734">
          <cell r="J1734">
            <v>1888</v>
          </cell>
          <cell r="K1734" t="str">
            <v>Aster_cf</v>
          </cell>
          <cell r="L1734" t="str">
            <v>Aster_cf_1888</v>
          </cell>
          <cell r="O1734" t="str">
            <v>0_cf. Asteraceae</v>
          </cell>
          <cell r="R1734" t="str">
            <v xml:space="preserve"> </v>
          </cell>
        </row>
        <row r="1735">
          <cell r="J1735">
            <v>1889</v>
          </cell>
          <cell r="K1735" t="str">
            <v>roja</v>
          </cell>
          <cell r="L1735" t="str">
            <v>roja</v>
          </cell>
          <cell r="O1735" t="str">
            <v>Fabaceae</v>
          </cell>
          <cell r="P1735" t="str">
            <v>Swartsia/Machaerium</v>
          </cell>
          <cell r="R1735" t="str">
            <v xml:space="preserve">Swartsia/Machaerium </v>
          </cell>
        </row>
        <row r="1736">
          <cell r="J1736">
            <v>1890</v>
          </cell>
          <cell r="L1736" t="str">
            <v>Rhamnaceae_1906</v>
          </cell>
          <cell r="M1736" t="str">
            <v xml:space="preserve"> =1906</v>
          </cell>
          <cell r="O1736" t="str">
            <v>Rhamnaceae</v>
          </cell>
          <cell r="R1736" t="str">
            <v xml:space="preserve"> </v>
          </cell>
        </row>
        <row r="1737">
          <cell r="J1737">
            <v>1891</v>
          </cell>
          <cell r="L1737" t="str">
            <v>Tallo_cuadrado_2partes_Corteza_jugosa</v>
          </cell>
          <cell r="M1737" t="str">
            <v xml:space="preserve"> =1891</v>
          </cell>
          <cell r="R1737" t="str">
            <v xml:space="preserve"> </v>
          </cell>
        </row>
        <row r="1738">
          <cell r="J1738">
            <v>1892</v>
          </cell>
          <cell r="L1738" t="str">
            <v>Tallo_cuadrado_2partes_Corteza_jugosa</v>
          </cell>
          <cell r="M1738" t="str">
            <v xml:space="preserve"> =1891</v>
          </cell>
          <cell r="R1738" t="str">
            <v xml:space="preserve"> </v>
          </cell>
        </row>
        <row r="1739">
          <cell r="J1739">
            <v>1893</v>
          </cell>
          <cell r="K1739" t="str">
            <v>Mikania otra</v>
          </cell>
          <cell r="L1739" t="str">
            <v>Mikania_otra_1893</v>
          </cell>
          <cell r="M1739" t="str">
            <v xml:space="preserve"> =1893</v>
          </cell>
          <cell r="O1739" t="str">
            <v>Asteraceae</v>
          </cell>
          <cell r="P1739" t="str">
            <v>Mikania</v>
          </cell>
          <cell r="R1739" t="str">
            <v xml:space="preserve">Mikania </v>
          </cell>
        </row>
        <row r="1740">
          <cell r="J1740">
            <v>1894</v>
          </cell>
          <cell r="K1740" t="str">
            <v>Rubus</v>
          </cell>
          <cell r="L1740" t="str">
            <v>Rubus</v>
          </cell>
          <cell r="O1740" t="str">
            <v>Rosaceae</v>
          </cell>
          <cell r="P1740" t="str">
            <v>Rubus</v>
          </cell>
          <cell r="R1740" t="str">
            <v xml:space="preserve">Rubus </v>
          </cell>
        </row>
        <row r="1741">
          <cell r="J1741">
            <v>1895</v>
          </cell>
          <cell r="K1741" t="str">
            <v>Mikania otra</v>
          </cell>
          <cell r="L1741" t="str">
            <v>Mikania_otra_1893</v>
          </cell>
          <cell r="M1741" t="str">
            <v xml:space="preserve"> =1893</v>
          </cell>
          <cell r="O1741" t="str">
            <v>Asteraceae</v>
          </cell>
          <cell r="P1741" t="str">
            <v>Mikania</v>
          </cell>
          <cell r="R1741" t="str">
            <v xml:space="preserve">Mikania </v>
          </cell>
        </row>
        <row r="1742">
          <cell r="J1742">
            <v>1896</v>
          </cell>
          <cell r="K1742" t="str">
            <v>Mikania otra</v>
          </cell>
          <cell r="L1742" t="str">
            <v>Mikania_otra_1893</v>
          </cell>
          <cell r="M1742" t="str">
            <v xml:space="preserve"> =1893</v>
          </cell>
          <cell r="O1742" t="str">
            <v>Asteraceae</v>
          </cell>
          <cell r="P1742" t="str">
            <v>Mikania</v>
          </cell>
          <cell r="R1742" t="str">
            <v xml:space="preserve">Mikania </v>
          </cell>
        </row>
        <row r="1743">
          <cell r="J1743">
            <v>1897</v>
          </cell>
          <cell r="K1743" t="str">
            <v>Piper</v>
          </cell>
          <cell r="L1743" t="str">
            <v>Manekia_1698</v>
          </cell>
          <cell r="O1743" t="str">
            <v>Piperaceae</v>
          </cell>
          <cell r="P1743" t="str">
            <v>Manekia</v>
          </cell>
          <cell r="Q1743" t="str">
            <v>sydowii</v>
          </cell>
          <cell r="R1743" t="str">
            <v>Manekia sydowii</v>
          </cell>
        </row>
        <row r="1744">
          <cell r="J1744">
            <v>1898</v>
          </cell>
          <cell r="L1744" t="str">
            <v>Fabaceae_1836</v>
          </cell>
          <cell r="M1744" t="str">
            <v xml:space="preserve"> =1836</v>
          </cell>
          <cell r="O1744" t="str">
            <v>Fabaceae</v>
          </cell>
          <cell r="P1744" t="str">
            <v>Pseolus</v>
          </cell>
          <cell r="R1744" t="str">
            <v xml:space="preserve">Pseolus </v>
          </cell>
        </row>
        <row r="1745">
          <cell r="J1745">
            <v>1899</v>
          </cell>
          <cell r="K1745" t="str">
            <v>Fab plot 1</v>
          </cell>
          <cell r="L1745" t="str">
            <v>Fab_plot_1</v>
          </cell>
          <cell r="M1745" t="str">
            <v xml:space="preserve"> =1899</v>
          </cell>
          <cell r="O1745" t="str">
            <v>Fabaceae</v>
          </cell>
          <cell r="R1745" t="str">
            <v xml:space="preserve"> </v>
          </cell>
        </row>
        <row r="1746">
          <cell r="J1746">
            <v>1900</v>
          </cell>
          <cell r="K1746" t="str">
            <v>Mikania otra</v>
          </cell>
          <cell r="L1746" t="str">
            <v>Mikania_otra_1893</v>
          </cell>
          <cell r="M1746" t="str">
            <v xml:space="preserve"> =1893</v>
          </cell>
          <cell r="O1746" t="str">
            <v>Asteraceae</v>
          </cell>
          <cell r="P1746" t="str">
            <v>Mikania</v>
          </cell>
          <cell r="R1746" t="str">
            <v xml:space="preserve">Mikania </v>
          </cell>
        </row>
        <row r="1747">
          <cell r="J1747">
            <v>1901</v>
          </cell>
          <cell r="K1747" t="str">
            <v>mikania otra</v>
          </cell>
          <cell r="L1747" t="str">
            <v>Mikania_otra_1893</v>
          </cell>
          <cell r="O1747" t="str">
            <v>Asteraceae</v>
          </cell>
          <cell r="P1747" t="str">
            <v>Mikania</v>
          </cell>
          <cell r="R1747" t="str">
            <v xml:space="preserve">Mikania </v>
          </cell>
        </row>
        <row r="1748">
          <cell r="J1748">
            <v>1902</v>
          </cell>
          <cell r="K1748" t="str">
            <v>Rubus</v>
          </cell>
          <cell r="L1748" t="str">
            <v>Rubus</v>
          </cell>
          <cell r="O1748" t="str">
            <v>Rosaceae</v>
          </cell>
          <cell r="P1748" t="str">
            <v>Rubus</v>
          </cell>
          <cell r="R1748" t="str">
            <v xml:space="preserve">Rubus </v>
          </cell>
        </row>
        <row r="1749">
          <cell r="J1749">
            <v>1903</v>
          </cell>
          <cell r="K1749" t="str">
            <v>Mikania lala</v>
          </cell>
          <cell r="L1749" t="str">
            <v>Mikania_lala_1903</v>
          </cell>
          <cell r="M1749" t="str">
            <v xml:space="preserve"> =1903</v>
          </cell>
          <cell r="O1749" t="str">
            <v>Asteraceae</v>
          </cell>
          <cell r="R1749" t="str">
            <v xml:space="preserve"> </v>
          </cell>
        </row>
        <row r="1750">
          <cell r="J1750">
            <v>1904</v>
          </cell>
          <cell r="L1750" t="str">
            <v>Tallo_duro_crema_estrias_transversales_corteza_interna_blanca_oxida_rosado_claro</v>
          </cell>
          <cell r="R1750" t="str">
            <v xml:space="preserve"> </v>
          </cell>
        </row>
        <row r="1751">
          <cell r="J1751">
            <v>1905</v>
          </cell>
          <cell r="L1751" t="str">
            <v>Mikania_lala_1903</v>
          </cell>
          <cell r="M1751" t="str">
            <v xml:space="preserve"> =1903</v>
          </cell>
          <cell r="O1751" t="str">
            <v>Asteraceae</v>
          </cell>
          <cell r="R1751" t="str">
            <v xml:space="preserve"> </v>
          </cell>
        </row>
        <row r="1752">
          <cell r="J1752">
            <v>1906</v>
          </cell>
          <cell r="L1752" t="str">
            <v>Rhamnaceae_1906</v>
          </cell>
          <cell r="M1752" t="str">
            <v xml:space="preserve"> =1906</v>
          </cell>
          <cell r="O1752" t="str">
            <v>Rhamnaceae</v>
          </cell>
          <cell r="R1752" t="str">
            <v xml:space="preserve"> </v>
          </cell>
        </row>
        <row r="1753">
          <cell r="J1753">
            <v>1907</v>
          </cell>
          <cell r="K1753" t="str">
            <v>estrias grandes</v>
          </cell>
          <cell r="L1753" t="str">
            <v>estrias grandes</v>
          </cell>
          <cell r="R1753" t="str">
            <v xml:space="preserve"> </v>
          </cell>
        </row>
        <row r="1754">
          <cell r="J1754">
            <v>1908</v>
          </cell>
          <cell r="K1754" t="str">
            <v>estrias grandes</v>
          </cell>
          <cell r="L1754" t="str">
            <v>estrias grandes</v>
          </cell>
          <cell r="R1754" t="str">
            <v xml:space="preserve"> </v>
          </cell>
        </row>
        <row r="1755">
          <cell r="J1755">
            <v>1909</v>
          </cell>
          <cell r="K1755" t="str">
            <v>Rubus</v>
          </cell>
          <cell r="L1755" t="str">
            <v>Rubus</v>
          </cell>
          <cell r="O1755" t="str">
            <v>Rosaceae</v>
          </cell>
          <cell r="P1755" t="str">
            <v>Rubus</v>
          </cell>
          <cell r="R1755" t="str">
            <v xml:space="preserve">Rubus </v>
          </cell>
        </row>
        <row r="1756">
          <cell r="J1756">
            <v>1910</v>
          </cell>
          <cell r="K1756" t="str">
            <v>Rubus</v>
          </cell>
          <cell r="L1756" t="str">
            <v>Rubus</v>
          </cell>
          <cell r="O1756" t="str">
            <v>Rosaceae</v>
          </cell>
          <cell r="P1756" t="str">
            <v>Rubus</v>
          </cell>
          <cell r="R1756" t="str">
            <v xml:space="preserve">Rubus </v>
          </cell>
        </row>
        <row r="1757">
          <cell r="J1757">
            <v>1911</v>
          </cell>
          <cell r="K1757" t="str">
            <v>Mikania</v>
          </cell>
          <cell r="L1757" t="str">
            <v>Mikania_otra_1893</v>
          </cell>
          <cell r="M1757" t="str">
            <v xml:space="preserve"> =1893</v>
          </cell>
          <cell r="O1757" t="str">
            <v>Asteraceae</v>
          </cell>
          <cell r="P1757" t="str">
            <v>Mikania</v>
          </cell>
          <cell r="R1757" t="str">
            <v xml:space="preserve">Mikania </v>
          </cell>
        </row>
        <row r="1758">
          <cell r="J1758">
            <v>1912</v>
          </cell>
          <cell r="K1758" t="str">
            <v>Fab plot 1</v>
          </cell>
          <cell r="L1758" t="str">
            <v>Fab_plot_1</v>
          </cell>
          <cell r="M1758" t="str">
            <v xml:space="preserve"> =1899</v>
          </cell>
          <cell r="O1758" t="str">
            <v>Fabaceae</v>
          </cell>
          <cell r="R1758" t="str">
            <v xml:space="preserve"> </v>
          </cell>
        </row>
        <row r="1759">
          <cell r="J1759">
            <v>1913</v>
          </cell>
          <cell r="K1759" t="str">
            <v>Fab plot 1</v>
          </cell>
          <cell r="L1759" t="str">
            <v>Fab_plot_1</v>
          </cell>
          <cell r="M1759" t="str">
            <v xml:space="preserve"> =1899</v>
          </cell>
          <cell r="O1759" t="str">
            <v>Fabaceae</v>
          </cell>
          <cell r="R1759" t="str">
            <v xml:space="preserve"> </v>
          </cell>
        </row>
        <row r="1760">
          <cell r="J1760">
            <v>1914</v>
          </cell>
          <cell r="K1760" t="str">
            <v>Piper</v>
          </cell>
          <cell r="L1760" t="str">
            <v>Manekia_1698</v>
          </cell>
          <cell r="O1760" t="str">
            <v>Piperaceae</v>
          </cell>
          <cell r="P1760" t="str">
            <v>Manekia</v>
          </cell>
          <cell r="Q1760" t="str">
            <v>sydowii</v>
          </cell>
          <cell r="R1760" t="str">
            <v>Manekia sydowii</v>
          </cell>
        </row>
        <row r="1761">
          <cell r="J1761">
            <v>1915</v>
          </cell>
          <cell r="K1761" t="str">
            <v>Mikania glabra</v>
          </cell>
          <cell r="L1761" t="str">
            <v>Mikania_glabra_1915</v>
          </cell>
          <cell r="O1761" t="str">
            <v>Asteraceae</v>
          </cell>
          <cell r="R1761" t="str">
            <v xml:space="preserve"> </v>
          </cell>
        </row>
        <row r="1762">
          <cell r="J1762">
            <v>1916</v>
          </cell>
          <cell r="L1762" t="str">
            <v>Rubiaceae</v>
          </cell>
          <cell r="M1762" t="str">
            <v xml:space="preserve"> =1921</v>
          </cell>
          <cell r="O1762" t="str">
            <v>Rubiaceae</v>
          </cell>
          <cell r="R1762" t="str">
            <v xml:space="preserve"> </v>
          </cell>
        </row>
        <row r="1763">
          <cell r="J1763">
            <v>1917</v>
          </cell>
          <cell r="K1763" t="str">
            <v>mikania otra glabra</v>
          </cell>
          <cell r="L1763" t="str">
            <v>mikania_otra_glabra_1917</v>
          </cell>
          <cell r="M1763" t="str">
            <v xml:space="preserve"> =1917</v>
          </cell>
          <cell r="O1763" t="str">
            <v>Asteraceae</v>
          </cell>
          <cell r="R1763" t="str">
            <v xml:space="preserve"> </v>
          </cell>
        </row>
        <row r="1764">
          <cell r="J1764">
            <v>1918</v>
          </cell>
          <cell r="K1764" t="str">
            <v>mikania otra glabra</v>
          </cell>
          <cell r="L1764" t="str">
            <v>mikania_otra_glabra_1917</v>
          </cell>
          <cell r="M1764" t="str">
            <v xml:space="preserve"> =1917</v>
          </cell>
          <cell r="O1764" t="str">
            <v>Asteraceae</v>
          </cell>
          <cell r="R1764" t="str">
            <v xml:space="preserve"> </v>
          </cell>
        </row>
        <row r="1765">
          <cell r="J1765">
            <v>1919</v>
          </cell>
          <cell r="L1765" t="str">
            <v>Malpighiaceae</v>
          </cell>
          <cell r="O1765" t="str">
            <v>Malpighiaceae</v>
          </cell>
          <cell r="R1765" t="str">
            <v xml:space="preserve"> </v>
          </cell>
        </row>
        <row r="1766">
          <cell r="J1766">
            <v>1920</v>
          </cell>
          <cell r="K1766" t="str">
            <v>Rubus</v>
          </cell>
          <cell r="L1766" t="str">
            <v>Rubus</v>
          </cell>
          <cell r="O1766" t="str">
            <v>Rosaceae</v>
          </cell>
          <cell r="P1766" t="str">
            <v>Rubus</v>
          </cell>
          <cell r="R1766" t="str">
            <v xml:space="preserve">Rubus </v>
          </cell>
        </row>
        <row r="1767">
          <cell r="J1767">
            <v>1921</v>
          </cell>
          <cell r="K1767" t="str">
            <v>indet/pupitos_1816</v>
          </cell>
          <cell r="L1767" t="str">
            <v>Rubiaceae</v>
          </cell>
          <cell r="M1767" t="str">
            <v xml:space="preserve"> =1921</v>
          </cell>
          <cell r="O1767" t="str">
            <v>Rubiaceae</v>
          </cell>
          <cell r="R1767" t="str">
            <v xml:space="preserve"> </v>
          </cell>
        </row>
        <row r="1768">
          <cell r="J1768">
            <v>1922</v>
          </cell>
          <cell r="K1768" t="str">
            <v>Mikania</v>
          </cell>
          <cell r="L1768" t="str">
            <v>Mikania</v>
          </cell>
          <cell r="M1768" t="str">
            <v xml:space="preserve"> =1817</v>
          </cell>
          <cell r="O1768" t="str">
            <v>Asteraceae</v>
          </cell>
          <cell r="R1768" t="str">
            <v xml:space="preserve"> </v>
          </cell>
        </row>
        <row r="1769">
          <cell r="J1769">
            <v>1923</v>
          </cell>
          <cell r="K1769" t="str">
            <v>Rubus</v>
          </cell>
          <cell r="L1769" t="str">
            <v>Rubus</v>
          </cell>
          <cell r="O1769" t="str">
            <v>Rosaceae</v>
          </cell>
          <cell r="P1769" t="str">
            <v>Rubus</v>
          </cell>
          <cell r="R1769" t="str">
            <v xml:space="preserve">Rubus </v>
          </cell>
        </row>
        <row r="1770">
          <cell r="J1770">
            <v>1924</v>
          </cell>
          <cell r="L1770" t="str">
            <v>Polyg_1936</v>
          </cell>
          <cell r="M1770" t="str">
            <v xml:space="preserve"> =1924</v>
          </cell>
          <cell r="O1770" t="str">
            <v>0_Polygonaceae??</v>
          </cell>
          <cell r="R1770" t="str">
            <v xml:space="preserve"> </v>
          </cell>
        </row>
        <row r="1771">
          <cell r="J1771">
            <v>1925</v>
          </cell>
          <cell r="K1771" t="str">
            <v>Rubus</v>
          </cell>
          <cell r="L1771" t="str">
            <v>Rubus</v>
          </cell>
          <cell r="O1771" t="str">
            <v>Rosaceae</v>
          </cell>
          <cell r="P1771" t="str">
            <v>Rubus</v>
          </cell>
          <cell r="R1771" t="str">
            <v xml:space="preserve">Rubus </v>
          </cell>
        </row>
        <row r="1772">
          <cell r="J1772">
            <v>1926</v>
          </cell>
          <cell r="K1772" t="str">
            <v>Rubus</v>
          </cell>
          <cell r="L1772" t="str">
            <v>Rubus</v>
          </cell>
          <cell r="O1772" t="str">
            <v>Rosaceae</v>
          </cell>
          <cell r="P1772" t="str">
            <v>Rubus</v>
          </cell>
          <cell r="R1772" t="str">
            <v xml:space="preserve">Rubus </v>
          </cell>
        </row>
        <row r="1773">
          <cell r="J1773">
            <v>1927</v>
          </cell>
          <cell r="K1773" t="str">
            <v>Piper</v>
          </cell>
          <cell r="L1773" t="str">
            <v>Manekia_1698</v>
          </cell>
          <cell r="O1773" t="str">
            <v>Piperaceae</v>
          </cell>
          <cell r="P1773" t="str">
            <v>Manekia</v>
          </cell>
          <cell r="Q1773" t="str">
            <v>sydowii</v>
          </cell>
          <cell r="R1773" t="str">
            <v>Manekia sydowii</v>
          </cell>
        </row>
        <row r="1774">
          <cell r="J1774">
            <v>1928</v>
          </cell>
          <cell r="K1774" t="str">
            <v>Piper</v>
          </cell>
          <cell r="L1774" t="str">
            <v>Manekia_1698</v>
          </cell>
          <cell r="O1774" t="str">
            <v>Piperaceae</v>
          </cell>
          <cell r="P1774" t="str">
            <v>Manekia</v>
          </cell>
          <cell r="Q1774" t="str">
            <v>sydowii</v>
          </cell>
          <cell r="R1774" t="str">
            <v>Manekia sydowii</v>
          </cell>
        </row>
        <row r="1775">
          <cell r="J1775">
            <v>1929</v>
          </cell>
          <cell r="K1775" t="str">
            <v>Piper</v>
          </cell>
          <cell r="L1775" t="str">
            <v>Manekia_1698</v>
          </cell>
          <cell r="O1775" t="str">
            <v>Piperaceae</v>
          </cell>
          <cell r="P1775" t="str">
            <v>Manekia</v>
          </cell>
          <cell r="Q1775" t="str">
            <v>sydowii</v>
          </cell>
          <cell r="R1775" t="str">
            <v>Manekia sydowii</v>
          </cell>
        </row>
        <row r="1776">
          <cell r="J1776">
            <v>1930</v>
          </cell>
          <cell r="K1776" t="str">
            <v>Piper</v>
          </cell>
          <cell r="L1776" t="str">
            <v>Manekia_1698</v>
          </cell>
          <cell r="O1776" t="str">
            <v>Piperaceae</v>
          </cell>
          <cell r="P1776" t="str">
            <v>Manekia</v>
          </cell>
          <cell r="Q1776" t="str">
            <v>sydowii</v>
          </cell>
          <cell r="R1776" t="str">
            <v>Manekia sydowii</v>
          </cell>
        </row>
        <row r="1777">
          <cell r="J1777">
            <v>1931</v>
          </cell>
          <cell r="K1777" t="str">
            <v>Rubus</v>
          </cell>
          <cell r="L1777" t="str">
            <v>Rubus</v>
          </cell>
          <cell r="O1777" t="str">
            <v>Rosaceae</v>
          </cell>
          <cell r="P1777" t="str">
            <v>Rubus</v>
          </cell>
          <cell r="R1777" t="str">
            <v xml:space="preserve">Rubus </v>
          </cell>
        </row>
        <row r="1778">
          <cell r="J1778">
            <v>1932</v>
          </cell>
          <cell r="K1778" t="str">
            <v>Rubus</v>
          </cell>
          <cell r="L1778" t="str">
            <v>Rubus</v>
          </cell>
          <cell r="O1778" t="str">
            <v>Rosaceae</v>
          </cell>
          <cell r="P1778" t="str">
            <v>Rubus</v>
          </cell>
          <cell r="R1778" t="str">
            <v xml:space="preserve">Rubus </v>
          </cell>
        </row>
        <row r="1779">
          <cell r="J1779">
            <v>1933</v>
          </cell>
          <cell r="K1779" t="str">
            <v>Rubus</v>
          </cell>
          <cell r="L1779" t="str">
            <v>Rubus</v>
          </cell>
          <cell r="O1779" t="str">
            <v>Rosaceae</v>
          </cell>
          <cell r="P1779" t="str">
            <v>Rubus</v>
          </cell>
          <cell r="R1779" t="str">
            <v xml:space="preserve">Rubus </v>
          </cell>
        </row>
        <row r="1780">
          <cell r="J1780">
            <v>1934</v>
          </cell>
          <cell r="K1780" t="str">
            <v>Rubus</v>
          </cell>
          <cell r="L1780" t="str">
            <v>Rubus</v>
          </cell>
          <cell r="O1780" t="str">
            <v>Rosaceae</v>
          </cell>
          <cell r="P1780" t="str">
            <v>Rubus</v>
          </cell>
          <cell r="R1780" t="str">
            <v xml:space="preserve">Rubus </v>
          </cell>
        </row>
        <row r="1781">
          <cell r="J1781">
            <v>1935</v>
          </cell>
          <cell r="L1781" t="str">
            <v>indet_1935</v>
          </cell>
          <cell r="R1781" t="str">
            <v xml:space="preserve"> </v>
          </cell>
        </row>
        <row r="1782">
          <cell r="J1782">
            <v>1936</v>
          </cell>
          <cell r="L1782" t="str">
            <v>Polyg_1936</v>
          </cell>
          <cell r="M1782" t="str">
            <v xml:space="preserve"> =1924</v>
          </cell>
          <cell r="O1782" t="str">
            <v>0_Polygonaceae??</v>
          </cell>
          <cell r="R1782" t="str">
            <v xml:space="preserve"> </v>
          </cell>
        </row>
        <row r="1783">
          <cell r="J1783">
            <v>1937</v>
          </cell>
          <cell r="K1783" t="str">
            <v>Mikania</v>
          </cell>
          <cell r="L1783" t="str">
            <v>Mikania</v>
          </cell>
          <cell r="O1783" t="str">
            <v>Asteraceae</v>
          </cell>
          <cell r="R1783" t="str">
            <v xml:space="preserve"> </v>
          </cell>
        </row>
        <row r="1784">
          <cell r="J1784">
            <v>1938</v>
          </cell>
          <cell r="K1784" t="str">
            <v>Piper</v>
          </cell>
          <cell r="L1784" t="str">
            <v>Manekia_1698</v>
          </cell>
          <cell r="O1784" t="str">
            <v>Piperaceae</v>
          </cell>
          <cell r="P1784" t="str">
            <v>Manekia</v>
          </cell>
          <cell r="Q1784" t="str">
            <v>sydowii</v>
          </cell>
          <cell r="R1784" t="str">
            <v>Manekia sydowii</v>
          </cell>
        </row>
        <row r="1785">
          <cell r="J1785">
            <v>1939</v>
          </cell>
          <cell r="K1785" t="str">
            <v>Rubus</v>
          </cell>
          <cell r="L1785" t="str">
            <v>Rubus</v>
          </cell>
          <cell r="O1785" t="str">
            <v>Rosaceae</v>
          </cell>
          <cell r="P1785" t="str">
            <v>Rubus</v>
          </cell>
          <cell r="R1785" t="str">
            <v xml:space="preserve">Rubus </v>
          </cell>
        </row>
        <row r="1786">
          <cell r="J1786">
            <v>1940</v>
          </cell>
          <cell r="K1786" t="str">
            <v>Rubus</v>
          </cell>
          <cell r="L1786" t="str">
            <v>Rubus</v>
          </cell>
          <cell r="O1786" t="str">
            <v>Rosaceae</v>
          </cell>
          <cell r="P1786" t="str">
            <v>Rubus</v>
          </cell>
          <cell r="R1786" t="str">
            <v xml:space="preserve">Rubus </v>
          </cell>
        </row>
        <row r="1787">
          <cell r="J1787">
            <v>1941</v>
          </cell>
          <cell r="K1787" t="str">
            <v>Rubus</v>
          </cell>
          <cell r="L1787" t="str">
            <v>Rubus</v>
          </cell>
          <cell r="O1787" t="str">
            <v>Rosaceae</v>
          </cell>
          <cell r="P1787" t="str">
            <v>Rubus</v>
          </cell>
          <cell r="R1787" t="str">
            <v xml:space="preserve">Rubus </v>
          </cell>
        </row>
        <row r="1788">
          <cell r="J1788">
            <v>1942</v>
          </cell>
          <cell r="L1788" t="str">
            <v>Sapindaceae</v>
          </cell>
          <cell r="O1788" t="str">
            <v>Sapindaceae</v>
          </cell>
          <cell r="R1788" t="str">
            <v xml:space="preserve"> </v>
          </cell>
        </row>
        <row r="1789">
          <cell r="J1789">
            <v>1943</v>
          </cell>
          <cell r="K1789" t="str">
            <v>Piper</v>
          </cell>
          <cell r="L1789" t="str">
            <v>Manekia_1698</v>
          </cell>
          <cell r="O1789" t="str">
            <v>Piperaceae</v>
          </cell>
          <cell r="P1789" t="str">
            <v>Manekia</v>
          </cell>
          <cell r="Q1789" t="str">
            <v>sydowii</v>
          </cell>
          <cell r="R1789" t="str">
            <v>Manekia sydowii</v>
          </cell>
        </row>
        <row r="1790">
          <cell r="J1790">
            <v>1944</v>
          </cell>
          <cell r="K1790" t="str">
            <v>Mikania?? pubescente</v>
          </cell>
          <cell r="L1790" t="str">
            <v>Mikania_pubescente_1944</v>
          </cell>
          <cell r="O1790" t="str">
            <v>Asteraceae</v>
          </cell>
          <cell r="R1790" t="str">
            <v xml:space="preserve"> </v>
          </cell>
        </row>
        <row r="1791">
          <cell r="J1791">
            <v>1945</v>
          </cell>
          <cell r="L1791" t="str">
            <v>celtis_iguanea</v>
          </cell>
          <cell r="O1791" t="str">
            <v>Cannabaceae</v>
          </cell>
          <cell r="P1791" t="str">
            <v>Celtis</v>
          </cell>
          <cell r="Q1791" t="str">
            <v>iguanaea</v>
          </cell>
          <cell r="R1791" t="str">
            <v>Celtis iguanaea</v>
          </cell>
        </row>
        <row r="1792">
          <cell r="J1792">
            <v>1946</v>
          </cell>
          <cell r="K1792" t="str">
            <v>malpighiaceae???</v>
          </cell>
          <cell r="L1792" t="str">
            <v>malpighiaceae???</v>
          </cell>
          <cell r="M1792" t="str">
            <v xml:space="preserve"> =1875</v>
          </cell>
          <cell r="O1792" t="str">
            <v>Celastraceae</v>
          </cell>
          <cell r="P1792" t="str">
            <v>Salacia</v>
          </cell>
          <cell r="Q1792" t="str">
            <v>multiflora</v>
          </cell>
          <cell r="R1792" t="str">
            <v>Salacia multiflora</v>
          </cell>
        </row>
        <row r="1793">
          <cell r="J1793">
            <v>1947</v>
          </cell>
          <cell r="K1793" t="str">
            <v>fabaceae gigante</v>
          </cell>
          <cell r="L1793" t="str">
            <v>fabaceae_gigante</v>
          </cell>
          <cell r="M1793" t="str">
            <v xml:space="preserve"> =1741</v>
          </cell>
          <cell r="O1793" t="str">
            <v>Fabaceae</v>
          </cell>
          <cell r="R1793" t="str">
            <v xml:space="preserve"> </v>
          </cell>
        </row>
        <row r="1794">
          <cell r="J1794">
            <v>1948</v>
          </cell>
          <cell r="K1794" t="str">
            <v>Ast??</v>
          </cell>
          <cell r="L1794" t="str">
            <v>Ast_1948??</v>
          </cell>
          <cell r="M1794" t="str">
            <v xml:space="preserve"> =1948</v>
          </cell>
          <cell r="O1794" t="str">
            <v>Asteraceae</v>
          </cell>
          <cell r="R1794" t="str">
            <v xml:space="preserve"> </v>
          </cell>
        </row>
        <row r="1795">
          <cell r="J1795">
            <v>1949</v>
          </cell>
          <cell r="K1795" t="str">
            <v>Ast??</v>
          </cell>
          <cell r="L1795" t="str">
            <v>Ast_1948??</v>
          </cell>
          <cell r="M1795" t="str">
            <v xml:space="preserve"> =1948</v>
          </cell>
          <cell r="O1795" t="str">
            <v>Asteraceae</v>
          </cell>
          <cell r="R1795" t="str">
            <v xml:space="preserve"> </v>
          </cell>
        </row>
        <row r="1796">
          <cell r="J1796">
            <v>1950</v>
          </cell>
          <cell r="K1796" t="str">
            <v>Ast.</v>
          </cell>
          <cell r="L1796" t="str">
            <v>Ast_1950</v>
          </cell>
          <cell r="O1796" t="str">
            <v>Asteraceae</v>
          </cell>
          <cell r="R1796" t="str">
            <v xml:space="preserve"> </v>
          </cell>
        </row>
        <row r="1797">
          <cell r="J1797">
            <v>1951</v>
          </cell>
          <cell r="L1797" t="str">
            <v>Corteza_exfoliante_Corteza_interna_blanca_deshilacha</v>
          </cell>
          <cell r="R1797" t="str">
            <v xml:space="preserve"> </v>
          </cell>
        </row>
        <row r="1798">
          <cell r="J1798">
            <v>1952</v>
          </cell>
          <cell r="K1798" t="str">
            <v>Fab plot 1</v>
          </cell>
          <cell r="L1798" t="str">
            <v>Fab_plot_1</v>
          </cell>
          <cell r="M1798" t="str">
            <v xml:space="preserve"> =1899</v>
          </cell>
          <cell r="O1798" t="str">
            <v>Fabaceae</v>
          </cell>
          <cell r="R1798" t="str">
            <v xml:space="preserve"> </v>
          </cell>
        </row>
        <row r="1799">
          <cell r="J1799" t="str">
            <v>NE</v>
          </cell>
          <cell r="R1799" t="str">
            <v xml:space="preserve"> </v>
          </cell>
        </row>
        <row r="1800">
          <cell r="J1800" t="str">
            <v>NE</v>
          </cell>
          <cell r="R1800" t="str">
            <v xml:space="preserve"> </v>
          </cell>
        </row>
        <row r="1801">
          <cell r="J1801" t="str">
            <v>NE</v>
          </cell>
          <cell r="R1801" t="str">
            <v xml:space="preserve"> </v>
          </cell>
        </row>
        <row r="1802">
          <cell r="J1802" t="str">
            <v>NE</v>
          </cell>
          <cell r="R1802" t="str">
            <v xml:space="preserve"> </v>
          </cell>
        </row>
        <row r="1803">
          <cell r="J1803" t="str">
            <v>NE</v>
          </cell>
          <cell r="R1803" t="str">
            <v xml:space="preserve"> </v>
          </cell>
        </row>
        <row r="1804">
          <cell r="J1804" t="str">
            <v>NE</v>
          </cell>
          <cell r="R1804" t="str">
            <v xml:space="preserve"> </v>
          </cell>
        </row>
        <row r="1805">
          <cell r="J1805" t="str">
            <v>NE</v>
          </cell>
          <cell r="R1805" t="str">
            <v xml:space="preserve"> </v>
          </cell>
        </row>
        <row r="1806">
          <cell r="J1806" t="str">
            <v>NE</v>
          </cell>
          <cell r="R1806" t="str">
            <v xml:space="preserve"> </v>
          </cell>
        </row>
        <row r="1807">
          <cell r="J1807" t="str">
            <v>NE</v>
          </cell>
          <cell r="R1807" t="str">
            <v xml:space="preserve"> </v>
          </cell>
        </row>
        <row r="1808">
          <cell r="J1808" t="str">
            <v>NE</v>
          </cell>
          <cell r="R1808" t="str">
            <v xml:space="preserve"> </v>
          </cell>
        </row>
        <row r="1809">
          <cell r="J1809" t="str">
            <v>S/L</v>
          </cell>
          <cell r="R1809" t="str">
            <v xml:space="preserve"> </v>
          </cell>
        </row>
        <row r="1810">
          <cell r="J1810" t="str">
            <v>S/L</v>
          </cell>
          <cell r="R1810" t="str">
            <v xml:space="preserve"> </v>
          </cell>
        </row>
        <row r="1811">
          <cell r="J1811" t="str">
            <v>S/L</v>
          </cell>
          <cell r="R1811" t="str">
            <v xml:space="preserve"> </v>
          </cell>
        </row>
        <row r="1812">
          <cell r="J1812" t="str">
            <v>S/L</v>
          </cell>
          <cell r="R1812" t="str">
            <v xml:space="preserve"> </v>
          </cell>
        </row>
        <row r="1813">
          <cell r="J1813" t="str">
            <v>S/L</v>
          </cell>
          <cell r="R1813" t="str">
            <v xml:space="preserve"> </v>
          </cell>
        </row>
        <row r="1814">
          <cell r="J1814" t="str">
            <v>S/L</v>
          </cell>
          <cell r="R1814" t="str">
            <v xml:space="preserve"> </v>
          </cell>
        </row>
        <row r="1815">
          <cell r="J1815" t="str">
            <v>S/L</v>
          </cell>
          <cell r="R1815" t="str">
            <v xml:space="preserve"> </v>
          </cell>
        </row>
        <row r="1816">
          <cell r="J1816" t="str">
            <v>S/L</v>
          </cell>
          <cell r="R1816" t="str">
            <v xml:space="preserve"> </v>
          </cell>
        </row>
        <row r="1817">
          <cell r="J1817" t="str">
            <v>S/L</v>
          </cell>
          <cell r="R1817" t="str">
            <v xml:space="preserve"> </v>
          </cell>
        </row>
        <row r="1818">
          <cell r="J1818" t="str">
            <v>S/L</v>
          </cell>
          <cell r="R1818" t="str">
            <v xml:space="preserve"> </v>
          </cell>
        </row>
        <row r="1819">
          <cell r="J1819" t="str">
            <v>S/L</v>
          </cell>
          <cell r="R1819" t="str">
            <v xml:space="preserve"> </v>
          </cell>
        </row>
        <row r="1820">
          <cell r="J1820" t="str">
            <v>S/L</v>
          </cell>
          <cell r="R1820" t="str">
            <v xml:space="preserve"> </v>
          </cell>
        </row>
        <row r="1821">
          <cell r="J1821" t="str">
            <v>S/L</v>
          </cell>
          <cell r="R1821" t="str">
            <v xml:space="preserve"> </v>
          </cell>
        </row>
        <row r="1822">
          <cell r="J1822" t="str">
            <v>S/L</v>
          </cell>
          <cell r="R1822" t="str">
            <v xml:space="preserve"> </v>
          </cell>
        </row>
        <row r="1823">
          <cell r="J1823" t="str">
            <v>S/L</v>
          </cell>
          <cell r="R1823" t="str">
            <v xml:space="preserve"> </v>
          </cell>
        </row>
        <row r="1824">
          <cell r="J1824" t="str">
            <v>S/L</v>
          </cell>
          <cell r="R1824" t="str">
            <v xml:space="preserve"> </v>
          </cell>
        </row>
        <row r="1825">
          <cell r="J1825" t="str">
            <v>S/L</v>
          </cell>
          <cell r="R1825" t="str">
            <v xml:space="preserve"> </v>
          </cell>
        </row>
        <row r="1826">
          <cell r="J1826" t="str">
            <v>S/L</v>
          </cell>
          <cell r="R1826" t="str">
            <v xml:space="preserve"> </v>
          </cell>
        </row>
        <row r="1827">
          <cell r="J1827" t="str">
            <v>S/L</v>
          </cell>
          <cell r="R1827" t="str">
            <v xml:space="preserve"> </v>
          </cell>
        </row>
        <row r="1828">
          <cell r="J1828" t="str">
            <v>S/L</v>
          </cell>
          <cell r="R1828" t="str">
            <v xml:space="preserve"> </v>
          </cell>
        </row>
        <row r="1829">
          <cell r="J1829" t="str">
            <v>S/L</v>
          </cell>
          <cell r="R1829" t="str">
            <v xml:space="preserve"> </v>
          </cell>
        </row>
        <row r="1830">
          <cell r="J1830" t="str">
            <v>S/L</v>
          </cell>
          <cell r="R1830" t="str">
            <v xml:space="preserve"> </v>
          </cell>
        </row>
        <row r="1831">
          <cell r="J1831" t="str">
            <v>S/L</v>
          </cell>
          <cell r="R1831" t="str">
            <v xml:space="preserve"> </v>
          </cell>
        </row>
        <row r="1832">
          <cell r="J1832" t="str">
            <v>S/L</v>
          </cell>
          <cell r="R1832" t="str">
            <v xml:space="preserve"> </v>
          </cell>
        </row>
        <row r="1833">
          <cell r="J1833" t="str">
            <v>S/L</v>
          </cell>
          <cell r="R1833" t="str">
            <v xml:space="preserve"> </v>
          </cell>
        </row>
        <row r="1834">
          <cell r="J1834" t="str">
            <v>S/L</v>
          </cell>
          <cell r="R1834" t="str">
            <v xml:space="preserve"> </v>
          </cell>
        </row>
        <row r="1835">
          <cell r="J1835" t="str">
            <v>S/L</v>
          </cell>
          <cell r="R1835" t="str">
            <v xml:space="preserve"> </v>
          </cell>
        </row>
        <row r="1836">
          <cell r="J1836" t="str">
            <v>S/L</v>
          </cell>
          <cell r="R1836" t="str">
            <v xml:space="preserve"> </v>
          </cell>
        </row>
        <row r="1837">
          <cell r="J1837" t="str">
            <v>S/L</v>
          </cell>
          <cell r="R1837" t="str">
            <v xml:space="preserve"> </v>
          </cell>
        </row>
        <row r="1838">
          <cell r="J1838" t="str">
            <v>S/L</v>
          </cell>
          <cell r="R1838" t="str">
            <v xml:space="preserve"> </v>
          </cell>
        </row>
        <row r="1839">
          <cell r="J1839" t="str">
            <v>S/L</v>
          </cell>
          <cell r="R1839" t="str">
            <v xml:space="preserve"> </v>
          </cell>
        </row>
        <row r="1840">
          <cell r="J1840" t="str">
            <v>S/L</v>
          </cell>
          <cell r="R1840" t="str">
            <v xml:space="preserve"> </v>
          </cell>
        </row>
        <row r="1841">
          <cell r="J1841" t="str">
            <v>S/L</v>
          </cell>
          <cell r="R1841" t="str">
            <v xml:space="preserve"> </v>
          </cell>
        </row>
        <row r="1842">
          <cell r="J1842" t="str">
            <v>S/L</v>
          </cell>
          <cell r="R1842" t="str">
            <v xml:space="preserve"> </v>
          </cell>
        </row>
        <row r="1843">
          <cell r="J1843" t="str">
            <v>S/L</v>
          </cell>
          <cell r="R1843" t="str">
            <v xml:space="preserve"> </v>
          </cell>
        </row>
        <row r="1844">
          <cell r="J1844" t="str">
            <v>S/L</v>
          </cell>
          <cell r="R1844" t="str">
            <v xml:space="preserve"> </v>
          </cell>
        </row>
        <row r="1845">
          <cell r="J1845" t="str">
            <v>S/L</v>
          </cell>
          <cell r="R1845" t="str">
            <v xml:space="preserve"> </v>
          </cell>
        </row>
        <row r="1846">
          <cell r="J1846" t="str">
            <v>S/L</v>
          </cell>
          <cell r="R1846" t="str">
            <v xml:space="preserve"> </v>
          </cell>
        </row>
        <row r="1847">
          <cell r="J1847" t="str">
            <v>S/L</v>
          </cell>
          <cell r="R1847" t="str">
            <v xml:space="preserve"> </v>
          </cell>
        </row>
        <row r="1848">
          <cell r="J1848" t="str">
            <v>S/L</v>
          </cell>
          <cell r="R1848" t="str">
            <v xml:space="preserve"> </v>
          </cell>
        </row>
        <row r="1849">
          <cell r="J1849" t="str">
            <v>S/L</v>
          </cell>
          <cell r="R1849" t="str">
            <v xml:space="preserve"> </v>
          </cell>
        </row>
        <row r="1850">
          <cell r="J1850" t="str">
            <v>S/L</v>
          </cell>
          <cell r="R1850" t="str">
            <v xml:space="preserve"> </v>
          </cell>
        </row>
        <row r="1851">
          <cell r="J1851" t="str">
            <v>S/L</v>
          </cell>
          <cell r="R1851" t="str">
            <v xml:space="preserve"> </v>
          </cell>
        </row>
        <row r="1852">
          <cell r="J1852" t="str">
            <v>S/L</v>
          </cell>
          <cell r="R1852" t="str">
            <v xml:space="preserve"> </v>
          </cell>
        </row>
        <row r="1853">
          <cell r="J1853" t="str">
            <v>S/L</v>
          </cell>
          <cell r="R1853" t="str">
            <v xml:space="preserve"> </v>
          </cell>
        </row>
        <row r="1854">
          <cell r="J1854" t="str">
            <v>S/L</v>
          </cell>
          <cell r="R1854" t="str">
            <v xml:space="preserve"> </v>
          </cell>
        </row>
        <row r="1855">
          <cell r="J1855" t="str">
            <v>S/L</v>
          </cell>
          <cell r="R1855" t="str">
            <v xml:space="preserve"> </v>
          </cell>
        </row>
        <row r="1856">
          <cell r="J1856" t="str">
            <v>S/L</v>
          </cell>
          <cell r="R1856" t="str">
            <v xml:space="preserve"> </v>
          </cell>
        </row>
        <row r="1857">
          <cell r="J1857" t="str">
            <v>S/L</v>
          </cell>
          <cell r="R1857" t="str">
            <v xml:space="preserve"> </v>
          </cell>
        </row>
        <row r="1858">
          <cell r="J1858" t="str">
            <v>S/L</v>
          </cell>
          <cell r="R1858" t="str">
            <v xml:space="preserve"> </v>
          </cell>
        </row>
        <row r="1859">
          <cell r="J1859" t="str">
            <v>S/L</v>
          </cell>
          <cell r="R1859" t="str">
            <v xml:space="preserve"> </v>
          </cell>
        </row>
        <row r="1860">
          <cell r="J1860" t="str">
            <v>S/L</v>
          </cell>
          <cell r="R1860" t="str">
            <v xml:space="preserve"> </v>
          </cell>
        </row>
        <row r="1861">
          <cell r="J1861" t="str">
            <v>S/L</v>
          </cell>
          <cell r="R1861" t="str">
            <v xml:space="preserve"> </v>
          </cell>
        </row>
        <row r="1862">
          <cell r="J1862" t="str">
            <v>S/L</v>
          </cell>
          <cell r="R1862" t="str">
            <v xml:space="preserve"> </v>
          </cell>
        </row>
        <row r="1863">
          <cell r="J1863" t="str">
            <v>S/L</v>
          </cell>
          <cell r="R1863" t="str">
            <v xml:space="preserve"> </v>
          </cell>
        </row>
        <row r="1864">
          <cell r="J1864" t="str">
            <v>S/L</v>
          </cell>
          <cell r="R1864" t="str">
            <v xml:space="preserve"> </v>
          </cell>
        </row>
        <row r="1865">
          <cell r="J1865" t="str">
            <v>S/L</v>
          </cell>
          <cell r="R1865" t="str">
            <v xml:space="preserve"> </v>
          </cell>
        </row>
        <row r="1866">
          <cell r="J1866" t="str">
            <v>S/L</v>
          </cell>
          <cell r="R1866" t="str">
            <v xml:space="preserve"> </v>
          </cell>
        </row>
        <row r="1867">
          <cell r="J1867" t="str">
            <v>S/L</v>
          </cell>
          <cell r="R1867" t="str">
            <v xml:space="preserve"> </v>
          </cell>
        </row>
        <row r="1868">
          <cell r="J1868" t="str">
            <v>S/L</v>
          </cell>
          <cell r="R1868" t="str">
            <v xml:space="preserve"> </v>
          </cell>
        </row>
        <row r="1869">
          <cell r="J1869" t="str">
            <v>S/L</v>
          </cell>
          <cell r="R1869" t="str">
            <v xml:space="preserve"> </v>
          </cell>
        </row>
        <row r="1870">
          <cell r="J1870" t="str">
            <v>S/L</v>
          </cell>
          <cell r="R1870" t="str">
            <v xml:space="preserve"> </v>
          </cell>
        </row>
        <row r="1871">
          <cell r="J1871" t="str">
            <v>S/L</v>
          </cell>
          <cell r="R1871" t="str">
            <v xml:space="preserve"> </v>
          </cell>
        </row>
        <row r="1872">
          <cell r="J1872" t="str">
            <v>S/L</v>
          </cell>
          <cell r="R1872" t="str">
            <v xml:space="preserve"> </v>
          </cell>
        </row>
        <row r="1873">
          <cell r="J1873" t="str">
            <v>S/L</v>
          </cell>
          <cell r="R1873" t="str">
            <v xml:space="preserve"> </v>
          </cell>
        </row>
        <row r="1874">
          <cell r="J1874" t="str">
            <v>S/L</v>
          </cell>
          <cell r="R1874" t="str">
            <v xml:space="preserve"> </v>
          </cell>
        </row>
        <row r="1875">
          <cell r="J1875" t="str">
            <v>S/L</v>
          </cell>
          <cell r="R1875" t="str">
            <v xml:space="preserve"> </v>
          </cell>
        </row>
        <row r="1876">
          <cell r="J1876" t="str">
            <v>S/L</v>
          </cell>
          <cell r="R1876" t="str">
            <v xml:space="preserve"> </v>
          </cell>
        </row>
        <row r="1877">
          <cell r="J1877" t="str">
            <v>S/L</v>
          </cell>
          <cell r="R1877" t="str">
            <v xml:space="preserve"> </v>
          </cell>
        </row>
        <row r="1878">
          <cell r="J1878" t="str">
            <v>S/L</v>
          </cell>
          <cell r="R1878" t="str">
            <v xml:space="preserve"> </v>
          </cell>
        </row>
        <row r="1879">
          <cell r="J1879" t="str">
            <v>S/L</v>
          </cell>
          <cell r="R1879" t="str">
            <v xml:space="preserve"> </v>
          </cell>
        </row>
        <row r="1880">
          <cell r="J1880" t="str">
            <v>S/L</v>
          </cell>
          <cell r="R1880" t="str">
            <v xml:space="preserve"> </v>
          </cell>
        </row>
        <row r="1881">
          <cell r="J1881" t="str">
            <v>S/L</v>
          </cell>
          <cell r="R1881" t="str">
            <v xml:space="preserve"> </v>
          </cell>
        </row>
        <row r="1882">
          <cell r="J1882" t="str">
            <v>S/L</v>
          </cell>
          <cell r="R1882" t="str">
            <v xml:space="preserve"> </v>
          </cell>
        </row>
        <row r="1883">
          <cell r="J1883" t="str">
            <v>S/L</v>
          </cell>
          <cell r="R1883" t="str">
            <v xml:space="preserve"> </v>
          </cell>
        </row>
        <row r="1884">
          <cell r="J1884" t="str">
            <v>S/L</v>
          </cell>
          <cell r="R1884" t="str">
            <v xml:space="preserve"> </v>
          </cell>
        </row>
        <row r="1885">
          <cell r="J1885" t="str">
            <v>S/L</v>
          </cell>
          <cell r="R1885" t="str">
            <v xml:space="preserve"> </v>
          </cell>
        </row>
        <row r="1886">
          <cell r="J1886" t="str">
            <v>S/L</v>
          </cell>
          <cell r="R1886" t="str">
            <v xml:space="preserve"> </v>
          </cell>
        </row>
        <row r="1887">
          <cell r="J1887" t="str">
            <v>S/L</v>
          </cell>
          <cell r="R1887" t="str">
            <v xml:space="preserve"> </v>
          </cell>
        </row>
        <row r="1888">
          <cell r="J1888" t="str">
            <v>S/L</v>
          </cell>
          <cell r="R1888" t="str">
            <v xml:space="preserve"> </v>
          </cell>
        </row>
        <row r="1889">
          <cell r="J1889" t="str">
            <v>S/L</v>
          </cell>
          <cell r="R1889" t="str">
            <v xml:space="preserve"> </v>
          </cell>
        </row>
        <row r="1890">
          <cell r="J1890" t="str">
            <v>S/L</v>
          </cell>
          <cell r="R1890" t="str">
            <v xml:space="preserve"> </v>
          </cell>
        </row>
        <row r="1891">
          <cell r="J1891" t="str">
            <v>S/L</v>
          </cell>
          <cell r="R1891" t="str">
            <v xml:space="preserve"> </v>
          </cell>
        </row>
        <row r="1892">
          <cell r="J1892" t="str">
            <v>S/L</v>
          </cell>
          <cell r="R1892" t="str">
            <v xml:space="preserve"> </v>
          </cell>
        </row>
        <row r="1893">
          <cell r="J1893" t="str">
            <v>S/L</v>
          </cell>
          <cell r="R1893" t="str">
            <v xml:space="preserve"> </v>
          </cell>
        </row>
        <row r="1894">
          <cell r="J1894" t="str">
            <v>S/L</v>
          </cell>
          <cell r="R1894" t="str">
            <v xml:space="preserve"> </v>
          </cell>
        </row>
        <row r="1895">
          <cell r="J1895" t="str">
            <v>S/L</v>
          </cell>
          <cell r="R1895" t="str">
            <v xml:space="preserve"> </v>
          </cell>
        </row>
        <row r="1896">
          <cell r="J1896" t="str">
            <v>S/L</v>
          </cell>
          <cell r="R1896" t="str">
            <v xml:space="preserve"> </v>
          </cell>
        </row>
        <row r="1897">
          <cell r="J1897" t="str">
            <v>S/L</v>
          </cell>
          <cell r="R1897" t="str">
            <v xml:space="preserve"> </v>
          </cell>
        </row>
        <row r="1898">
          <cell r="J1898" t="str">
            <v>S/L</v>
          </cell>
          <cell r="R1898" t="str">
            <v xml:space="preserve"> </v>
          </cell>
        </row>
        <row r="1899">
          <cell r="J1899" t="str">
            <v>S/L</v>
          </cell>
          <cell r="R1899" t="str">
            <v xml:space="preserve"> </v>
          </cell>
        </row>
        <row r="1900">
          <cell r="J1900" t="str">
            <v>S/L</v>
          </cell>
          <cell r="R1900" t="str">
            <v xml:space="preserve"> </v>
          </cell>
        </row>
        <row r="1901">
          <cell r="J1901" t="str">
            <v>S/L</v>
          </cell>
          <cell r="R1901" t="str">
            <v xml:space="preserve"> </v>
          </cell>
        </row>
        <row r="1902">
          <cell r="J1902" t="str">
            <v>S/L</v>
          </cell>
          <cell r="R1902" t="str">
            <v xml:space="preserve"> </v>
          </cell>
        </row>
        <row r="1903">
          <cell r="J1903" t="str">
            <v>S/L</v>
          </cell>
          <cell r="R1903" t="str">
            <v xml:space="preserve"> </v>
          </cell>
        </row>
        <row r="1904">
          <cell r="J1904" t="str">
            <v>S/L</v>
          </cell>
          <cell r="R1904" t="str">
            <v xml:space="preserve"> </v>
          </cell>
        </row>
        <row r="1905">
          <cell r="J1905" t="str">
            <v>S/L</v>
          </cell>
          <cell r="R1905" t="str">
            <v xml:space="preserve"> </v>
          </cell>
        </row>
        <row r="1906">
          <cell r="J1906" t="str">
            <v>S/L</v>
          </cell>
          <cell r="R1906" t="str">
            <v xml:space="preserve"> </v>
          </cell>
        </row>
        <row r="1907">
          <cell r="J1907" t="str">
            <v>S/L</v>
          </cell>
          <cell r="R1907" t="str">
            <v xml:space="preserve"> </v>
          </cell>
        </row>
        <row r="1908">
          <cell r="J1908" t="str">
            <v>S/L</v>
          </cell>
          <cell r="R1908" t="str">
            <v xml:space="preserve"> </v>
          </cell>
        </row>
        <row r="1909">
          <cell r="J1909" t="str">
            <v>S/L</v>
          </cell>
          <cell r="R1909" t="str">
            <v xml:space="preserve"> </v>
          </cell>
        </row>
        <row r="1910">
          <cell r="J1910" t="str">
            <v>S/L</v>
          </cell>
          <cell r="R1910" t="str">
            <v xml:space="preserve"> </v>
          </cell>
        </row>
        <row r="1911">
          <cell r="J1911" t="str">
            <v>S/L</v>
          </cell>
          <cell r="R1911" t="str">
            <v xml:space="preserve"> </v>
          </cell>
        </row>
        <row r="1912">
          <cell r="J1912" t="str">
            <v>S/L</v>
          </cell>
          <cell r="R1912" t="str">
            <v xml:space="preserve"> </v>
          </cell>
        </row>
        <row r="1913">
          <cell r="J1913" t="str">
            <v>S/L</v>
          </cell>
          <cell r="R1913" t="str">
            <v xml:space="preserve"> </v>
          </cell>
        </row>
        <row r="1914">
          <cell r="J1914" t="str">
            <v>S/L</v>
          </cell>
          <cell r="R1914" t="str">
            <v xml:space="preserve"> </v>
          </cell>
        </row>
        <row r="1915">
          <cell r="J1915" t="str">
            <v>S/L</v>
          </cell>
          <cell r="R1915" t="str">
            <v xml:space="preserve"> </v>
          </cell>
        </row>
        <row r="1916">
          <cell r="J1916" t="str">
            <v>S/L</v>
          </cell>
          <cell r="R1916" t="str">
            <v xml:space="preserve"> </v>
          </cell>
        </row>
        <row r="1917">
          <cell r="J1917" t="str">
            <v>S/L</v>
          </cell>
          <cell r="R1917" t="str">
            <v xml:space="preserve"> </v>
          </cell>
        </row>
        <row r="1918">
          <cell r="J1918" t="str">
            <v>S/L</v>
          </cell>
          <cell r="R1918" t="str">
            <v xml:space="preserve"> </v>
          </cell>
        </row>
        <row r="1919">
          <cell r="J1919" t="str">
            <v>S/L</v>
          </cell>
          <cell r="R1919" t="str">
            <v xml:space="preserve"> </v>
          </cell>
        </row>
        <row r="1920">
          <cell r="J1920" t="str">
            <v>S/L</v>
          </cell>
          <cell r="R1920" t="str">
            <v xml:space="preserve"> </v>
          </cell>
        </row>
        <row r="1921">
          <cell r="J1921" t="str">
            <v>S/L</v>
          </cell>
          <cell r="R1921" t="str">
            <v xml:space="preserve"> </v>
          </cell>
        </row>
        <row r="1922">
          <cell r="J1922" t="str">
            <v>S/L</v>
          </cell>
          <cell r="R1922" t="str">
            <v xml:space="preserve"> </v>
          </cell>
        </row>
        <row r="1923">
          <cell r="J1923" t="str">
            <v>S/L</v>
          </cell>
          <cell r="R1923" t="str">
            <v xml:space="preserve"> </v>
          </cell>
        </row>
        <row r="1924">
          <cell r="J1924" t="str">
            <v>S/L</v>
          </cell>
          <cell r="R1924" t="str">
            <v xml:space="preserve"> </v>
          </cell>
        </row>
        <row r="1925">
          <cell r="J1925" t="str">
            <v>S/L</v>
          </cell>
          <cell r="R1925" t="str">
            <v xml:space="preserve"> </v>
          </cell>
        </row>
        <row r="1926">
          <cell r="J1926" t="str">
            <v>S/L</v>
          </cell>
          <cell r="R1926" t="str">
            <v xml:space="preserve"> </v>
          </cell>
        </row>
        <row r="1927">
          <cell r="J1927" t="str">
            <v>S/L</v>
          </cell>
          <cell r="R1927" t="str">
            <v xml:space="preserve"> </v>
          </cell>
        </row>
        <row r="1928">
          <cell r="J1928" t="str">
            <v>S/L</v>
          </cell>
          <cell r="R1928" t="str">
            <v xml:space="preserve"> </v>
          </cell>
        </row>
        <row r="1929">
          <cell r="J1929" t="str">
            <v>S/L</v>
          </cell>
          <cell r="R1929" t="str">
            <v xml:space="preserve"> </v>
          </cell>
        </row>
        <row r="1930">
          <cell r="J1930" t="str">
            <v>S/L</v>
          </cell>
          <cell r="R1930" t="str">
            <v xml:space="preserve"> </v>
          </cell>
        </row>
        <row r="1931">
          <cell r="J1931" t="str">
            <v>S/L</v>
          </cell>
          <cell r="R1931" t="str">
            <v xml:space="preserve"> </v>
          </cell>
        </row>
        <row r="1932">
          <cell r="J1932" t="str">
            <v>S/L</v>
          </cell>
          <cell r="R1932" t="str">
            <v xml:space="preserve"> </v>
          </cell>
        </row>
        <row r="1933">
          <cell r="J1933" t="str">
            <v>S/L</v>
          </cell>
          <cell r="R1933" t="str">
            <v xml:space="preserve"> </v>
          </cell>
        </row>
        <row r="1934">
          <cell r="J1934" t="str">
            <v>S/L</v>
          </cell>
          <cell r="R1934" t="str">
            <v xml:space="preserve"> </v>
          </cell>
        </row>
        <row r="1935">
          <cell r="J1935" t="str">
            <v>S/L</v>
          </cell>
          <cell r="R1935" t="str">
            <v xml:space="preserve"> </v>
          </cell>
        </row>
        <row r="1936">
          <cell r="J1936" t="str">
            <v>S/L</v>
          </cell>
          <cell r="R1936" t="str">
            <v xml:space="preserve"> </v>
          </cell>
        </row>
        <row r="1937">
          <cell r="J1937" t="str">
            <v>S/L</v>
          </cell>
          <cell r="R1937" t="str">
            <v xml:space="preserve"> </v>
          </cell>
        </row>
        <row r="1938">
          <cell r="J1938" t="str">
            <v>S/L</v>
          </cell>
          <cell r="R1938" t="str">
            <v xml:space="preserve"> </v>
          </cell>
        </row>
        <row r="1939">
          <cell r="J1939" t="str">
            <v>S/L</v>
          </cell>
          <cell r="R1939" t="str">
            <v xml:space="preserve"> </v>
          </cell>
        </row>
        <row r="1940">
          <cell r="J1940" t="str">
            <v>S/L</v>
          </cell>
          <cell r="R1940" t="str">
            <v xml:space="preserve"> </v>
          </cell>
        </row>
        <row r="1941">
          <cell r="J1941" t="str">
            <v>S/L</v>
          </cell>
          <cell r="R1941" t="str">
            <v xml:space="preserve"> </v>
          </cell>
        </row>
        <row r="1942">
          <cell r="J1942" t="str">
            <v>S/L</v>
          </cell>
          <cell r="R1942" t="str">
            <v xml:space="preserve"> </v>
          </cell>
        </row>
        <row r="1943">
          <cell r="J1943" t="str">
            <v>S/L</v>
          </cell>
          <cell r="R1943" t="str">
            <v xml:space="preserve"> </v>
          </cell>
        </row>
        <row r="1944">
          <cell r="J1944" t="str">
            <v>S/L</v>
          </cell>
          <cell r="R1944" t="str">
            <v xml:space="preserve"> </v>
          </cell>
        </row>
        <row r="1945">
          <cell r="J1945" t="str">
            <v>S/L</v>
          </cell>
          <cell r="R1945" t="str">
            <v xml:space="preserve"> </v>
          </cell>
        </row>
        <row r="1946">
          <cell r="J1946" t="str">
            <v>S/L</v>
          </cell>
          <cell r="R1946" t="str">
            <v xml:space="preserve"> </v>
          </cell>
        </row>
        <row r="1947">
          <cell r="J1947" t="str">
            <v>S/L</v>
          </cell>
          <cell r="R1947" t="str">
            <v xml:space="preserve"> </v>
          </cell>
        </row>
        <row r="1948">
          <cell r="J1948" t="str">
            <v>S/L</v>
          </cell>
          <cell r="R1948" t="str">
            <v xml:space="preserve"> </v>
          </cell>
        </row>
        <row r="1949">
          <cell r="J1949" t="str">
            <v>S/L</v>
          </cell>
          <cell r="R1949" t="str">
            <v xml:space="preserve"> </v>
          </cell>
        </row>
        <row r="1950">
          <cell r="J1950" t="str">
            <v>S/L</v>
          </cell>
          <cell r="R1950" t="str">
            <v xml:space="preserve"> </v>
          </cell>
        </row>
        <row r="1951">
          <cell r="J1951" t="str">
            <v>S/L</v>
          </cell>
          <cell r="R1951" t="str">
            <v xml:space="preserve"> </v>
          </cell>
        </row>
        <row r="1952">
          <cell r="J1952" t="str">
            <v>S/L</v>
          </cell>
          <cell r="R1952" t="str">
            <v xml:space="preserve"> </v>
          </cell>
        </row>
        <row r="1953">
          <cell r="J1953" t="str">
            <v>S/L</v>
          </cell>
          <cell r="R1953" t="str">
            <v xml:space="preserve"> </v>
          </cell>
        </row>
        <row r="1954">
          <cell r="J1954" t="str">
            <v>S/L</v>
          </cell>
          <cell r="R1954" t="str">
            <v xml:space="preserve"> </v>
          </cell>
        </row>
        <row r="1955">
          <cell r="J1955" t="str">
            <v>S/L</v>
          </cell>
          <cell r="R1955" t="str">
            <v xml:space="preserve"> </v>
          </cell>
        </row>
        <row r="1956">
          <cell r="J1956" t="str">
            <v>S/L</v>
          </cell>
          <cell r="R1956" t="str">
            <v xml:space="preserve"> </v>
          </cell>
        </row>
        <row r="1957">
          <cell r="J1957" t="str">
            <v>S/L</v>
          </cell>
          <cell r="R1957" t="str">
            <v xml:space="preserve"> </v>
          </cell>
        </row>
        <row r="1958">
          <cell r="J1958" t="str">
            <v>S/L</v>
          </cell>
          <cell r="R1958" t="str">
            <v xml:space="preserve"> </v>
          </cell>
        </row>
        <row r="1959">
          <cell r="J1959" t="str">
            <v>S/L</v>
          </cell>
          <cell r="R1959" t="str">
            <v xml:space="preserve"> </v>
          </cell>
        </row>
        <row r="1960">
          <cell r="J1960" t="str">
            <v>S/L</v>
          </cell>
          <cell r="R1960" t="str">
            <v xml:space="preserve"> </v>
          </cell>
        </row>
        <row r="1961">
          <cell r="J1961" t="str">
            <v>S/L</v>
          </cell>
          <cell r="R1961" t="str">
            <v xml:space="preserve"> </v>
          </cell>
        </row>
        <row r="1962">
          <cell r="J1962" t="str">
            <v>S/L</v>
          </cell>
          <cell r="R1962" t="str">
            <v xml:space="preserve"> </v>
          </cell>
        </row>
        <row r="1963">
          <cell r="J1963" t="str">
            <v>S/L</v>
          </cell>
          <cell r="R1963" t="str">
            <v xml:space="preserve"> </v>
          </cell>
        </row>
        <row r="1964">
          <cell r="J1964" t="str">
            <v>S/L</v>
          </cell>
          <cell r="R1964" t="str">
            <v xml:space="preserve"> </v>
          </cell>
        </row>
        <row r="1965">
          <cell r="J1965" t="str">
            <v>S/L</v>
          </cell>
          <cell r="R1965" t="str">
            <v xml:space="preserve"> </v>
          </cell>
        </row>
        <row r="1966">
          <cell r="J1966" t="str">
            <v>S/L</v>
          </cell>
          <cell r="R1966" t="str">
            <v xml:space="preserve"> </v>
          </cell>
        </row>
        <row r="1967">
          <cell r="J1967" t="str">
            <v>S/L</v>
          </cell>
          <cell r="R1967" t="str">
            <v xml:space="preserve"> </v>
          </cell>
        </row>
        <row r="1968">
          <cell r="J1968" t="str">
            <v>S/L</v>
          </cell>
          <cell r="R1968" t="str">
            <v xml:space="preserve"> </v>
          </cell>
        </row>
        <row r="1969">
          <cell r="J1969" t="str">
            <v>S/L</v>
          </cell>
          <cell r="R1969" t="str">
            <v xml:space="preserve"> </v>
          </cell>
        </row>
        <row r="1970">
          <cell r="J1970" t="str">
            <v>S/L</v>
          </cell>
          <cell r="R1970" t="str">
            <v xml:space="preserve"> </v>
          </cell>
        </row>
        <row r="1971">
          <cell r="J1971" t="str">
            <v>S/L</v>
          </cell>
          <cell r="R1971" t="str">
            <v xml:space="preserve"> </v>
          </cell>
        </row>
        <row r="1972">
          <cell r="J1972" t="str">
            <v>S/L</v>
          </cell>
          <cell r="R1972" t="str">
            <v xml:space="preserve"> </v>
          </cell>
        </row>
        <row r="1973">
          <cell r="J1973" t="str">
            <v>S/L</v>
          </cell>
          <cell r="R1973" t="str">
            <v xml:space="preserve"> </v>
          </cell>
        </row>
        <row r="1974">
          <cell r="J1974" t="str">
            <v>S/L</v>
          </cell>
          <cell r="R1974" t="str">
            <v xml:space="preserve"> </v>
          </cell>
        </row>
        <row r="1975">
          <cell r="J1975" t="str">
            <v>S/L</v>
          </cell>
          <cell r="R1975" t="str">
            <v xml:space="preserve"> </v>
          </cell>
        </row>
        <row r="1976">
          <cell r="J1976" t="str">
            <v>S/L</v>
          </cell>
          <cell r="R1976" t="str">
            <v xml:space="preserve"> </v>
          </cell>
        </row>
        <row r="1977">
          <cell r="J1977" t="str">
            <v>S/L</v>
          </cell>
          <cell r="R1977" t="str">
            <v xml:space="preserve"> </v>
          </cell>
        </row>
        <row r="1978">
          <cell r="J1978" t="str">
            <v>S/L</v>
          </cell>
          <cell r="R1978" t="str">
            <v xml:space="preserve"> </v>
          </cell>
        </row>
        <row r="1979">
          <cell r="J1979" t="str">
            <v>S/L</v>
          </cell>
          <cell r="R1979" t="str">
            <v xml:space="preserve"> </v>
          </cell>
        </row>
        <row r="1980">
          <cell r="J1980" t="str">
            <v>S/L</v>
          </cell>
          <cell r="R1980" t="str">
            <v xml:space="preserve"> </v>
          </cell>
        </row>
        <row r="1981">
          <cell r="J1981" t="str">
            <v>S/L</v>
          </cell>
          <cell r="R1981" t="str">
            <v xml:space="preserve"> </v>
          </cell>
        </row>
        <row r="1982">
          <cell r="J1982" t="str">
            <v>S/L</v>
          </cell>
          <cell r="R1982" t="str">
            <v xml:space="preserve"> </v>
          </cell>
        </row>
        <row r="1983">
          <cell r="J1983" t="str">
            <v>S/L</v>
          </cell>
          <cell r="R1983" t="str">
            <v xml:space="preserve"> </v>
          </cell>
        </row>
        <row r="1984">
          <cell r="J1984" t="str">
            <v>S/L</v>
          </cell>
          <cell r="R1984" t="str">
            <v xml:space="preserve"> </v>
          </cell>
        </row>
        <row r="1985">
          <cell r="J1985" t="str">
            <v>S/L</v>
          </cell>
          <cell r="R1985" t="str">
            <v xml:space="preserve"> </v>
          </cell>
        </row>
        <row r="1986">
          <cell r="J1986" t="str">
            <v>S/L</v>
          </cell>
          <cell r="R1986" t="str">
            <v xml:space="preserve"> </v>
          </cell>
        </row>
        <row r="1987">
          <cell r="J1987" t="str">
            <v>S/L</v>
          </cell>
          <cell r="R1987" t="str">
            <v xml:space="preserve"> </v>
          </cell>
        </row>
        <row r="1988">
          <cell r="J1988" t="str">
            <v>S/L</v>
          </cell>
          <cell r="R1988" t="str">
            <v xml:space="preserve"> </v>
          </cell>
        </row>
        <row r="1989">
          <cell r="J1989" t="str">
            <v>S/L</v>
          </cell>
          <cell r="R1989" t="str">
            <v xml:space="preserve"> </v>
          </cell>
        </row>
        <row r="1990">
          <cell r="J1990" t="str">
            <v>S/L</v>
          </cell>
          <cell r="R1990" t="str">
            <v xml:space="preserve"> </v>
          </cell>
        </row>
        <row r="1991">
          <cell r="J1991" t="str">
            <v>S/L</v>
          </cell>
          <cell r="R1991" t="str">
            <v xml:space="preserve"> </v>
          </cell>
        </row>
        <row r="1992">
          <cell r="J1992" t="str">
            <v>S/L</v>
          </cell>
          <cell r="R1992" t="str">
            <v xml:space="preserve"> </v>
          </cell>
        </row>
        <row r="1993">
          <cell r="J1993" t="str">
            <v>S/L</v>
          </cell>
          <cell r="R1993" t="str">
            <v xml:space="preserve"> </v>
          </cell>
        </row>
        <row r="1994">
          <cell r="J1994" t="str">
            <v>S/L</v>
          </cell>
          <cell r="R1994" t="str">
            <v xml:space="preserve"> </v>
          </cell>
        </row>
        <row r="1995">
          <cell r="J1995" t="str">
            <v>S/L</v>
          </cell>
          <cell r="R1995" t="str">
            <v xml:space="preserve"> </v>
          </cell>
        </row>
        <row r="1996">
          <cell r="J1996" t="str">
            <v>S/L</v>
          </cell>
          <cell r="R1996" t="str">
            <v xml:space="preserve"> </v>
          </cell>
        </row>
        <row r="1997">
          <cell r="J1997" t="str">
            <v>S/L</v>
          </cell>
          <cell r="R1997" t="str">
            <v xml:space="preserve"> </v>
          </cell>
        </row>
        <row r="1998">
          <cell r="J1998" t="str">
            <v>S/L</v>
          </cell>
          <cell r="R1998" t="str">
            <v xml:space="preserve"> </v>
          </cell>
        </row>
        <row r="1999">
          <cell r="J1999" t="str">
            <v>S/L</v>
          </cell>
          <cell r="R1999" t="str">
            <v xml:space="preserve"> </v>
          </cell>
        </row>
        <row r="2000">
          <cell r="J2000" t="str">
            <v>S/L</v>
          </cell>
          <cell r="R2000" t="str">
            <v xml:space="preserve"> </v>
          </cell>
        </row>
        <row r="2001">
          <cell r="J2001" t="str">
            <v>S/L</v>
          </cell>
          <cell r="R2001" t="str">
            <v xml:space="preserve"> </v>
          </cell>
        </row>
        <row r="2002">
          <cell r="J2002" t="str">
            <v>S/L</v>
          </cell>
          <cell r="R2002" t="str">
            <v xml:space="preserve"> </v>
          </cell>
        </row>
        <row r="2003">
          <cell r="J2003" t="str">
            <v>S/L</v>
          </cell>
          <cell r="R2003" t="str">
            <v xml:space="preserve"> </v>
          </cell>
        </row>
        <row r="2004">
          <cell r="J2004" t="str">
            <v>S/L</v>
          </cell>
          <cell r="R2004" t="str">
            <v xml:space="preserve"> </v>
          </cell>
        </row>
        <row r="2005">
          <cell r="J2005" t="str">
            <v>S/L</v>
          </cell>
          <cell r="R2005" t="str">
            <v xml:space="preserve"> </v>
          </cell>
        </row>
        <row r="2006">
          <cell r="J2006" t="str">
            <v>S/L</v>
          </cell>
          <cell r="R2006" t="str">
            <v xml:space="preserve"> </v>
          </cell>
        </row>
        <row r="2007">
          <cell r="J2007" t="str">
            <v>S/L</v>
          </cell>
          <cell r="R2007" t="str">
            <v xml:space="preserve"> </v>
          </cell>
        </row>
        <row r="2008">
          <cell r="J2008" t="str">
            <v>S/L</v>
          </cell>
          <cell r="R2008" t="str">
            <v xml:space="preserve"> </v>
          </cell>
        </row>
        <row r="2009">
          <cell r="J2009" t="str">
            <v>S/L</v>
          </cell>
          <cell r="R2009" t="str">
            <v xml:space="preserve"> </v>
          </cell>
        </row>
        <row r="2010">
          <cell r="J2010" t="str">
            <v>S/L</v>
          </cell>
          <cell r="R2010" t="str">
            <v xml:space="preserve"> </v>
          </cell>
        </row>
        <row r="2011">
          <cell r="J2011" t="str">
            <v>S/L</v>
          </cell>
          <cell r="R2011" t="str">
            <v xml:space="preserve"> </v>
          </cell>
        </row>
        <row r="2012">
          <cell r="J2012" t="str">
            <v>S/L</v>
          </cell>
          <cell r="R2012" t="str">
            <v xml:space="preserve"> </v>
          </cell>
        </row>
        <row r="2013">
          <cell r="J2013" t="str">
            <v>S/L</v>
          </cell>
          <cell r="R2013" t="str">
            <v xml:space="preserve"> </v>
          </cell>
        </row>
        <row r="2014">
          <cell r="J2014" t="str">
            <v>S/L</v>
          </cell>
          <cell r="R2014" t="str">
            <v xml:space="preserve"> </v>
          </cell>
        </row>
        <row r="2015">
          <cell r="J2015" t="str">
            <v>S/L</v>
          </cell>
          <cell r="R2015" t="str">
            <v xml:space="preserve"> </v>
          </cell>
        </row>
        <row r="2016">
          <cell r="J2016" t="str">
            <v>S/L</v>
          </cell>
          <cell r="R2016" t="str">
            <v xml:space="preserve"> </v>
          </cell>
        </row>
        <row r="2017">
          <cell r="J2017" t="str">
            <v>S/L</v>
          </cell>
          <cell r="R2017" t="str">
            <v xml:space="preserve"> </v>
          </cell>
        </row>
        <row r="2018">
          <cell r="J2018" t="str">
            <v>S/L</v>
          </cell>
          <cell r="R2018" t="str">
            <v xml:space="preserve"> </v>
          </cell>
        </row>
        <row r="2019">
          <cell r="J2019" t="str">
            <v>S/L</v>
          </cell>
          <cell r="R2019" t="str">
            <v xml:space="preserve"> </v>
          </cell>
        </row>
        <row r="2020">
          <cell r="J2020" t="str">
            <v>S/L</v>
          </cell>
          <cell r="R2020" t="str">
            <v xml:space="preserve"> </v>
          </cell>
        </row>
        <row r="2021">
          <cell r="J2021" t="str">
            <v>S/L</v>
          </cell>
          <cell r="R2021" t="str">
            <v xml:space="preserve"> </v>
          </cell>
        </row>
        <row r="2022">
          <cell r="J2022" t="str">
            <v>S/L</v>
          </cell>
          <cell r="R2022" t="str">
            <v xml:space="preserve"> </v>
          </cell>
        </row>
        <row r="2023">
          <cell r="J2023" t="str">
            <v>S/L</v>
          </cell>
          <cell r="R2023" t="str">
            <v xml:space="preserve"> </v>
          </cell>
        </row>
        <row r="2024">
          <cell r="J2024" t="str">
            <v>S/L</v>
          </cell>
          <cell r="R2024" t="str">
            <v xml:space="preserve"> </v>
          </cell>
        </row>
        <row r="2025">
          <cell r="J2025" t="str">
            <v>S/L</v>
          </cell>
          <cell r="R2025" t="str">
            <v xml:space="preserve"> </v>
          </cell>
        </row>
        <row r="2026">
          <cell r="J2026" t="str">
            <v>S/L</v>
          </cell>
          <cell r="R2026" t="str">
            <v xml:space="preserve"> </v>
          </cell>
        </row>
        <row r="2027">
          <cell r="J2027" t="str">
            <v>S/L</v>
          </cell>
          <cell r="R2027" t="str">
            <v xml:space="preserve"> </v>
          </cell>
        </row>
        <row r="2028">
          <cell r="J2028" t="str">
            <v>S/L</v>
          </cell>
          <cell r="R2028" t="str">
            <v xml:space="preserve"> </v>
          </cell>
        </row>
        <row r="2029">
          <cell r="J2029" t="str">
            <v>S/L</v>
          </cell>
          <cell r="R2029" t="str">
            <v xml:space="preserve"> </v>
          </cell>
        </row>
        <row r="2030">
          <cell r="J2030" t="str">
            <v>S/L</v>
          </cell>
          <cell r="R2030" t="str">
            <v xml:space="preserve"> </v>
          </cell>
        </row>
        <row r="2031">
          <cell r="J2031" t="str">
            <v>S/L</v>
          </cell>
          <cell r="R2031" t="str">
            <v xml:space="preserve"> </v>
          </cell>
        </row>
        <row r="2032">
          <cell r="J2032" t="str">
            <v>S/L</v>
          </cell>
          <cell r="R2032" t="str">
            <v xml:space="preserve"> </v>
          </cell>
        </row>
        <row r="2033">
          <cell r="J2033" t="str">
            <v>S/L</v>
          </cell>
          <cell r="R2033" t="str">
            <v xml:space="preserve"> </v>
          </cell>
        </row>
        <row r="2034">
          <cell r="J2034" t="str">
            <v>S/L</v>
          </cell>
          <cell r="R2034" t="str">
            <v xml:space="preserve"> </v>
          </cell>
        </row>
        <row r="2035">
          <cell r="J2035" t="str">
            <v>S/L</v>
          </cell>
          <cell r="R2035" t="str">
            <v xml:space="preserve"> </v>
          </cell>
        </row>
        <row r="2036">
          <cell r="J2036" t="str">
            <v>S/L</v>
          </cell>
          <cell r="R2036" t="str">
            <v xml:space="preserve"> </v>
          </cell>
        </row>
        <row r="2037">
          <cell r="J2037" t="str">
            <v>S/L</v>
          </cell>
          <cell r="R2037" t="str">
            <v xml:space="preserve"> </v>
          </cell>
        </row>
        <row r="2038">
          <cell r="J2038" t="str">
            <v>S/L</v>
          </cell>
          <cell r="R2038" t="str">
            <v xml:space="preserve"> </v>
          </cell>
        </row>
        <row r="2039">
          <cell r="J2039" t="str">
            <v>S/L</v>
          </cell>
          <cell r="R2039" t="str">
            <v xml:space="preserve"> </v>
          </cell>
        </row>
        <row r="2040">
          <cell r="J2040" t="str">
            <v>S/L</v>
          </cell>
          <cell r="R2040" t="str">
            <v xml:space="preserve"> </v>
          </cell>
        </row>
        <row r="2041">
          <cell r="J2041" t="str">
            <v>S/L</v>
          </cell>
          <cell r="R2041" t="str">
            <v xml:space="preserve"> </v>
          </cell>
        </row>
        <row r="2042">
          <cell r="J2042" t="str">
            <v>S/L</v>
          </cell>
          <cell r="R2042" t="str">
            <v xml:space="preserve"> </v>
          </cell>
        </row>
        <row r="2043">
          <cell r="J2043" t="str">
            <v>S/L</v>
          </cell>
          <cell r="R2043" t="str">
            <v xml:space="preserve"> </v>
          </cell>
        </row>
        <row r="2044">
          <cell r="J2044" t="str">
            <v>S/L</v>
          </cell>
          <cell r="R2044" t="str">
            <v xml:space="preserve"> </v>
          </cell>
        </row>
        <row r="2045">
          <cell r="J2045" t="str">
            <v>S/L</v>
          </cell>
          <cell r="R2045" t="str">
            <v xml:space="preserve"> </v>
          </cell>
        </row>
        <row r="2046">
          <cell r="J2046" t="str">
            <v>S/L</v>
          </cell>
          <cell r="R2046" t="str">
            <v xml:space="preserve"> </v>
          </cell>
        </row>
        <row r="2047">
          <cell r="J2047" t="str">
            <v>S/L</v>
          </cell>
          <cell r="R2047" t="str">
            <v xml:space="preserve"> </v>
          </cell>
        </row>
        <row r="2048">
          <cell r="J2048" t="str">
            <v>S/L</v>
          </cell>
          <cell r="R2048" t="str">
            <v xml:space="preserve"> </v>
          </cell>
        </row>
        <row r="2049">
          <cell r="J2049" t="str">
            <v>S/L</v>
          </cell>
          <cell r="R2049" t="str">
            <v xml:space="preserve"> </v>
          </cell>
        </row>
        <row r="2050">
          <cell r="J2050" t="str">
            <v>S/L</v>
          </cell>
          <cell r="R2050" t="str">
            <v xml:space="preserve"> </v>
          </cell>
        </row>
        <row r="2051">
          <cell r="J2051" t="str">
            <v>S/L</v>
          </cell>
          <cell r="R2051" t="str">
            <v xml:space="preserve"> </v>
          </cell>
        </row>
        <row r="2052">
          <cell r="J2052" t="str">
            <v>S/L</v>
          </cell>
          <cell r="R2052" t="str">
            <v xml:space="preserve"> </v>
          </cell>
        </row>
        <row r="2053">
          <cell r="J2053" t="str">
            <v>S/L</v>
          </cell>
          <cell r="R2053" t="str">
            <v xml:space="preserve"> </v>
          </cell>
        </row>
        <row r="2054">
          <cell r="J2054" t="str">
            <v>S/L</v>
          </cell>
          <cell r="R2054" t="str">
            <v xml:space="preserve"> </v>
          </cell>
        </row>
        <row r="2055">
          <cell r="J2055" t="str">
            <v>S/L</v>
          </cell>
          <cell r="R2055" t="str">
            <v xml:space="preserve"> </v>
          </cell>
        </row>
        <row r="2056">
          <cell r="J2056" t="str">
            <v>S/L</v>
          </cell>
          <cell r="R2056" t="str">
            <v xml:space="preserve"> </v>
          </cell>
        </row>
        <row r="2057">
          <cell r="J2057" t="str">
            <v>S/L</v>
          </cell>
          <cell r="R2057" t="str">
            <v xml:space="preserve"> </v>
          </cell>
        </row>
        <row r="2058">
          <cell r="J2058" t="str">
            <v>S/L</v>
          </cell>
          <cell r="R2058" t="str">
            <v xml:space="preserve"> </v>
          </cell>
        </row>
        <row r="2059">
          <cell r="J2059" t="str">
            <v>S/L</v>
          </cell>
          <cell r="R2059" t="str">
            <v xml:space="preserve"> </v>
          </cell>
        </row>
        <row r="2060">
          <cell r="J2060" t="str">
            <v>S/L</v>
          </cell>
          <cell r="R2060" t="str">
            <v xml:space="preserve"> </v>
          </cell>
        </row>
        <row r="2061">
          <cell r="J2061" t="str">
            <v>S/L</v>
          </cell>
          <cell r="R2061" t="str">
            <v xml:space="preserve"> </v>
          </cell>
        </row>
        <row r="2062">
          <cell r="J2062" t="str">
            <v>S/L</v>
          </cell>
          <cell r="R2062" t="str">
            <v xml:space="preserve"> </v>
          </cell>
        </row>
        <row r="2063">
          <cell r="J2063" t="str">
            <v>S/L</v>
          </cell>
          <cell r="R2063" t="str">
            <v xml:space="preserve"> </v>
          </cell>
        </row>
        <row r="2064">
          <cell r="J2064" t="str">
            <v>S/L</v>
          </cell>
          <cell r="R2064" t="str">
            <v xml:space="preserve"> </v>
          </cell>
        </row>
        <row r="2065">
          <cell r="J2065" t="str">
            <v>S/L</v>
          </cell>
          <cell r="R2065" t="str">
            <v xml:space="preserve"> </v>
          </cell>
        </row>
        <row r="2066">
          <cell r="J2066" t="str">
            <v>S/L</v>
          </cell>
          <cell r="R2066" t="str">
            <v xml:space="preserve"> </v>
          </cell>
        </row>
        <row r="2067">
          <cell r="J2067" t="str">
            <v>S/L</v>
          </cell>
          <cell r="R2067" t="str">
            <v xml:space="preserve"> </v>
          </cell>
        </row>
        <row r="2068">
          <cell r="J2068" t="str">
            <v>S/L</v>
          </cell>
          <cell r="R2068" t="str">
            <v xml:space="preserve"> </v>
          </cell>
        </row>
        <row r="2069">
          <cell r="J2069" t="str">
            <v>S/L</v>
          </cell>
          <cell r="R2069" t="str">
            <v xml:space="preserve"> </v>
          </cell>
        </row>
        <row r="2070">
          <cell r="J2070" t="str">
            <v>S/L</v>
          </cell>
          <cell r="R2070" t="str">
            <v xml:space="preserve"> </v>
          </cell>
        </row>
        <row r="2071">
          <cell r="J2071" t="str">
            <v>S/L</v>
          </cell>
          <cell r="R2071" t="str">
            <v xml:space="preserve"> </v>
          </cell>
        </row>
        <row r="2072">
          <cell r="J2072" t="str">
            <v>S/L</v>
          </cell>
          <cell r="R2072" t="str">
            <v xml:space="preserve"> </v>
          </cell>
        </row>
        <row r="2073">
          <cell r="J2073" t="str">
            <v>S/L</v>
          </cell>
          <cell r="R2073" t="str">
            <v xml:space="preserve"> </v>
          </cell>
        </row>
        <row r="2074">
          <cell r="J2074" t="str">
            <v>S/L</v>
          </cell>
          <cell r="R2074" t="str">
            <v xml:space="preserve"> </v>
          </cell>
        </row>
        <row r="2075">
          <cell r="J2075" t="str">
            <v>S/L</v>
          </cell>
          <cell r="R2075" t="str">
            <v xml:space="preserve"> </v>
          </cell>
        </row>
        <row r="2076">
          <cell r="J2076" t="str">
            <v>S/L</v>
          </cell>
          <cell r="R2076" t="str">
            <v xml:space="preserve"> </v>
          </cell>
        </row>
        <row r="2077">
          <cell r="J2077" t="str">
            <v>S/L</v>
          </cell>
          <cell r="R2077" t="str">
            <v xml:space="preserve"> </v>
          </cell>
        </row>
        <row r="2078">
          <cell r="J2078" t="str">
            <v>S/L</v>
          </cell>
          <cell r="R2078" t="str">
            <v xml:space="preserve"> </v>
          </cell>
        </row>
        <row r="2079">
          <cell r="J2079" t="str">
            <v>S/L</v>
          </cell>
          <cell r="R2079" t="str">
            <v xml:space="preserve"> </v>
          </cell>
        </row>
        <row r="2080">
          <cell r="J2080" t="str">
            <v>S/L</v>
          </cell>
          <cell r="R2080" t="str">
            <v xml:space="preserve"> </v>
          </cell>
        </row>
        <row r="2081">
          <cell r="J2081" t="str">
            <v>S/L</v>
          </cell>
          <cell r="R2081" t="str">
            <v xml:space="preserve"> </v>
          </cell>
        </row>
        <row r="2082">
          <cell r="J2082" t="str">
            <v>S/L</v>
          </cell>
          <cell r="R2082" t="str">
            <v xml:space="preserve"> </v>
          </cell>
        </row>
        <row r="2083">
          <cell r="J2083" t="str">
            <v>S/L</v>
          </cell>
          <cell r="R2083" t="str">
            <v xml:space="preserve"> </v>
          </cell>
        </row>
        <row r="2084">
          <cell r="J2084" t="str">
            <v>S/L</v>
          </cell>
          <cell r="R2084" t="str">
            <v xml:space="preserve"> </v>
          </cell>
        </row>
        <row r="2085">
          <cell r="J2085" t="str">
            <v>S/L</v>
          </cell>
          <cell r="R2085" t="str">
            <v xml:space="preserve"> </v>
          </cell>
        </row>
        <row r="2086">
          <cell r="J2086" t="str">
            <v>S/L</v>
          </cell>
          <cell r="R2086" t="str">
            <v xml:space="preserve"> </v>
          </cell>
        </row>
        <row r="2087">
          <cell r="J2087" t="str">
            <v>S/L</v>
          </cell>
          <cell r="R2087" t="str">
            <v xml:space="preserve"> </v>
          </cell>
        </row>
        <row r="2088">
          <cell r="J2088" t="str">
            <v>S/L</v>
          </cell>
          <cell r="R2088" t="str">
            <v xml:space="preserve"> </v>
          </cell>
        </row>
        <row r="2089">
          <cell r="J2089" t="str">
            <v>S/L</v>
          </cell>
          <cell r="R2089" t="str">
            <v xml:space="preserve"> </v>
          </cell>
        </row>
        <row r="2090">
          <cell r="J2090" t="str">
            <v>S/L</v>
          </cell>
          <cell r="R2090" t="str">
            <v xml:space="preserve"> </v>
          </cell>
        </row>
        <row r="2091">
          <cell r="J2091" t="str">
            <v>S/L</v>
          </cell>
          <cell r="R2091" t="str">
            <v xml:space="preserve"> </v>
          </cell>
        </row>
        <row r="2092">
          <cell r="J2092" t="str">
            <v>S/L</v>
          </cell>
          <cell r="R2092" t="str">
            <v xml:space="preserve"> </v>
          </cell>
        </row>
        <row r="2093">
          <cell r="J2093" t="str">
            <v>S/L</v>
          </cell>
          <cell r="R2093" t="str">
            <v xml:space="preserve"> </v>
          </cell>
        </row>
        <row r="2094">
          <cell r="J2094" t="str">
            <v>S/L</v>
          </cell>
          <cell r="R2094" t="str">
            <v xml:space="preserve"> </v>
          </cell>
        </row>
        <row r="2095">
          <cell r="J2095" t="str">
            <v>S/L</v>
          </cell>
          <cell r="R2095" t="str">
            <v xml:space="preserve"> </v>
          </cell>
        </row>
        <row r="2096">
          <cell r="J2096" t="str">
            <v>S/L</v>
          </cell>
          <cell r="R2096" t="str">
            <v xml:space="preserve"> </v>
          </cell>
        </row>
        <row r="2097">
          <cell r="J2097" t="str">
            <v>S/L</v>
          </cell>
          <cell r="R2097" t="str">
            <v xml:space="preserve"> </v>
          </cell>
        </row>
        <row r="2098">
          <cell r="J2098" t="str">
            <v>S/L</v>
          </cell>
          <cell r="R2098" t="str">
            <v xml:space="preserve"> </v>
          </cell>
        </row>
        <row r="2099">
          <cell r="J2099" t="str">
            <v>S/L</v>
          </cell>
          <cell r="R2099" t="str">
            <v xml:space="preserve"> </v>
          </cell>
        </row>
        <row r="2100">
          <cell r="J2100" t="str">
            <v>S/L</v>
          </cell>
          <cell r="R2100" t="str">
            <v xml:space="preserve"> </v>
          </cell>
        </row>
        <row r="2101">
          <cell r="J2101" t="str">
            <v>S/L</v>
          </cell>
          <cell r="R2101" t="str">
            <v xml:space="preserve"> </v>
          </cell>
        </row>
        <row r="2102">
          <cell r="J2102" t="str">
            <v>S/L</v>
          </cell>
          <cell r="R2102" t="str">
            <v xml:space="preserve"> </v>
          </cell>
        </row>
        <row r="2103">
          <cell r="J2103" t="str">
            <v>S/L</v>
          </cell>
          <cell r="R2103" t="str">
            <v xml:space="preserve"> </v>
          </cell>
        </row>
        <row r="2104">
          <cell r="J2104" t="str">
            <v>S/L</v>
          </cell>
          <cell r="R2104" t="str">
            <v xml:space="preserve"> </v>
          </cell>
        </row>
        <row r="2105">
          <cell r="J2105" t="str">
            <v>S/L</v>
          </cell>
          <cell r="R2105" t="str">
            <v xml:space="preserve"> </v>
          </cell>
        </row>
        <row r="2106">
          <cell r="J2106" t="str">
            <v>S/L</v>
          </cell>
          <cell r="R2106" t="str">
            <v xml:space="preserve"> </v>
          </cell>
        </row>
        <row r="2107">
          <cell r="J2107" t="str">
            <v>S/L</v>
          </cell>
          <cell r="R2107" t="str">
            <v xml:space="preserve"> </v>
          </cell>
        </row>
        <row r="2108">
          <cell r="J2108" t="str">
            <v>S/L</v>
          </cell>
          <cell r="R2108" t="str">
            <v xml:space="preserve"> </v>
          </cell>
        </row>
        <row r="2109">
          <cell r="J2109" t="str">
            <v>S/L</v>
          </cell>
          <cell r="R2109" t="str">
            <v xml:space="preserve"> </v>
          </cell>
        </row>
        <row r="2110">
          <cell r="J2110" t="str">
            <v>S/L</v>
          </cell>
          <cell r="R2110" t="str">
            <v xml:space="preserve"> </v>
          </cell>
        </row>
        <row r="2111">
          <cell r="J2111" t="str">
            <v>S/L</v>
          </cell>
          <cell r="R2111" t="str">
            <v xml:space="preserve"> </v>
          </cell>
        </row>
        <row r="2112">
          <cell r="J2112" t="str">
            <v>S/L</v>
          </cell>
          <cell r="R2112" t="str">
            <v xml:space="preserve"> </v>
          </cell>
        </row>
        <row r="2113">
          <cell r="J2113" t="str">
            <v>S/L</v>
          </cell>
          <cell r="R2113" t="str">
            <v xml:space="preserve"> </v>
          </cell>
        </row>
        <row r="2114">
          <cell r="J2114" t="str">
            <v>S/L</v>
          </cell>
          <cell r="R2114" t="str">
            <v xml:space="preserve"> </v>
          </cell>
        </row>
        <row r="2115">
          <cell r="J2115" t="str">
            <v>S/L</v>
          </cell>
          <cell r="R2115" t="str">
            <v xml:space="preserve"> </v>
          </cell>
        </row>
        <row r="2116">
          <cell r="J2116" t="str">
            <v>S/L</v>
          </cell>
          <cell r="R2116" t="str">
            <v xml:space="preserve"> </v>
          </cell>
        </row>
        <row r="2117">
          <cell r="J2117" t="str">
            <v>S/L</v>
          </cell>
          <cell r="R2117" t="str">
            <v xml:space="preserve"> </v>
          </cell>
        </row>
        <row r="2118">
          <cell r="J2118" t="str">
            <v>S/L</v>
          </cell>
          <cell r="R2118" t="str">
            <v xml:space="preserve"> </v>
          </cell>
        </row>
        <row r="2119">
          <cell r="J2119" t="str">
            <v>S/L</v>
          </cell>
          <cell r="R2119" t="str">
            <v xml:space="preserve"> </v>
          </cell>
        </row>
        <row r="2120">
          <cell r="J2120" t="str">
            <v>S/L</v>
          </cell>
          <cell r="R2120" t="str">
            <v xml:space="preserve"> </v>
          </cell>
        </row>
        <row r="2121">
          <cell r="J2121" t="str">
            <v>S/L</v>
          </cell>
          <cell r="R2121" t="str">
            <v xml:space="preserve"> </v>
          </cell>
        </row>
        <row r="2122">
          <cell r="J2122" t="str">
            <v>S/L</v>
          </cell>
          <cell r="R2122" t="str">
            <v xml:space="preserve"> </v>
          </cell>
        </row>
        <row r="2123">
          <cell r="J2123" t="str">
            <v>S/L</v>
          </cell>
          <cell r="R2123" t="str">
            <v xml:space="preserve"> </v>
          </cell>
        </row>
        <row r="2124">
          <cell r="J2124" t="str">
            <v>S/L</v>
          </cell>
          <cell r="R2124" t="str">
            <v xml:space="preserve"> </v>
          </cell>
        </row>
        <row r="2125">
          <cell r="J2125" t="str">
            <v>S/L</v>
          </cell>
          <cell r="R2125" t="str">
            <v xml:space="preserve"> </v>
          </cell>
        </row>
        <row r="2126">
          <cell r="J2126" t="str">
            <v>S/L</v>
          </cell>
          <cell r="R2126" t="str">
            <v xml:space="preserve"> </v>
          </cell>
        </row>
        <row r="2127">
          <cell r="J2127" t="str">
            <v>S/L</v>
          </cell>
          <cell r="R2127" t="str">
            <v xml:space="preserve"> </v>
          </cell>
        </row>
        <row r="2128">
          <cell r="J2128" t="str">
            <v>S/L</v>
          </cell>
          <cell r="R2128" t="str">
            <v xml:space="preserve"> </v>
          </cell>
        </row>
        <row r="2129">
          <cell r="J2129" t="str">
            <v>S/L</v>
          </cell>
          <cell r="R2129" t="str">
            <v xml:space="preserve"> </v>
          </cell>
        </row>
        <row r="2130">
          <cell r="J2130" t="str">
            <v>S/L</v>
          </cell>
          <cell r="R2130" t="str">
            <v xml:space="preserve"> </v>
          </cell>
        </row>
        <row r="2131">
          <cell r="J2131" t="str">
            <v>S/L</v>
          </cell>
          <cell r="R2131" t="str">
            <v xml:space="preserve"> </v>
          </cell>
        </row>
        <row r="2132">
          <cell r="J2132" t="str">
            <v>S/L</v>
          </cell>
          <cell r="R2132" t="str">
            <v xml:space="preserve"> </v>
          </cell>
        </row>
        <row r="2133">
          <cell r="J2133" t="str">
            <v>S/L</v>
          </cell>
          <cell r="R2133" t="str">
            <v xml:space="preserve"> </v>
          </cell>
        </row>
        <row r="2134">
          <cell r="J2134" t="str">
            <v>S/L</v>
          </cell>
          <cell r="R2134" t="str">
            <v xml:space="preserve"> </v>
          </cell>
        </row>
        <row r="2135">
          <cell r="J2135" t="str">
            <v>S/L</v>
          </cell>
          <cell r="R2135" t="str">
            <v xml:space="preserve"> </v>
          </cell>
        </row>
        <row r="2136">
          <cell r="J2136" t="str">
            <v>S/L</v>
          </cell>
          <cell r="R2136" t="str">
            <v xml:space="preserve"> </v>
          </cell>
        </row>
        <row r="2137">
          <cell r="J2137" t="str">
            <v>S/L</v>
          </cell>
          <cell r="R2137" t="str">
            <v xml:space="preserve"> </v>
          </cell>
        </row>
        <row r="2138">
          <cell r="J2138" t="str">
            <v>S/L</v>
          </cell>
          <cell r="R2138" t="str">
            <v xml:space="preserve"> </v>
          </cell>
        </row>
        <row r="2139">
          <cell r="J2139" t="str">
            <v>S/L</v>
          </cell>
          <cell r="R2139" t="str">
            <v xml:space="preserve"> </v>
          </cell>
        </row>
        <row r="2140">
          <cell r="J2140" t="str">
            <v>S/L</v>
          </cell>
          <cell r="R2140" t="str">
            <v xml:space="preserve"> </v>
          </cell>
        </row>
        <row r="2141">
          <cell r="J2141" t="str">
            <v>S/L</v>
          </cell>
          <cell r="R2141" t="str">
            <v xml:space="preserve"> </v>
          </cell>
        </row>
        <row r="2142">
          <cell r="J2142" t="str">
            <v>S/L</v>
          </cell>
          <cell r="R2142" t="str">
            <v xml:space="preserve"> </v>
          </cell>
        </row>
        <row r="2143">
          <cell r="J2143" t="str">
            <v>S/L</v>
          </cell>
          <cell r="R2143" t="str">
            <v xml:space="preserve"> </v>
          </cell>
        </row>
        <row r="2144">
          <cell r="J2144" t="str">
            <v>S/L</v>
          </cell>
          <cell r="R2144" t="str">
            <v xml:space="preserve"> </v>
          </cell>
        </row>
        <row r="2145">
          <cell r="J2145" t="str">
            <v>S/L</v>
          </cell>
          <cell r="R2145" t="str">
            <v xml:space="preserve"> </v>
          </cell>
        </row>
        <row r="2146">
          <cell r="J2146" t="str">
            <v>S/L</v>
          </cell>
          <cell r="R2146" t="str">
            <v xml:space="preserve"> </v>
          </cell>
        </row>
        <row r="2147">
          <cell r="J2147" t="str">
            <v>S/L</v>
          </cell>
          <cell r="R2147" t="str">
            <v xml:space="preserve"> </v>
          </cell>
        </row>
        <row r="2148">
          <cell r="J2148" t="str">
            <v>S/L</v>
          </cell>
          <cell r="R2148" t="str">
            <v xml:space="preserve"> </v>
          </cell>
        </row>
        <row r="2149">
          <cell r="J2149" t="str">
            <v>S/L</v>
          </cell>
          <cell r="R2149" t="str">
            <v xml:space="preserve"> </v>
          </cell>
        </row>
        <row r="2150">
          <cell r="J2150" t="str">
            <v>S/L</v>
          </cell>
          <cell r="R2150" t="str">
            <v xml:space="preserve"> </v>
          </cell>
        </row>
        <row r="2151">
          <cell r="J2151" t="str">
            <v>S/L</v>
          </cell>
          <cell r="R2151" t="str">
            <v xml:space="preserve"> </v>
          </cell>
        </row>
        <row r="2152">
          <cell r="J2152" t="str">
            <v>S/L</v>
          </cell>
          <cell r="R2152" t="str">
            <v xml:space="preserve"> </v>
          </cell>
        </row>
        <row r="2153">
          <cell r="J2153" t="str">
            <v>S/L</v>
          </cell>
          <cell r="R2153" t="str">
            <v xml:space="preserve"> </v>
          </cell>
        </row>
        <row r="2154">
          <cell r="J2154" t="str">
            <v>S/L</v>
          </cell>
          <cell r="R2154" t="str">
            <v xml:space="preserve"> </v>
          </cell>
        </row>
        <row r="2155">
          <cell r="J2155" t="str">
            <v>S/L</v>
          </cell>
          <cell r="R2155" t="str">
            <v xml:space="preserve"> </v>
          </cell>
        </row>
        <row r="2156">
          <cell r="J2156" t="str">
            <v>S/L</v>
          </cell>
          <cell r="R2156" t="str">
            <v xml:space="preserve"> </v>
          </cell>
        </row>
        <row r="2157">
          <cell r="J2157" t="str">
            <v>S/L</v>
          </cell>
          <cell r="R2157" t="str">
            <v xml:space="preserve"> </v>
          </cell>
        </row>
        <row r="2158">
          <cell r="J2158" t="str">
            <v>S/L</v>
          </cell>
          <cell r="R2158" t="str">
            <v xml:space="preserve"> </v>
          </cell>
        </row>
        <row r="2159">
          <cell r="J2159" t="str">
            <v>S/L</v>
          </cell>
          <cell r="R2159" t="str">
            <v xml:space="preserve"> </v>
          </cell>
        </row>
        <row r="2160">
          <cell r="J2160" t="str">
            <v>S/L</v>
          </cell>
          <cell r="R2160" t="str">
            <v xml:space="preserve"> </v>
          </cell>
        </row>
        <row r="2161">
          <cell r="J2161" t="str">
            <v>S/L</v>
          </cell>
          <cell r="R2161" t="str">
            <v xml:space="preserve"> </v>
          </cell>
        </row>
        <row r="2162">
          <cell r="J2162" t="str">
            <v>S/L</v>
          </cell>
          <cell r="R2162" t="str">
            <v xml:space="preserve"> </v>
          </cell>
        </row>
        <row r="2163">
          <cell r="J2163" t="str">
            <v>S/L</v>
          </cell>
          <cell r="R2163" t="str">
            <v xml:space="preserve"> </v>
          </cell>
        </row>
        <row r="2164">
          <cell r="J2164" t="str">
            <v>S/L</v>
          </cell>
          <cell r="R2164" t="str">
            <v xml:space="preserve"> </v>
          </cell>
        </row>
        <row r="2165">
          <cell r="J2165" t="str">
            <v>S/L</v>
          </cell>
          <cell r="R2165" t="str">
            <v xml:space="preserve"> </v>
          </cell>
        </row>
        <row r="2166">
          <cell r="J2166" t="str">
            <v>S/L</v>
          </cell>
          <cell r="R2166" t="str">
            <v xml:space="preserve"> </v>
          </cell>
        </row>
        <row r="2167">
          <cell r="J2167" t="str">
            <v>S/L</v>
          </cell>
          <cell r="R2167" t="str">
            <v xml:space="preserve"> </v>
          </cell>
        </row>
        <row r="2168">
          <cell r="J2168" t="str">
            <v>S/L</v>
          </cell>
          <cell r="R2168" t="str">
            <v xml:space="preserve"> </v>
          </cell>
        </row>
        <row r="2169">
          <cell r="J2169" t="str">
            <v>S/L</v>
          </cell>
          <cell r="R2169" t="str">
            <v xml:space="preserve"> </v>
          </cell>
        </row>
        <row r="2170">
          <cell r="J2170" t="str">
            <v>S/L</v>
          </cell>
          <cell r="R2170" t="str">
            <v xml:space="preserve"> </v>
          </cell>
        </row>
        <row r="2171">
          <cell r="J2171" t="str">
            <v>S/L</v>
          </cell>
          <cell r="R2171" t="str">
            <v xml:space="preserve"> </v>
          </cell>
        </row>
        <row r="2172">
          <cell r="J2172" t="str">
            <v>S/L</v>
          </cell>
          <cell r="R2172" t="str">
            <v xml:space="preserve"> </v>
          </cell>
        </row>
        <row r="2173">
          <cell r="J2173" t="str">
            <v>S/L</v>
          </cell>
          <cell r="R2173" t="str">
            <v xml:space="preserve"> </v>
          </cell>
        </row>
        <row r="2174">
          <cell r="J2174" t="str">
            <v>S/L</v>
          </cell>
          <cell r="R2174" t="str">
            <v xml:space="preserve"> </v>
          </cell>
        </row>
        <row r="2175">
          <cell r="J2175" t="str">
            <v>S/L</v>
          </cell>
          <cell r="R2175" t="str">
            <v xml:space="preserve"> </v>
          </cell>
        </row>
        <row r="2176">
          <cell r="J2176" t="str">
            <v>S/L</v>
          </cell>
          <cell r="R2176" t="str">
            <v xml:space="preserve"> </v>
          </cell>
        </row>
        <row r="2177">
          <cell r="J2177" t="str">
            <v>S/L</v>
          </cell>
          <cell r="R2177" t="str">
            <v xml:space="preserve"> </v>
          </cell>
        </row>
        <row r="2178">
          <cell r="J2178" t="str">
            <v>S/L</v>
          </cell>
          <cell r="R2178" t="str">
            <v xml:space="preserve"> </v>
          </cell>
        </row>
        <row r="2179">
          <cell r="J2179" t="str">
            <v>S/L</v>
          </cell>
          <cell r="R2179" t="str">
            <v xml:space="preserve"> </v>
          </cell>
        </row>
        <row r="2180">
          <cell r="J2180" t="str">
            <v>S/L</v>
          </cell>
          <cell r="R2180" t="str">
            <v xml:space="preserve"> </v>
          </cell>
        </row>
        <row r="2181">
          <cell r="J2181" t="str">
            <v>S/L</v>
          </cell>
          <cell r="R2181" t="str">
            <v xml:space="preserve"> </v>
          </cell>
        </row>
        <row r="2182">
          <cell r="J2182" t="str">
            <v>S/L</v>
          </cell>
          <cell r="R2182" t="str">
            <v xml:space="preserve"> </v>
          </cell>
        </row>
        <row r="2183">
          <cell r="J2183" t="str">
            <v>S/L</v>
          </cell>
          <cell r="R2183" t="str">
            <v xml:space="preserve"> </v>
          </cell>
        </row>
        <row r="2184">
          <cell r="J2184" t="str">
            <v>S/L</v>
          </cell>
          <cell r="R2184" t="str">
            <v xml:space="preserve"> </v>
          </cell>
        </row>
        <row r="2185">
          <cell r="J2185" t="str">
            <v>S/L</v>
          </cell>
          <cell r="R2185" t="str">
            <v xml:space="preserve"> </v>
          </cell>
        </row>
        <row r="2186">
          <cell r="J2186" t="str">
            <v>S/L</v>
          </cell>
          <cell r="R2186" t="str">
            <v xml:space="preserve"> </v>
          </cell>
        </row>
        <row r="2187">
          <cell r="J2187" t="str">
            <v>S/L</v>
          </cell>
          <cell r="R2187" t="str">
            <v xml:space="preserve"> </v>
          </cell>
        </row>
        <row r="2188">
          <cell r="J2188" t="str">
            <v>S/L</v>
          </cell>
          <cell r="R2188" t="str">
            <v xml:space="preserve"> </v>
          </cell>
        </row>
        <row r="2189">
          <cell r="J2189" t="str">
            <v>S/L</v>
          </cell>
          <cell r="R2189" t="str">
            <v xml:space="preserve"> </v>
          </cell>
        </row>
        <row r="2190">
          <cell r="J2190" t="str">
            <v>S/L</v>
          </cell>
          <cell r="R2190" t="str">
            <v xml:space="preserve"> </v>
          </cell>
        </row>
        <row r="2191">
          <cell r="J2191" t="str">
            <v>S/L</v>
          </cell>
          <cell r="R2191" t="str">
            <v xml:space="preserve"> </v>
          </cell>
        </row>
        <row r="2192">
          <cell r="J2192" t="str">
            <v>S/L</v>
          </cell>
          <cell r="R2192" t="str">
            <v xml:space="preserve"> </v>
          </cell>
        </row>
        <row r="2193">
          <cell r="J2193" t="str">
            <v>S/L</v>
          </cell>
          <cell r="R2193" t="str">
            <v xml:space="preserve"> </v>
          </cell>
        </row>
        <row r="2194">
          <cell r="J2194" t="str">
            <v>S/L</v>
          </cell>
          <cell r="R2194" t="str">
            <v xml:space="preserve"> </v>
          </cell>
        </row>
        <row r="2195">
          <cell r="J2195" t="str">
            <v>S/L</v>
          </cell>
          <cell r="R2195" t="str">
            <v xml:space="preserve"> </v>
          </cell>
        </row>
        <row r="2196">
          <cell r="J2196" t="str">
            <v>S/L</v>
          </cell>
          <cell r="R2196" t="str">
            <v xml:space="preserve"> </v>
          </cell>
        </row>
        <row r="2197">
          <cell r="J2197" t="str">
            <v>S/L</v>
          </cell>
          <cell r="R2197" t="str">
            <v xml:space="preserve"> </v>
          </cell>
        </row>
        <row r="2198">
          <cell r="J2198" t="str">
            <v>S/L</v>
          </cell>
          <cell r="R2198" t="str">
            <v xml:space="preserve"> </v>
          </cell>
        </row>
        <row r="2199">
          <cell r="J2199" t="str">
            <v>S/L</v>
          </cell>
          <cell r="R2199" t="str">
            <v xml:space="preserve"> </v>
          </cell>
        </row>
        <row r="2200">
          <cell r="J2200" t="str">
            <v>S/L</v>
          </cell>
          <cell r="R2200" t="str">
            <v xml:space="preserve"> </v>
          </cell>
        </row>
        <row r="2201">
          <cell r="J2201" t="str">
            <v>S/L</v>
          </cell>
          <cell r="R2201" t="str">
            <v xml:space="preserve"> </v>
          </cell>
        </row>
        <row r="2202">
          <cell r="J2202" t="str">
            <v>S/L</v>
          </cell>
          <cell r="R2202" t="str">
            <v xml:space="preserve"> </v>
          </cell>
        </row>
        <row r="2203">
          <cell r="J2203" t="str">
            <v>S/L</v>
          </cell>
          <cell r="R2203" t="str">
            <v xml:space="preserve"> </v>
          </cell>
        </row>
        <row r="2204">
          <cell r="J2204" t="str">
            <v>S/L</v>
          </cell>
          <cell r="R2204" t="str">
            <v xml:space="preserve"> </v>
          </cell>
        </row>
        <row r="2205">
          <cell r="J2205" t="str">
            <v>S/L</v>
          </cell>
          <cell r="R2205" t="str">
            <v xml:space="preserve"> </v>
          </cell>
        </row>
        <row r="2206">
          <cell r="J2206" t="str">
            <v>S/L</v>
          </cell>
          <cell r="R2206" t="str">
            <v xml:space="preserve"> </v>
          </cell>
        </row>
        <row r="2207">
          <cell r="J2207" t="str">
            <v>S/L</v>
          </cell>
          <cell r="R2207" t="str">
            <v xml:space="preserve"> </v>
          </cell>
        </row>
        <row r="2208">
          <cell r="J2208" t="str">
            <v>S/L</v>
          </cell>
          <cell r="R2208" t="str">
            <v xml:space="preserve"> </v>
          </cell>
        </row>
        <row r="2209">
          <cell r="J2209" t="str">
            <v>S/L</v>
          </cell>
          <cell r="R2209" t="str">
            <v xml:space="preserve"> </v>
          </cell>
        </row>
        <row r="2210">
          <cell r="J2210" t="str">
            <v>S/L</v>
          </cell>
          <cell r="R2210" t="str">
            <v xml:space="preserve"> </v>
          </cell>
        </row>
        <row r="2211">
          <cell r="J2211" t="str">
            <v>S/L</v>
          </cell>
          <cell r="R2211" t="str">
            <v xml:space="preserve"> </v>
          </cell>
        </row>
        <row r="2212">
          <cell r="J2212" t="str">
            <v>S/L</v>
          </cell>
          <cell r="R2212" t="str">
            <v xml:space="preserve"> </v>
          </cell>
        </row>
        <row r="2213">
          <cell r="J2213" t="str">
            <v>S/L</v>
          </cell>
          <cell r="R2213" t="str">
            <v xml:space="preserve"> </v>
          </cell>
        </row>
        <row r="2214">
          <cell r="J2214" t="str">
            <v>S/L</v>
          </cell>
          <cell r="R2214" t="str">
            <v xml:space="preserve"> </v>
          </cell>
        </row>
        <row r="2215">
          <cell r="J2215" t="str">
            <v>S/L</v>
          </cell>
          <cell r="R2215" t="str">
            <v xml:space="preserve"> </v>
          </cell>
        </row>
        <row r="2216">
          <cell r="J2216" t="str">
            <v>S/L</v>
          </cell>
          <cell r="R2216" t="str">
            <v xml:space="preserve"> </v>
          </cell>
        </row>
        <row r="2217">
          <cell r="J2217" t="str">
            <v>S/L</v>
          </cell>
          <cell r="R2217" t="str">
            <v xml:space="preserve"> </v>
          </cell>
        </row>
        <row r="2218">
          <cell r="J2218" t="str">
            <v>S/L</v>
          </cell>
          <cell r="R2218" t="str">
            <v xml:space="preserve"> </v>
          </cell>
        </row>
        <row r="2219">
          <cell r="J2219" t="str">
            <v>S/L</v>
          </cell>
          <cell r="R2219" t="str">
            <v xml:space="preserve"> </v>
          </cell>
        </row>
        <row r="2220">
          <cell r="J2220" t="str">
            <v>S/L</v>
          </cell>
          <cell r="R2220" t="str">
            <v xml:space="preserve"> </v>
          </cell>
        </row>
        <row r="2221">
          <cell r="J2221" t="str">
            <v>S/L</v>
          </cell>
          <cell r="R2221" t="str">
            <v xml:space="preserve"> </v>
          </cell>
        </row>
        <row r="2222">
          <cell r="J2222" t="str">
            <v>S/L</v>
          </cell>
          <cell r="R2222" t="str">
            <v xml:space="preserve"> </v>
          </cell>
        </row>
        <row r="2223">
          <cell r="J2223" t="str">
            <v>S/L</v>
          </cell>
          <cell r="R2223" t="str">
            <v xml:space="preserve"> </v>
          </cell>
        </row>
        <row r="2224">
          <cell r="J2224" t="str">
            <v>S/L</v>
          </cell>
          <cell r="R2224" t="str">
            <v xml:space="preserve"> </v>
          </cell>
        </row>
        <row r="2225">
          <cell r="J2225" t="str">
            <v>S/L</v>
          </cell>
          <cell r="R2225" t="str">
            <v xml:space="preserve"> </v>
          </cell>
        </row>
        <row r="2226">
          <cell r="J2226" t="str">
            <v>S/L</v>
          </cell>
          <cell r="R2226" t="str">
            <v xml:space="preserve"> </v>
          </cell>
        </row>
        <row r="2227">
          <cell r="J2227" t="str">
            <v>S/L</v>
          </cell>
          <cell r="R2227" t="str">
            <v xml:space="preserve"> </v>
          </cell>
        </row>
        <row r="2228">
          <cell r="J2228" t="str">
            <v>S/L</v>
          </cell>
          <cell r="R2228" t="str">
            <v xml:space="preserve"> </v>
          </cell>
        </row>
        <row r="2229">
          <cell r="J2229" t="str">
            <v>S/L</v>
          </cell>
          <cell r="R2229" t="str">
            <v xml:space="preserve"> </v>
          </cell>
        </row>
        <row r="2230">
          <cell r="J2230" t="str">
            <v>S/L</v>
          </cell>
          <cell r="R2230" t="str">
            <v xml:space="preserve"> </v>
          </cell>
        </row>
        <row r="2231">
          <cell r="J2231" t="str">
            <v>S/L</v>
          </cell>
          <cell r="R2231" t="str">
            <v xml:space="preserve"> </v>
          </cell>
        </row>
        <row r="2232">
          <cell r="J2232" t="str">
            <v>S/L</v>
          </cell>
          <cell r="R2232" t="str">
            <v xml:space="preserve"> </v>
          </cell>
        </row>
        <row r="2233">
          <cell r="J2233" t="str">
            <v>S/L</v>
          </cell>
          <cell r="R2233" t="str">
            <v xml:space="preserve"> </v>
          </cell>
        </row>
        <row r="2234">
          <cell r="J2234" t="str">
            <v>S/L</v>
          </cell>
          <cell r="R2234" t="str">
            <v xml:space="preserve"> </v>
          </cell>
        </row>
        <row r="2235">
          <cell r="J2235" t="str">
            <v>S/L</v>
          </cell>
          <cell r="R2235" t="str">
            <v xml:space="preserve"> </v>
          </cell>
        </row>
        <row r="2236">
          <cell r="J2236" t="str">
            <v>S/L</v>
          </cell>
          <cell r="R2236" t="str">
            <v xml:space="preserve"> </v>
          </cell>
        </row>
        <row r="2237">
          <cell r="J2237" t="str">
            <v>S/L</v>
          </cell>
          <cell r="R2237" t="str">
            <v xml:space="preserve"> </v>
          </cell>
        </row>
        <row r="2238">
          <cell r="J2238" t="str">
            <v>S/L</v>
          </cell>
          <cell r="R2238" t="str">
            <v xml:space="preserve"> </v>
          </cell>
        </row>
        <row r="2239">
          <cell r="J2239" t="str">
            <v>S/L</v>
          </cell>
          <cell r="R2239" t="str">
            <v xml:space="preserve"> </v>
          </cell>
        </row>
        <row r="2240">
          <cell r="J2240" t="str">
            <v>S/L</v>
          </cell>
          <cell r="R2240" t="str">
            <v xml:space="preserve"> </v>
          </cell>
        </row>
        <row r="2241">
          <cell r="J2241" t="str">
            <v>S/L</v>
          </cell>
          <cell r="R2241" t="str">
            <v xml:space="preserve"> </v>
          </cell>
        </row>
        <row r="2242">
          <cell r="J2242" t="str">
            <v>S/L</v>
          </cell>
          <cell r="R2242" t="str">
            <v xml:space="preserve"> </v>
          </cell>
        </row>
        <row r="2243">
          <cell r="J2243" t="str">
            <v>S/L</v>
          </cell>
          <cell r="R2243" t="str">
            <v xml:space="preserve"> </v>
          </cell>
        </row>
        <row r="2244">
          <cell r="J2244" t="str">
            <v>S/L</v>
          </cell>
          <cell r="R2244" t="str">
            <v xml:space="preserve"> </v>
          </cell>
        </row>
        <row r="2245">
          <cell r="J2245" t="str">
            <v>S/L</v>
          </cell>
          <cell r="R2245" t="str">
            <v xml:space="preserve"> </v>
          </cell>
        </row>
        <row r="2246">
          <cell r="J2246" t="str">
            <v>S/L</v>
          </cell>
          <cell r="R2246" t="str">
            <v xml:space="preserve"> </v>
          </cell>
        </row>
        <row r="2247">
          <cell r="J2247" t="str">
            <v>S/L</v>
          </cell>
          <cell r="R2247" t="str">
            <v xml:space="preserve"> </v>
          </cell>
        </row>
        <row r="2248">
          <cell r="J2248" t="str">
            <v>S/L</v>
          </cell>
          <cell r="R2248" t="str">
            <v xml:space="preserve"> </v>
          </cell>
        </row>
        <row r="2249">
          <cell r="J2249" t="str">
            <v>S/L</v>
          </cell>
          <cell r="R2249" t="str">
            <v xml:space="preserve"> </v>
          </cell>
        </row>
        <row r="2250">
          <cell r="J2250" t="str">
            <v>S/L</v>
          </cell>
          <cell r="R2250" t="str">
            <v xml:space="preserve"> </v>
          </cell>
        </row>
        <row r="2251">
          <cell r="J2251" t="str">
            <v>S/L</v>
          </cell>
          <cell r="R2251" t="str">
            <v xml:space="preserve"> </v>
          </cell>
        </row>
        <row r="2252">
          <cell r="J2252" t="str">
            <v>S/L</v>
          </cell>
          <cell r="R2252" t="str">
            <v xml:space="preserve"> </v>
          </cell>
        </row>
        <row r="2253">
          <cell r="J2253" t="str">
            <v>S/L</v>
          </cell>
          <cell r="R2253" t="str">
            <v xml:space="preserve"> </v>
          </cell>
        </row>
        <row r="2254">
          <cell r="J2254" t="str">
            <v>S/L</v>
          </cell>
          <cell r="R2254" t="str">
            <v xml:space="preserve"> </v>
          </cell>
        </row>
        <row r="2255">
          <cell r="J2255" t="str">
            <v>S/L</v>
          </cell>
          <cell r="R2255" t="str">
            <v xml:space="preserve"> </v>
          </cell>
        </row>
        <row r="2256">
          <cell r="J2256" t="str">
            <v>S/L</v>
          </cell>
          <cell r="R2256" t="str">
            <v xml:space="preserve"> </v>
          </cell>
        </row>
        <row r="2257">
          <cell r="J2257" t="str">
            <v>S/L</v>
          </cell>
          <cell r="R2257" t="str">
            <v xml:space="preserve"> </v>
          </cell>
        </row>
        <row r="2258">
          <cell r="J2258" t="str">
            <v>S/L</v>
          </cell>
          <cell r="R2258" t="str">
            <v xml:space="preserve"> </v>
          </cell>
        </row>
        <row r="2259">
          <cell r="J2259" t="str">
            <v>S/L</v>
          </cell>
          <cell r="R2259" t="str">
            <v xml:space="preserve"> </v>
          </cell>
        </row>
        <row r="2260">
          <cell r="J2260" t="str">
            <v>S/L</v>
          </cell>
          <cell r="R2260" t="str">
            <v xml:space="preserve"> </v>
          </cell>
        </row>
        <row r="2261">
          <cell r="J2261" t="str">
            <v>S/L</v>
          </cell>
          <cell r="R2261" t="str">
            <v xml:space="preserve"> </v>
          </cell>
        </row>
        <row r="2262">
          <cell r="J2262" t="str">
            <v>S/L</v>
          </cell>
          <cell r="R2262" t="str">
            <v xml:space="preserve"> </v>
          </cell>
        </row>
        <row r="2263">
          <cell r="J2263" t="str">
            <v>S/L</v>
          </cell>
          <cell r="R2263" t="str">
            <v xml:space="preserve"> </v>
          </cell>
        </row>
        <row r="2264">
          <cell r="J2264" t="str">
            <v>S/L</v>
          </cell>
          <cell r="R2264" t="str">
            <v xml:space="preserve"> </v>
          </cell>
        </row>
        <row r="2265">
          <cell r="J2265" t="str">
            <v>S/L</v>
          </cell>
          <cell r="R2265" t="str">
            <v xml:space="preserve"> </v>
          </cell>
        </row>
        <row r="2266">
          <cell r="J2266" t="str">
            <v>S/L</v>
          </cell>
          <cell r="R2266" t="str">
            <v xml:space="preserve"> </v>
          </cell>
        </row>
        <row r="2267">
          <cell r="J2267" t="str">
            <v>S/L</v>
          </cell>
          <cell r="R2267" t="str">
            <v xml:space="preserve"> </v>
          </cell>
        </row>
        <row r="2268">
          <cell r="J2268" t="str">
            <v>S/L</v>
          </cell>
          <cell r="R2268" t="str">
            <v xml:space="preserve"> </v>
          </cell>
        </row>
        <row r="2269">
          <cell r="J2269" t="str">
            <v>S/L</v>
          </cell>
          <cell r="R2269" t="str">
            <v xml:space="preserve"> </v>
          </cell>
        </row>
        <row r="2270">
          <cell r="J2270" t="str">
            <v>S/L</v>
          </cell>
          <cell r="R2270" t="str">
            <v xml:space="preserve"> </v>
          </cell>
        </row>
        <row r="2271">
          <cell r="J2271" t="str">
            <v>S/L</v>
          </cell>
          <cell r="R2271" t="str">
            <v xml:space="preserve"> </v>
          </cell>
        </row>
        <row r="2272">
          <cell r="J2272" t="str">
            <v>S/L</v>
          </cell>
          <cell r="R2272" t="str">
            <v xml:space="preserve"> </v>
          </cell>
        </row>
        <row r="2273">
          <cell r="J2273" t="str">
            <v>S/L</v>
          </cell>
          <cell r="R2273" t="str">
            <v xml:space="preserve"> </v>
          </cell>
        </row>
        <row r="2274">
          <cell r="J2274" t="str">
            <v>S/L</v>
          </cell>
          <cell r="R2274" t="str">
            <v xml:space="preserve"> </v>
          </cell>
        </row>
        <row r="2275">
          <cell r="J2275" t="str">
            <v>S/L</v>
          </cell>
          <cell r="R2275" t="str">
            <v xml:space="preserve"> </v>
          </cell>
        </row>
        <row r="2276">
          <cell r="J2276" t="str">
            <v>S/L</v>
          </cell>
          <cell r="R2276" t="str">
            <v xml:space="preserve"> </v>
          </cell>
        </row>
        <row r="2277">
          <cell r="J2277" t="str">
            <v>S/L</v>
          </cell>
          <cell r="R2277" t="str">
            <v xml:space="preserve"> </v>
          </cell>
        </row>
        <row r="2278">
          <cell r="J2278" t="str">
            <v>S/L</v>
          </cell>
          <cell r="R2278" t="str">
            <v xml:space="preserve"> </v>
          </cell>
        </row>
        <row r="2279">
          <cell r="J2279" t="str">
            <v>S/L</v>
          </cell>
          <cell r="R2279" t="str">
            <v xml:space="preserve"> </v>
          </cell>
        </row>
        <row r="2280">
          <cell r="J2280" t="str">
            <v>S/L</v>
          </cell>
          <cell r="R2280" t="str">
            <v xml:space="preserve"> </v>
          </cell>
        </row>
        <row r="2281">
          <cell r="J2281" t="str">
            <v>S/L</v>
          </cell>
          <cell r="R2281" t="str">
            <v xml:space="preserve"> </v>
          </cell>
        </row>
        <row r="2282">
          <cell r="J2282" t="str">
            <v>S/L</v>
          </cell>
          <cell r="R2282" t="str">
            <v xml:space="preserve"> </v>
          </cell>
        </row>
        <row r="2283">
          <cell r="J2283" t="str">
            <v>S/L</v>
          </cell>
          <cell r="R2283" t="str">
            <v xml:space="preserve"> </v>
          </cell>
        </row>
        <row r="2284">
          <cell r="J2284" t="str">
            <v>S/L</v>
          </cell>
          <cell r="R2284" t="str">
            <v xml:space="preserve"> </v>
          </cell>
        </row>
        <row r="2285">
          <cell r="J2285" t="str">
            <v>S/L</v>
          </cell>
          <cell r="R2285" t="str">
            <v xml:space="preserve"> </v>
          </cell>
        </row>
        <row r="2286">
          <cell r="J2286" t="str">
            <v>S/L</v>
          </cell>
          <cell r="R2286" t="str">
            <v xml:space="preserve"> </v>
          </cell>
        </row>
        <row r="2287">
          <cell r="J2287" t="str">
            <v>S/L</v>
          </cell>
          <cell r="R2287" t="str">
            <v xml:space="preserve"> </v>
          </cell>
        </row>
        <row r="2288">
          <cell r="J2288" t="str">
            <v>S/L</v>
          </cell>
          <cell r="R2288" t="str">
            <v xml:space="preserve"> </v>
          </cell>
        </row>
        <row r="2289">
          <cell r="J2289" t="str">
            <v>S/L</v>
          </cell>
          <cell r="R2289" t="str">
            <v xml:space="preserve"> </v>
          </cell>
        </row>
        <row r="2290">
          <cell r="J2290" t="str">
            <v>S/L</v>
          </cell>
          <cell r="R2290" t="str">
            <v xml:space="preserve"> </v>
          </cell>
        </row>
        <row r="2291">
          <cell r="J2291" t="str">
            <v>S/L</v>
          </cell>
          <cell r="R2291" t="str">
            <v xml:space="preserve"> </v>
          </cell>
        </row>
        <row r="2292">
          <cell r="J2292" t="str">
            <v>S/L</v>
          </cell>
          <cell r="R2292" t="str">
            <v xml:space="preserve"> </v>
          </cell>
        </row>
        <row r="2293">
          <cell r="J2293" t="str">
            <v>S/L</v>
          </cell>
          <cell r="R2293" t="str">
            <v xml:space="preserve"> </v>
          </cell>
        </row>
        <row r="2294">
          <cell r="J2294" t="str">
            <v>S/L</v>
          </cell>
          <cell r="R2294" t="str">
            <v xml:space="preserve"> </v>
          </cell>
        </row>
        <row r="2295">
          <cell r="J2295" t="str">
            <v>S/L</v>
          </cell>
          <cell r="R2295" t="str">
            <v xml:space="preserve"> </v>
          </cell>
        </row>
        <row r="2296">
          <cell r="J2296" t="str">
            <v>S/L</v>
          </cell>
          <cell r="R2296" t="str">
            <v xml:space="preserve"> </v>
          </cell>
        </row>
        <row r="2297">
          <cell r="J2297" t="str">
            <v>S/L</v>
          </cell>
          <cell r="R2297" t="str">
            <v xml:space="preserve"> </v>
          </cell>
        </row>
        <row r="2298">
          <cell r="J2298" t="str">
            <v>S/L</v>
          </cell>
          <cell r="R2298" t="str">
            <v xml:space="preserve"> </v>
          </cell>
        </row>
        <row r="2299">
          <cell r="J2299" t="str">
            <v>S/L</v>
          </cell>
          <cell r="R2299" t="str">
            <v xml:space="preserve"> </v>
          </cell>
        </row>
        <row r="2300">
          <cell r="J2300" t="str">
            <v>S/L</v>
          </cell>
          <cell r="R2300" t="str">
            <v xml:space="preserve"> </v>
          </cell>
        </row>
        <row r="2301">
          <cell r="J2301" t="str">
            <v>S/L</v>
          </cell>
          <cell r="R2301" t="str">
            <v xml:space="preserve"> </v>
          </cell>
        </row>
        <row r="2302">
          <cell r="J2302" t="str">
            <v>S/L</v>
          </cell>
          <cell r="R2302" t="str">
            <v xml:space="preserve"> </v>
          </cell>
        </row>
        <row r="2303">
          <cell r="J2303" t="str">
            <v>S/L</v>
          </cell>
          <cell r="R2303" t="str">
            <v xml:space="preserve"> </v>
          </cell>
        </row>
        <row r="2304">
          <cell r="J2304" t="str">
            <v>S/L</v>
          </cell>
          <cell r="R2304" t="str">
            <v xml:space="preserve"> </v>
          </cell>
        </row>
        <row r="2305">
          <cell r="J2305" t="str">
            <v>S/L</v>
          </cell>
          <cell r="R2305" t="str">
            <v xml:space="preserve"> </v>
          </cell>
        </row>
        <row r="2306">
          <cell r="J2306" t="str">
            <v>S/L</v>
          </cell>
          <cell r="R2306" t="str">
            <v xml:space="preserve"> </v>
          </cell>
        </row>
        <row r="2307">
          <cell r="J2307" t="str">
            <v>S/L</v>
          </cell>
          <cell r="R2307" t="str">
            <v xml:space="preserve"> </v>
          </cell>
        </row>
        <row r="2308">
          <cell r="J2308" t="str">
            <v>S/L</v>
          </cell>
          <cell r="R2308" t="str">
            <v xml:space="preserve"> </v>
          </cell>
        </row>
        <row r="2309">
          <cell r="J2309" t="str">
            <v>S/L</v>
          </cell>
          <cell r="R2309" t="str">
            <v xml:space="preserve"> </v>
          </cell>
        </row>
        <row r="2310">
          <cell r="J2310" t="str">
            <v>S/L</v>
          </cell>
          <cell r="R2310" t="str">
            <v xml:space="preserve"> </v>
          </cell>
        </row>
        <row r="2311">
          <cell r="J2311" t="str">
            <v>S/L</v>
          </cell>
          <cell r="R2311" t="str">
            <v xml:space="preserve"> </v>
          </cell>
        </row>
        <row r="2312">
          <cell r="J2312" t="str">
            <v>S/L</v>
          </cell>
          <cell r="R2312" t="str">
            <v xml:space="preserve"> </v>
          </cell>
        </row>
        <row r="2313">
          <cell r="J2313" t="str">
            <v>S/L</v>
          </cell>
          <cell r="R2313" t="str">
            <v xml:space="preserve"> </v>
          </cell>
        </row>
        <row r="2314">
          <cell r="J2314" t="str">
            <v>S/L</v>
          </cell>
          <cell r="R2314" t="str">
            <v xml:space="preserve"> </v>
          </cell>
        </row>
        <row r="2315">
          <cell r="J2315" t="str">
            <v>S/L</v>
          </cell>
          <cell r="R2315" t="str">
            <v xml:space="preserve"> </v>
          </cell>
        </row>
        <row r="2316">
          <cell r="J2316" t="str">
            <v>S/L</v>
          </cell>
          <cell r="R2316" t="str">
            <v xml:space="preserve"> </v>
          </cell>
        </row>
        <row r="2317">
          <cell r="J2317" t="str">
            <v>S/L</v>
          </cell>
          <cell r="R2317" t="str">
            <v xml:space="preserve"> </v>
          </cell>
        </row>
        <row r="2318">
          <cell r="J2318" t="str">
            <v>S/L</v>
          </cell>
          <cell r="R2318" t="str">
            <v xml:space="preserve"> </v>
          </cell>
        </row>
        <row r="2319">
          <cell r="J2319" t="str">
            <v>S/L</v>
          </cell>
          <cell r="R2319" t="str">
            <v xml:space="preserve"> </v>
          </cell>
        </row>
        <row r="2320">
          <cell r="J2320" t="str">
            <v>S/L</v>
          </cell>
          <cell r="R2320" t="str">
            <v xml:space="preserve"> </v>
          </cell>
        </row>
        <row r="2321">
          <cell r="J2321" t="str">
            <v>S/L</v>
          </cell>
          <cell r="R2321" t="str">
            <v xml:space="preserve"> </v>
          </cell>
        </row>
        <row r="2322">
          <cell r="J2322" t="str">
            <v>S/L</v>
          </cell>
          <cell r="R2322" t="str">
            <v xml:space="preserve"> </v>
          </cell>
        </row>
        <row r="2323">
          <cell r="J2323" t="str">
            <v>S/L</v>
          </cell>
          <cell r="R2323" t="str">
            <v xml:space="preserve"> </v>
          </cell>
        </row>
        <row r="2324">
          <cell r="J2324" t="str">
            <v>S/L</v>
          </cell>
          <cell r="R2324" t="str">
            <v xml:space="preserve"> </v>
          </cell>
        </row>
        <row r="2325">
          <cell r="J2325" t="str">
            <v>S/L</v>
          </cell>
          <cell r="R2325" t="str">
            <v xml:space="preserve"> </v>
          </cell>
        </row>
        <row r="2326">
          <cell r="J2326" t="str">
            <v>S/L</v>
          </cell>
          <cell r="R2326" t="str">
            <v xml:space="preserve"> </v>
          </cell>
        </row>
        <row r="2327">
          <cell r="J2327" t="str">
            <v>S/L</v>
          </cell>
          <cell r="R2327" t="str">
            <v xml:space="preserve"> </v>
          </cell>
        </row>
        <row r="2328">
          <cell r="J2328" t="str">
            <v>S/L</v>
          </cell>
          <cell r="R2328" t="str">
            <v xml:space="preserve"> </v>
          </cell>
        </row>
        <row r="2329">
          <cell r="J2329" t="str">
            <v>S/L</v>
          </cell>
          <cell r="R2329" t="str">
            <v xml:space="preserve"> </v>
          </cell>
        </row>
        <row r="2330">
          <cell r="J2330" t="str">
            <v>S/L</v>
          </cell>
          <cell r="R2330" t="str">
            <v xml:space="preserve"> </v>
          </cell>
        </row>
        <row r="2331">
          <cell r="J2331" t="str">
            <v>S/L</v>
          </cell>
          <cell r="R2331" t="str">
            <v xml:space="preserve"> </v>
          </cell>
        </row>
        <row r="2332">
          <cell r="J2332" t="str">
            <v>S/L</v>
          </cell>
          <cell r="R2332" t="str">
            <v xml:space="preserve"> </v>
          </cell>
        </row>
        <row r="2333">
          <cell r="J2333" t="str">
            <v>S/L</v>
          </cell>
          <cell r="R2333" t="str">
            <v xml:space="preserve"> </v>
          </cell>
        </row>
        <row r="2334">
          <cell r="J2334" t="str">
            <v>S/L</v>
          </cell>
          <cell r="R2334" t="str">
            <v xml:space="preserve"> </v>
          </cell>
        </row>
        <row r="2335">
          <cell r="J2335" t="str">
            <v>S/L</v>
          </cell>
          <cell r="R2335" t="str">
            <v xml:space="preserve"> </v>
          </cell>
        </row>
        <row r="2336">
          <cell r="J2336" t="str">
            <v>S/L</v>
          </cell>
          <cell r="R2336" t="str">
            <v xml:space="preserve"> </v>
          </cell>
        </row>
        <row r="2337">
          <cell r="J2337" t="str">
            <v>S/L</v>
          </cell>
          <cell r="R2337" t="str">
            <v xml:space="preserve"> </v>
          </cell>
        </row>
        <row r="2338">
          <cell r="J2338" t="str">
            <v>S/L</v>
          </cell>
          <cell r="R2338" t="str">
            <v xml:space="preserve"> </v>
          </cell>
        </row>
        <row r="2339">
          <cell r="J2339" t="str">
            <v>S/L</v>
          </cell>
          <cell r="R2339" t="str">
            <v xml:space="preserve"> </v>
          </cell>
        </row>
        <row r="2340">
          <cell r="J2340" t="str">
            <v>S/L</v>
          </cell>
          <cell r="R2340" t="str">
            <v xml:space="preserve"> </v>
          </cell>
        </row>
        <row r="2341">
          <cell r="J2341" t="str">
            <v>S/L</v>
          </cell>
          <cell r="R2341" t="str">
            <v xml:space="preserve"> </v>
          </cell>
        </row>
        <row r="2342">
          <cell r="J2342" t="str">
            <v>S/L</v>
          </cell>
          <cell r="R2342" t="str">
            <v xml:space="preserve"> </v>
          </cell>
        </row>
        <row r="2343">
          <cell r="J2343" t="str">
            <v>S/L</v>
          </cell>
          <cell r="R2343" t="str">
            <v xml:space="preserve"> </v>
          </cell>
        </row>
        <row r="2344">
          <cell r="J2344" t="str">
            <v>S/L</v>
          </cell>
          <cell r="R2344" t="str">
            <v xml:space="preserve"> </v>
          </cell>
        </row>
        <row r="2345">
          <cell r="J2345" t="str">
            <v>S/L</v>
          </cell>
          <cell r="R2345" t="str">
            <v xml:space="preserve"> </v>
          </cell>
        </row>
        <row r="2346">
          <cell r="J2346" t="str">
            <v>S/L</v>
          </cell>
          <cell r="R2346" t="str">
            <v xml:space="preserve"> </v>
          </cell>
        </row>
        <row r="2347">
          <cell r="J2347" t="str">
            <v>S/L</v>
          </cell>
          <cell r="R2347" t="str">
            <v xml:space="preserve"> </v>
          </cell>
        </row>
        <row r="2348">
          <cell r="J2348" t="str">
            <v>S/L</v>
          </cell>
          <cell r="R2348" t="str">
            <v xml:space="preserve"> </v>
          </cell>
        </row>
        <row r="2349">
          <cell r="J2349" t="str">
            <v>S/L</v>
          </cell>
          <cell r="R2349" t="str">
            <v xml:space="preserve"> </v>
          </cell>
        </row>
        <row r="2350">
          <cell r="J2350" t="str">
            <v>S/L</v>
          </cell>
          <cell r="R2350" t="str">
            <v xml:space="preserve"> </v>
          </cell>
        </row>
        <row r="2351">
          <cell r="J2351" t="str">
            <v>S/L</v>
          </cell>
          <cell r="R2351" t="str">
            <v xml:space="preserve"> </v>
          </cell>
        </row>
        <row r="2352">
          <cell r="J2352" t="str">
            <v>S/L</v>
          </cell>
          <cell r="R2352" t="str">
            <v xml:space="preserve"> </v>
          </cell>
        </row>
        <row r="2353">
          <cell r="J2353" t="str">
            <v>S/L</v>
          </cell>
          <cell r="R2353" t="str">
            <v xml:space="preserve"> </v>
          </cell>
        </row>
        <row r="2354">
          <cell r="J2354" t="str">
            <v>S/L</v>
          </cell>
          <cell r="R2354" t="str">
            <v xml:space="preserve"> </v>
          </cell>
        </row>
        <row r="2355">
          <cell r="J2355" t="str">
            <v>S/L</v>
          </cell>
          <cell r="R2355" t="str">
            <v xml:space="preserve"> </v>
          </cell>
        </row>
        <row r="2356">
          <cell r="J2356" t="str">
            <v>S/L</v>
          </cell>
          <cell r="R2356" t="str">
            <v xml:space="preserve"> </v>
          </cell>
        </row>
        <row r="2357">
          <cell r="J2357" t="str">
            <v>S/L</v>
          </cell>
          <cell r="R2357" t="str">
            <v xml:space="preserve"> </v>
          </cell>
        </row>
        <row r="2358">
          <cell r="J2358" t="str">
            <v>S/L</v>
          </cell>
          <cell r="R2358" t="str">
            <v xml:space="preserve"> </v>
          </cell>
        </row>
        <row r="2359">
          <cell r="J2359" t="str">
            <v>S/L</v>
          </cell>
          <cell r="R2359" t="str">
            <v xml:space="preserve"> </v>
          </cell>
        </row>
        <row r="2360">
          <cell r="J2360" t="str">
            <v>S/L</v>
          </cell>
          <cell r="R2360" t="str">
            <v xml:space="preserve"> </v>
          </cell>
        </row>
        <row r="2361">
          <cell r="J2361" t="str">
            <v>S/L</v>
          </cell>
          <cell r="R2361" t="str">
            <v xml:space="preserve"> </v>
          </cell>
        </row>
        <row r="2362">
          <cell r="J2362" t="str">
            <v>S/L</v>
          </cell>
          <cell r="R2362" t="str">
            <v xml:space="preserve"> </v>
          </cell>
        </row>
        <row r="2363">
          <cell r="J2363" t="str">
            <v>S/L</v>
          </cell>
          <cell r="R2363" t="str">
            <v xml:space="preserve"> </v>
          </cell>
        </row>
        <row r="2364">
          <cell r="J2364" t="str">
            <v>S/L</v>
          </cell>
          <cell r="R2364" t="str">
            <v xml:space="preserve"> </v>
          </cell>
        </row>
        <row r="2365">
          <cell r="J2365" t="str">
            <v>S/L</v>
          </cell>
          <cell r="R2365" t="str">
            <v xml:space="preserve"> </v>
          </cell>
        </row>
        <row r="2366">
          <cell r="J2366" t="str">
            <v>S/L</v>
          </cell>
          <cell r="R2366" t="str">
            <v xml:space="preserve"> </v>
          </cell>
        </row>
        <row r="2367">
          <cell r="J2367" t="str">
            <v>S/L</v>
          </cell>
          <cell r="R2367" t="str">
            <v xml:space="preserve"> </v>
          </cell>
        </row>
        <row r="2368">
          <cell r="J2368" t="str">
            <v>S/L</v>
          </cell>
          <cell r="R2368" t="str">
            <v xml:space="preserve"> </v>
          </cell>
        </row>
        <row r="2369">
          <cell r="J2369" t="str">
            <v>S/L</v>
          </cell>
          <cell r="R2369" t="str">
            <v xml:space="preserve"> </v>
          </cell>
        </row>
        <row r="2370">
          <cell r="J2370" t="str">
            <v>S/L</v>
          </cell>
          <cell r="R2370" t="str">
            <v xml:space="preserve"> </v>
          </cell>
        </row>
        <row r="2371">
          <cell r="J2371" t="str">
            <v>S/L</v>
          </cell>
          <cell r="R2371" t="str">
            <v xml:space="preserve"> </v>
          </cell>
        </row>
        <row r="2372">
          <cell r="J2372" t="str">
            <v>S/L</v>
          </cell>
          <cell r="R2372" t="str">
            <v xml:space="preserve"> </v>
          </cell>
        </row>
        <row r="2373">
          <cell r="J2373" t="str">
            <v>S/L</v>
          </cell>
          <cell r="R2373" t="str">
            <v xml:space="preserve"> </v>
          </cell>
        </row>
        <row r="2374">
          <cell r="J2374" t="str">
            <v>S/L</v>
          </cell>
          <cell r="R2374" t="str">
            <v xml:space="preserve"> </v>
          </cell>
        </row>
        <row r="2375">
          <cell r="J2375" t="str">
            <v>S/L</v>
          </cell>
          <cell r="R2375" t="str">
            <v xml:space="preserve"> </v>
          </cell>
        </row>
        <row r="2376">
          <cell r="J2376" t="str">
            <v>S/L</v>
          </cell>
          <cell r="R2376" t="str">
            <v xml:space="preserve"> </v>
          </cell>
        </row>
        <row r="2377">
          <cell r="J2377" t="str">
            <v>S/L</v>
          </cell>
          <cell r="R2377" t="str">
            <v xml:space="preserve"> </v>
          </cell>
        </row>
        <row r="2378">
          <cell r="J2378" t="str">
            <v>S/L</v>
          </cell>
          <cell r="R2378" t="str">
            <v xml:space="preserve"> </v>
          </cell>
        </row>
        <row r="2379">
          <cell r="J2379" t="str">
            <v>S/L</v>
          </cell>
          <cell r="R2379" t="str">
            <v xml:space="preserve"> </v>
          </cell>
        </row>
        <row r="2380">
          <cell r="J2380" t="str">
            <v>S/L</v>
          </cell>
          <cell r="R2380" t="str">
            <v xml:space="preserve"> </v>
          </cell>
        </row>
        <row r="2381">
          <cell r="J2381" t="str">
            <v>S/L</v>
          </cell>
          <cell r="R2381" t="str">
            <v xml:space="preserve"> </v>
          </cell>
        </row>
        <row r="2382">
          <cell r="J2382" t="str">
            <v>S/L</v>
          </cell>
          <cell r="R2382" t="str">
            <v xml:space="preserve"> </v>
          </cell>
        </row>
        <row r="2383">
          <cell r="J2383" t="str">
            <v>S/L</v>
          </cell>
          <cell r="R2383" t="str">
            <v xml:space="preserve"> </v>
          </cell>
        </row>
        <row r="2384">
          <cell r="J2384" t="str">
            <v>S/L</v>
          </cell>
          <cell r="R2384" t="str">
            <v xml:space="preserve"> </v>
          </cell>
        </row>
        <row r="2385">
          <cell r="J2385" t="str">
            <v>S/L</v>
          </cell>
          <cell r="R2385" t="str">
            <v xml:space="preserve"> </v>
          </cell>
        </row>
        <row r="2386">
          <cell r="J2386" t="str">
            <v>S/L</v>
          </cell>
          <cell r="R2386" t="str">
            <v xml:space="preserve"> </v>
          </cell>
        </row>
        <row r="2387">
          <cell r="J2387" t="str">
            <v>S/L</v>
          </cell>
          <cell r="R2387" t="str">
            <v xml:space="preserve"> </v>
          </cell>
        </row>
        <row r="2388">
          <cell r="J2388" t="str">
            <v>S/L</v>
          </cell>
          <cell r="R2388" t="str">
            <v xml:space="preserve"> </v>
          </cell>
        </row>
        <row r="2389">
          <cell r="J2389" t="str">
            <v>S/L</v>
          </cell>
          <cell r="R2389" t="str">
            <v xml:space="preserve"> </v>
          </cell>
        </row>
        <row r="2390">
          <cell r="J2390" t="str">
            <v>S/L</v>
          </cell>
          <cell r="R2390" t="str">
            <v xml:space="preserve"> </v>
          </cell>
        </row>
        <row r="2391">
          <cell r="J2391" t="str">
            <v>S/L</v>
          </cell>
          <cell r="R2391" t="str">
            <v xml:space="preserve"> </v>
          </cell>
        </row>
        <row r="2392">
          <cell r="J2392" t="str">
            <v>S/L</v>
          </cell>
          <cell r="R2392" t="str">
            <v xml:space="preserve"> </v>
          </cell>
        </row>
        <row r="2393">
          <cell r="J2393" t="str">
            <v>S/L</v>
          </cell>
          <cell r="R2393" t="str">
            <v xml:space="preserve"> </v>
          </cell>
        </row>
        <row r="2394">
          <cell r="J2394" t="str">
            <v>S/L</v>
          </cell>
          <cell r="R2394" t="str">
            <v xml:space="preserve"> </v>
          </cell>
        </row>
        <row r="2395">
          <cell r="J2395" t="str">
            <v>S/L</v>
          </cell>
          <cell r="R2395" t="str">
            <v xml:space="preserve"> </v>
          </cell>
        </row>
        <row r="2396">
          <cell r="J2396" t="str">
            <v>S/L</v>
          </cell>
          <cell r="R2396" t="str">
            <v xml:space="preserve"> </v>
          </cell>
        </row>
        <row r="2397">
          <cell r="J2397" t="str">
            <v>S/L</v>
          </cell>
          <cell r="R2397" t="str">
            <v xml:space="preserve"> </v>
          </cell>
        </row>
        <row r="2398">
          <cell r="J2398" t="str">
            <v>S/L</v>
          </cell>
          <cell r="R2398" t="str">
            <v xml:space="preserve"> </v>
          </cell>
        </row>
        <row r="2399">
          <cell r="J2399" t="str">
            <v>S/L</v>
          </cell>
          <cell r="R2399" t="str">
            <v xml:space="preserve"> </v>
          </cell>
        </row>
        <row r="2400">
          <cell r="J2400" t="str">
            <v>S/L</v>
          </cell>
          <cell r="R2400" t="str">
            <v xml:space="preserve"> </v>
          </cell>
        </row>
        <row r="2401">
          <cell r="J2401" t="str">
            <v>S/L</v>
          </cell>
          <cell r="R2401" t="str">
            <v xml:space="preserve"> </v>
          </cell>
        </row>
        <row r="2402">
          <cell r="J2402" t="str">
            <v>S/L</v>
          </cell>
          <cell r="R2402" t="str">
            <v xml:space="preserve"> </v>
          </cell>
        </row>
        <row r="2403">
          <cell r="J2403" t="str">
            <v>S/L</v>
          </cell>
          <cell r="R2403" t="str">
            <v xml:space="preserve"> </v>
          </cell>
        </row>
        <row r="2404">
          <cell r="J2404" t="str">
            <v>S/L</v>
          </cell>
          <cell r="R2404" t="str">
            <v xml:space="preserve"> </v>
          </cell>
        </row>
        <row r="2405">
          <cell r="J2405" t="str">
            <v>S/L</v>
          </cell>
          <cell r="R2405" t="str">
            <v xml:space="preserve"> </v>
          </cell>
        </row>
        <row r="2406">
          <cell r="J2406" t="str">
            <v>S/L</v>
          </cell>
          <cell r="R2406" t="str">
            <v xml:space="preserve"> </v>
          </cell>
        </row>
        <row r="2407">
          <cell r="J2407" t="str">
            <v>S/L</v>
          </cell>
          <cell r="R2407" t="str">
            <v xml:space="preserve"> </v>
          </cell>
        </row>
        <row r="2408">
          <cell r="J2408" t="str">
            <v>S/L</v>
          </cell>
          <cell r="R2408" t="str">
            <v xml:space="preserve"> </v>
          </cell>
        </row>
        <row r="2409">
          <cell r="J2409" t="str">
            <v>S/L</v>
          </cell>
          <cell r="R2409" t="str">
            <v xml:space="preserve"> </v>
          </cell>
        </row>
        <row r="2410">
          <cell r="J2410" t="str">
            <v>S/L</v>
          </cell>
          <cell r="R2410" t="str">
            <v xml:space="preserve"> </v>
          </cell>
        </row>
        <row r="2411">
          <cell r="J2411" t="str">
            <v>S/L</v>
          </cell>
          <cell r="R2411" t="str">
            <v xml:space="preserve"> </v>
          </cell>
        </row>
        <row r="2412">
          <cell r="J2412" t="str">
            <v>S/L</v>
          </cell>
          <cell r="R2412" t="str">
            <v xml:space="preserve"> </v>
          </cell>
        </row>
        <row r="2413">
          <cell r="J2413" t="str">
            <v>S/L</v>
          </cell>
          <cell r="R2413" t="str">
            <v xml:space="preserve"> </v>
          </cell>
        </row>
        <row r="2414">
          <cell r="J2414" t="str">
            <v>S/L</v>
          </cell>
          <cell r="R2414" t="str">
            <v xml:space="preserve"> </v>
          </cell>
        </row>
        <row r="2415">
          <cell r="J2415" t="str">
            <v>S/L</v>
          </cell>
          <cell r="R2415" t="str">
            <v xml:space="preserve"> </v>
          </cell>
        </row>
        <row r="2416">
          <cell r="J2416" t="str">
            <v>S/L</v>
          </cell>
          <cell r="R2416" t="str">
            <v xml:space="preserve"> </v>
          </cell>
        </row>
        <row r="2417">
          <cell r="J2417" t="str">
            <v>S/L</v>
          </cell>
          <cell r="R2417" t="str">
            <v xml:space="preserve"> </v>
          </cell>
        </row>
        <row r="2418">
          <cell r="J2418" t="str">
            <v>S/L</v>
          </cell>
          <cell r="R2418" t="str">
            <v xml:space="preserve"> </v>
          </cell>
        </row>
        <row r="2419">
          <cell r="J2419" t="str">
            <v>S/L</v>
          </cell>
          <cell r="R2419" t="str">
            <v xml:space="preserve"> </v>
          </cell>
        </row>
        <row r="2420">
          <cell r="J2420" t="str">
            <v>S/L</v>
          </cell>
          <cell r="R2420" t="str">
            <v xml:space="preserve"> </v>
          </cell>
        </row>
        <row r="2421">
          <cell r="J2421" t="str">
            <v>S/L</v>
          </cell>
          <cell r="R2421" t="str">
            <v xml:space="preserve"> </v>
          </cell>
        </row>
        <row r="2422">
          <cell r="J2422" t="str">
            <v>S/L</v>
          </cell>
          <cell r="R2422" t="str">
            <v xml:space="preserve"> </v>
          </cell>
        </row>
        <row r="2423">
          <cell r="J2423" t="str">
            <v>S/L</v>
          </cell>
          <cell r="R2423" t="str">
            <v xml:space="preserve"> </v>
          </cell>
        </row>
        <row r="2424">
          <cell r="J2424" t="str">
            <v>S/L</v>
          </cell>
          <cell r="R2424" t="str">
            <v xml:space="preserve"> </v>
          </cell>
        </row>
        <row r="2425">
          <cell r="J2425" t="str">
            <v>S/L</v>
          </cell>
          <cell r="R2425" t="str">
            <v xml:space="preserve"> </v>
          </cell>
        </row>
        <row r="2426">
          <cell r="J2426" t="str">
            <v>S/L</v>
          </cell>
          <cell r="R2426" t="str">
            <v xml:space="preserve"> </v>
          </cell>
        </row>
        <row r="2427">
          <cell r="J2427" t="str">
            <v>S/L</v>
          </cell>
          <cell r="R2427" t="str">
            <v xml:space="preserve"> </v>
          </cell>
        </row>
        <row r="2428">
          <cell r="J2428" t="str">
            <v>S/L</v>
          </cell>
          <cell r="R2428" t="str">
            <v xml:space="preserve"> </v>
          </cell>
        </row>
        <row r="2429">
          <cell r="J2429" t="str">
            <v>S/L</v>
          </cell>
          <cell r="R2429" t="str">
            <v xml:space="preserve"> </v>
          </cell>
        </row>
        <row r="2430">
          <cell r="J2430" t="str">
            <v>S/L</v>
          </cell>
          <cell r="R2430" t="str">
            <v xml:space="preserve"> </v>
          </cell>
        </row>
        <row r="2431">
          <cell r="J2431" t="str">
            <v>S/L</v>
          </cell>
          <cell r="R2431" t="str">
            <v xml:space="preserve"> </v>
          </cell>
        </row>
        <row r="2432">
          <cell r="J2432" t="str">
            <v>S/L</v>
          </cell>
          <cell r="R2432" t="str">
            <v xml:space="preserve"> </v>
          </cell>
        </row>
        <row r="2433">
          <cell r="J2433" t="str">
            <v>S/L</v>
          </cell>
          <cell r="R2433" t="str">
            <v xml:space="preserve"> </v>
          </cell>
        </row>
        <row r="2434">
          <cell r="J2434" t="str">
            <v>S/L</v>
          </cell>
          <cell r="R2434" t="str">
            <v xml:space="preserve"> </v>
          </cell>
        </row>
        <row r="2435">
          <cell r="J2435" t="str">
            <v>S/L</v>
          </cell>
          <cell r="R2435" t="str">
            <v xml:space="preserve"> </v>
          </cell>
        </row>
        <row r="2436">
          <cell r="J2436" t="str">
            <v>S/L</v>
          </cell>
          <cell r="R2436" t="str">
            <v xml:space="preserve"> </v>
          </cell>
        </row>
        <row r="2437">
          <cell r="J2437" t="str">
            <v>S/L</v>
          </cell>
          <cell r="R2437" t="str">
            <v xml:space="preserve"> </v>
          </cell>
        </row>
        <row r="2438">
          <cell r="J2438" t="str">
            <v>S/L</v>
          </cell>
          <cell r="R2438" t="str">
            <v xml:space="preserve"> </v>
          </cell>
        </row>
        <row r="2439">
          <cell r="J2439" t="str">
            <v>S/L</v>
          </cell>
          <cell r="R2439" t="str">
            <v xml:space="preserve"> </v>
          </cell>
        </row>
        <row r="2440">
          <cell r="J2440" t="str">
            <v>S/L</v>
          </cell>
          <cell r="R2440" t="str">
            <v xml:space="preserve"> </v>
          </cell>
        </row>
        <row r="2441">
          <cell r="J2441" t="str">
            <v>S/L</v>
          </cell>
          <cell r="R2441" t="str">
            <v xml:space="preserve"> </v>
          </cell>
        </row>
        <row r="2442">
          <cell r="J2442" t="str">
            <v>S/L</v>
          </cell>
          <cell r="R2442" t="str">
            <v xml:space="preserve"> </v>
          </cell>
        </row>
        <row r="2443">
          <cell r="J2443" t="str">
            <v>S/L</v>
          </cell>
          <cell r="R2443" t="str">
            <v xml:space="preserve"> </v>
          </cell>
        </row>
        <row r="2444">
          <cell r="J2444" t="str">
            <v>S/L</v>
          </cell>
          <cell r="R2444" t="str">
            <v xml:space="preserve"> </v>
          </cell>
        </row>
        <row r="2445">
          <cell r="J2445" t="str">
            <v>S/L</v>
          </cell>
          <cell r="R2445" t="str">
            <v xml:space="preserve"> </v>
          </cell>
        </row>
        <row r="2446">
          <cell r="J2446" t="str">
            <v>S/L</v>
          </cell>
          <cell r="R2446" t="str">
            <v xml:space="preserve"> </v>
          </cell>
        </row>
        <row r="2447">
          <cell r="J2447" t="str">
            <v>S/L</v>
          </cell>
          <cell r="R2447" t="str">
            <v xml:space="preserve"> </v>
          </cell>
        </row>
        <row r="2448">
          <cell r="J2448" t="str">
            <v>S/L</v>
          </cell>
          <cell r="R2448" t="str">
            <v xml:space="preserve"> </v>
          </cell>
        </row>
        <row r="2449">
          <cell r="J2449" t="str">
            <v>S/L</v>
          </cell>
          <cell r="R2449" t="str">
            <v xml:space="preserve"> </v>
          </cell>
        </row>
        <row r="2450">
          <cell r="J2450" t="str">
            <v>S/L</v>
          </cell>
          <cell r="R2450" t="str">
            <v xml:space="preserve"> </v>
          </cell>
        </row>
        <row r="2451">
          <cell r="J2451" t="str">
            <v>S/L</v>
          </cell>
          <cell r="R2451" t="str">
            <v xml:space="preserve"> </v>
          </cell>
        </row>
        <row r="2452">
          <cell r="J2452" t="str">
            <v>S/L</v>
          </cell>
          <cell r="R2452" t="str">
            <v xml:space="preserve"> </v>
          </cell>
        </row>
        <row r="2453">
          <cell r="J2453" t="str">
            <v>S/L</v>
          </cell>
          <cell r="R2453" t="str">
            <v xml:space="preserve"> </v>
          </cell>
        </row>
        <row r="2454">
          <cell r="J2454" t="str">
            <v>S/L</v>
          </cell>
          <cell r="R2454" t="str">
            <v xml:space="preserve"> </v>
          </cell>
        </row>
        <row r="2455">
          <cell r="J2455" t="str">
            <v>S/L</v>
          </cell>
          <cell r="R2455" t="str">
            <v xml:space="preserve"> </v>
          </cell>
        </row>
        <row r="2456">
          <cell r="J2456" t="str">
            <v>S/L</v>
          </cell>
          <cell r="R2456" t="str">
            <v xml:space="preserve"> </v>
          </cell>
        </row>
        <row r="2457">
          <cell r="J2457" t="str">
            <v>S/L</v>
          </cell>
          <cell r="R2457" t="str">
            <v xml:space="preserve"> </v>
          </cell>
        </row>
        <row r="2458">
          <cell r="J2458" t="str">
            <v>S/L</v>
          </cell>
          <cell r="R2458" t="str">
            <v xml:space="preserve"> </v>
          </cell>
        </row>
        <row r="2459">
          <cell r="J2459" t="str">
            <v>S/L</v>
          </cell>
          <cell r="R2459" t="str">
            <v xml:space="preserve"> </v>
          </cell>
        </row>
        <row r="2460">
          <cell r="J2460" t="str">
            <v>S/L</v>
          </cell>
          <cell r="R2460" t="str">
            <v xml:space="preserve"> </v>
          </cell>
        </row>
        <row r="2461">
          <cell r="J2461" t="str">
            <v>S/L</v>
          </cell>
          <cell r="R2461" t="str">
            <v xml:space="preserve"> </v>
          </cell>
        </row>
        <row r="2462">
          <cell r="J2462" t="str">
            <v>S/L</v>
          </cell>
          <cell r="R2462" t="str">
            <v xml:space="preserve"> </v>
          </cell>
        </row>
        <row r="2463">
          <cell r="J2463" t="str">
            <v>S/L</v>
          </cell>
          <cell r="R2463" t="str">
            <v xml:space="preserve"> </v>
          </cell>
        </row>
        <row r="2464">
          <cell r="J2464" t="str">
            <v>S/L</v>
          </cell>
          <cell r="R2464" t="str">
            <v xml:space="preserve"> </v>
          </cell>
        </row>
        <row r="2465">
          <cell r="J2465" t="str">
            <v>S/L</v>
          </cell>
          <cell r="R2465" t="str">
            <v xml:space="preserve"> </v>
          </cell>
        </row>
        <row r="2466">
          <cell r="J2466" t="str">
            <v>S/L</v>
          </cell>
          <cell r="R2466" t="str">
            <v xml:space="preserve"> </v>
          </cell>
        </row>
        <row r="2467">
          <cell r="J2467" t="str">
            <v>S/L</v>
          </cell>
          <cell r="R2467" t="str">
            <v xml:space="preserve"> </v>
          </cell>
        </row>
        <row r="2468">
          <cell r="J2468" t="str">
            <v>S/L</v>
          </cell>
          <cell r="R2468" t="str">
            <v xml:space="preserve"> </v>
          </cell>
        </row>
        <row r="2469">
          <cell r="J2469" t="str">
            <v>S/L</v>
          </cell>
          <cell r="R2469" t="str">
            <v xml:space="preserve"> </v>
          </cell>
        </row>
        <row r="2470">
          <cell r="J2470" t="str">
            <v>S/L</v>
          </cell>
          <cell r="R2470" t="str">
            <v xml:space="preserve"> </v>
          </cell>
        </row>
        <row r="2471">
          <cell r="J2471" t="str">
            <v>S/L</v>
          </cell>
          <cell r="R2471" t="str">
            <v xml:space="preserve"> </v>
          </cell>
        </row>
        <row r="2472">
          <cell r="J2472" t="str">
            <v>S/L</v>
          </cell>
          <cell r="R2472" t="str">
            <v xml:space="preserve"> </v>
          </cell>
        </row>
        <row r="2473">
          <cell r="J2473" t="str">
            <v>S/L</v>
          </cell>
          <cell r="R2473" t="str">
            <v xml:space="preserve"> </v>
          </cell>
        </row>
        <row r="2474">
          <cell r="J2474" t="str">
            <v>S/L</v>
          </cell>
          <cell r="R2474" t="str">
            <v xml:space="preserve"> </v>
          </cell>
        </row>
        <row r="2475">
          <cell r="J2475" t="str">
            <v>S/L</v>
          </cell>
          <cell r="R2475" t="str">
            <v xml:space="preserve"> </v>
          </cell>
        </row>
        <row r="2476">
          <cell r="J2476" t="str">
            <v>S/L</v>
          </cell>
          <cell r="R2476" t="str">
            <v xml:space="preserve"> </v>
          </cell>
        </row>
        <row r="2477">
          <cell r="J2477" t="str">
            <v>S/L</v>
          </cell>
          <cell r="R2477" t="str">
            <v xml:space="preserve"> </v>
          </cell>
        </row>
        <row r="2478">
          <cell r="J2478" t="str">
            <v>S/L</v>
          </cell>
          <cell r="R2478" t="str">
            <v xml:space="preserve"> </v>
          </cell>
        </row>
        <row r="2479">
          <cell r="J2479" t="str">
            <v>S/L</v>
          </cell>
          <cell r="R2479" t="str">
            <v xml:space="preserve"> </v>
          </cell>
        </row>
        <row r="2480">
          <cell r="J2480" t="str">
            <v>S/L</v>
          </cell>
          <cell r="R2480" t="str">
            <v xml:space="preserve"> </v>
          </cell>
        </row>
        <row r="2481">
          <cell r="J2481" t="str">
            <v>S/L</v>
          </cell>
          <cell r="R2481" t="str">
            <v xml:space="preserve"> </v>
          </cell>
        </row>
        <row r="2482">
          <cell r="J2482" t="str">
            <v>S/L</v>
          </cell>
          <cell r="R2482" t="str">
            <v xml:space="preserve"> </v>
          </cell>
        </row>
        <row r="2483">
          <cell r="J2483" t="str">
            <v>S/L</v>
          </cell>
          <cell r="R2483" t="str">
            <v xml:space="preserve"> </v>
          </cell>
        </row>
        <row r="2484">
          <cell r="J2484" t="str">
            <v>S/L</v>
          </cell>
          <cell r="R2484" t="str">
            <v xml:space="preserve"> </v>
          </cell>
        </row>
        <row r="2485">
          <cell r="J2485" t="str">
            <v>S/L</v>
          </cell>
          <cell r="R2485" t="str">
            <v xml:space="preserve"> </v>
          </cell>
        </row>
        <row r="2486">
          <cell r="J2486" t="str">
            <v>S/L</v>
          </cell>
          <cell r="R2486" t="str">
            <v xml:space="preserve"> </v>
          </cell>
        </row>
        <row r="2487">
          <cell r="J2487" t="str">
            <v>S/L</v>
          </cell>
          <cell r="R2487" t="str">
            <v xml:space="preserve"> </v>
          </cell>
        </row>
        <row r="2488">
          <cell r="J2488" t="str">
            <v>S/L</v>
          </cell>
          <cell r="R2488" t="str">
            <v xml:space="preserve"> </v>
          </cell>
        </row>
        <row r="2489">
          <cell r="J2489" t="str">
            <v>S/L</v>
          </cell>
          <cell r="R2489" t="str">
            <v xml:space="preserve"> </v>
          </cell>
        </row>
        <row r="2490">
          <cell r="J2490" t="str">
            <v>S/L</v>
          </cell>
          <cell r="R2490" t="str">
            <v xml:space="preserve"> </v>
          </cell>
        </row>
        <row r="2491">
          <cell r="J2491" t="str">
            <v>S/L</v>
          </cell>
          <cell r="R2491" t="str">
            <v xml:space="preserve"> </v>
          </cell>
        </row>
        <row r="2492">
          <cell r="J2492" t="str">
            <v>S/L</v>
          </cell>
          <cell r="R2492" t="str">
            <v xml:space="preserve"> </v>
          </cell>
        </row>
        <row r="2493">
          <cell r="J2493" t="str">
            <v>S/L</v>
          </cell>
          <cell r="R2493" t="str">
            <v xml:space="preserve"> </v>
          </cell>
        </row>
        <row r="2494">
          <cell r="J2494" t="str">
            <v>S/L</v>
          </cell>
          <cell r="R2494" t="str">
            <v xml:space="preserve"> </v>
          </cell>
        </row>
        <row r="2495">
          <cell r="J2495" t="str">
            <v>S/L</v>
          </cell>
          <cell r="R2495" t="str">
            <v xml:space="preserve"> </v>
          </cell>
        </row>
        <row r="2496">
          <cell r="J2496" t="str">
            <v>S/L</v>
          </cell>
          <cell r="R2496" t="str">
            <v xml:space="preserve"> </v>
          </cell>
        </row>
        <row r="2497">
          <cell r="J2497" t="str">
            <v>S/L</v>
          </cell>
          <cell r="R2497" t="str">
            <v xml:space="preserve"> </v>
          </cell>
        </row>
        <row r="2498">
          <cell r="J2498" t="str">
            <v>S/L</v>
          </cell>
          <cell r="R2498" t="str">
            <v xml:space="preserve"> </v>
          </cell>
        </row>
        <row r="2499">
          <cell r="J2499" t="str">
            <v>S/L</v>
          </cell>
          <cell r="R2499" t="str">
            <v xml:space="preserve"> </v>
          </cell>
        </row>
        <row r="2500">
          <cell r="J2500" t="str">
            <v>S/L</v>
          </cell>
          <cell r="R2500" t="str">
            <v xml:space="preserve"> </v>
          </cell>
        </row>
        <row r="2501">
          <cell r="J2501" t="str">
            <v>S/L</v>
          </cell>
          <cell r="R2501" t="str">
            <v xml:space="preserve"> </v>
          </cell>
        </row>
        <row r="2502">
          <cell r="J2502" t="str">
            <v>S/L</v>
          </cell>
          <cell r="R2502" t="str">
            <v xml:space="preserve"> </v>
          </cell>
        </row>
        <row r="2503">
          <cell r="J2503" t="str">
            <v>S/L</v>
          </cell>
          <cell r="R2503" t="str">
            <v xml:space="preserve"> </v>
          </cell>
        </row>
        <row r="2504">
          <cell r="J2504" t="str">
            <v>S/L</v>
          </cell>
          <cell r="R2504" t="str">
            <v xml:space="preserve"> </v>
          </cell>
        </row>
        <row r="2505">
          <cell r="J2505" t="str">
            <v>S/L</v>
          </cell>
          <cell r="R2505" t="str">
            <v xml:space="preserve"> </v>
          </cell>
        </row>
        <row r="2506">
          <cell r="J2506" t="str">
            <v>S/L</v>
          </cell>
          <cell r="R2506" t="str">
            <v xml:space="preserve"> </v>
          </cell>
        </row>
        <row r="2507">
          <cell r="J2507" t="str">
            <v>S/L</v>
          </cell>
          <cell r="R2507" t="str">
            <v xml:space="preserve"> </v>
          </cell>
        </row>
        <row r="2508">
          <cell r="J2508" t="str">
            <v>S/L</v>
          </cell>
          <cell r="R2508" t="str">
            <v xml:space="preserve"> </v>
          </cell>
        </row>
        <row r="2509">
          <cell r="J2509" t="str">
            <v>S/L</v>
          </cell>
          <cell r="R2509" t="str">
            <v xml:space="preserve"> </v>
          </cell>
        </row>
        <row r="2510">
          <cell r="J2510" t="str">
            <v>S/L</v>
          </cell>
          <cell r="R2510" t="str">
            <v xml:space="preserve"> </v>
          </cell>
        </row>
        <row r="2511">
          <cell r="J2511" t="str">
            <v>S/L</v>
          </cell>
          <cell r="R2511" t="str">
            <v xml:space="preserve"> </v>
          </cell>
        </row>
        <row r="2512">
          <cell r="J2512" t="str">
            <v>S/L</v>
          </cell>
          <cell r="R2512" t="str">
            <v xml:space="preserve"> </v>
          </cell>
        </row>
        <row r="2513">
          <cell r="J2513" t="str">
            <v>S/L</v>
          </cell>
          <cell r="R2513" t="str">
            <v xml:space="preserve"> </v>
          </cell>
        </row>
        <row r="2514">
          <cell r="J2514" t="str">
            <v>S/L</v>
          </cell>
          <cell r="R2514" t="str">
            <v xml:space="preserve"> </v>
          </cell>
        </row>
        <row r="2515">
          <cell r="J2515" t="str">
            <v>S/L</v>
          </cell>
          <cell r="R2515" t="str">
            <v xml:space="preserve"> </v>
          </cell>
        </row>
        <row r="2516">
          <cell r="J2516" t="str">
            <v>S/L</v>
          </cell>
          <cell r="R2516" t="str">
            <v xml:space="preserve"> </v>
          </cell>
        </row>
        <row r="2517">
          <cell r="J2517" t="str">
            <v>S/L</v>
          </cell>
          <cell r="R2517" t="str">
            <v xml:space="preserve"> </v>
          </cell>
        </row>
        <row r="2518">
          <cell r="J2518" t="str">
            <v>S/L</v>
          </cell>
          <cell r="R2518" t="str">
            <v xml:space="preserve"> </v>
          </cell>
        </row>
        <row r="2519">
          <cell r="J2519" t="str">
            <v>S/L</v>
          </cell>
          <cell r="R2519" t="str">
            <v xml:space="preserve"> </v>
          </cell>
        </row>
        <row r="2520">
          <cell r="J2520" t="str">
            <v>S/L</v>
          </cell>
          <cell r="R2520" t="str">
            <v xml:space="preserve"> </v>
          </cell>
        </row>
        <row r="2521">
          <cell r="J2521" t="str">
            <v>S/L</v>
          </cell>
          <cell r="R2521" t="str">
            <v xml:space="preserve"> </v>
          </cell>
        </row>
        <row r="2522">
          <cell r="J2522" t="str">
            <v>S/L</v>
          </cell>
          <cell r="R2522" t="str">
            <v xml:space="preserve"> </v>
          </cell>
        </row>
        <row r="2523">
          <cell r="J2523" t="str">
            <v>S/L</v>
          </cell>
          <cell r="R2523" t="str">
            <v xml:space="preserve"> </v>
          </cell>
        </row>
        <row r="2524">
          <cell r="J2524" t="str">
            <v>S/L</v>
          </cell>
          <cell r="R2524" t="str">
            <v xml:space="preserve"> </v>
          </cell>
        </row>
        <row r="2525">
          <cell r="J2525" t="str">
            <v>S/L</v>
          </cell>
          <cell r="R2525" t="str">
            <v xml:space="preserve"> </v>
          </cell>
        </row>
        <row r="2526">
          <cell r="J2526" t="str">
            <v>S/L</v>
          </cell>
          <cell r="R2526" t="str">
            <v xml:space="preserve"> </v>
          </cell>
        </row>
        <row r="2527">
          <cell r="J2527" t="str">
            <v>S/L</v>
          </cell>
          <cell r="R2527" t="str">
            <v xml:space="preserve"> </v>
          </cell>
        </row>
        <row r="2528">
          <cell r="J2528" t="str">
            <v>S/L</v>
          </cell>
          <cell r="R2528" t="str">
            <v xml:space="preserve"> </v>
          </cell>
        </row>
        <row r="2529">
          <cell r="J2529" t="str">
            <v>S/L</v>
          </cell>
          <cell r="R2529" t="str">
            <v xml:space="preserve"> </v>
          </cell>
        </row>
        <row r="2530">
          <cell r="J2530" t="str">
            <v>S/L</v>
          </cell>
          <cell r="R2530" t="str">
            <v xml:space="preserve"> </v>
          </cell>
        </row>
        <row r="2531">
          <cell r="J2531" t="str">
            <v>S/L</v>
          </cell>
          <cell r="R2531" t="str">
            <v xml:space="preserve"> </v>
          </cell>
        </row>
        <row r="2532">
          <cell r="J2532" t="str">
            <v>S/L</v>
          </cell>
          <cell r="R2532" t="str">
            <v xml:space="preserve"> </v>
          </cell>
        </row>
        <row r="2533">
          <cell r="J2533" t="str">
            <v>S/L</v>
          </cell>
          <cell r="R2533" t="str">
            <v xml:space="preserve"> </v>
          </cell>
        </row>
        <row r="2534">
          <cell r="J2534" t="str">
            <v>S/L</v>
          </cell>
          <cell r="R2534" t="str">
            <v xml:space="preserve"> </v>
          </cell>
        </row>
        <row r="2535">
          <cell r="J2535" t="str">
            <v>S/L</v>
          </cell>
          <cell r="R2535" t="str">
            <v xml:space="preserve"> </v>
          </cell>
        </row>
        <row r="2536">
          <cell r="J2536" t="str">
            <v>S/L</v>
          </cell>
          <cell r="R2536" t="str">
            <v xml:space="preserve"> </v>
          </cell>
        </row>
        <row r="2537">
          <cell r="J2537" t="str">
            <v>S/L</v>
          </cell>
          <cell r="R2537" t="str">
            <v xml:space="preserve"> </v>
          </cell>
        </row>
        <row r="2538">
          <cell r="J2538" t="str">
            <v>S/L</v>
          </cell>
          <cell r="R2538" t="str">
            <v xml:space="preserve"> </v>
          </cell>
        </row>
        <row r="2539">
          <cell r="J2539" t="str">
            <v>S/L</v>
          </cell>
          <cell r="R2539" t="str">
            <v xml:space="preserve"> </v>
          </cell>
        </row>
        <row r="2540">
          <cell r="J2540" t="str">
            <v>S/L</v>
          </cell>
          <cell r="R2540" t="str">
            <v xml:space="preserve"> </v>
          </cell>
        </row>
        <row r="2541">
          <cell r="J2541" t="str">
            <v>S/L</v>
          </cell>
          <cell r="R2541" t="str">
            <v xml:space="preserve"> </v>
          </cell>
        </row>
        <row r="2542">
          <cell r="J2542" t="str">
            <v>S/L</v>
          </cell>
          <cell r="R2542" t="str">
            <v xml:space="preserve"> </v>
          </cell>
        </row>
        <row r="2543">
          <cell r="J2543" t="str">
            <v>S/L</v>
          </cell>
          <cell r="R2543" t="str">
            <v xml:space="preserve"> </v>
          </cell>
        </row>
        <row r="2544">
          <cell r="J2544" t="str">
            <v>S/L</v>
          </cell>
          <cell r="R2544" t="str">
            <v xml:space="preserve"> </v>
          </cell>
        </row>
        <row r="2545">
          <cell r="J2545" t="str">
            <v>S/L</v>
          </cell>
          <cell r="R2545" t="str">
            <v xml:space="preserve"> </v>
          </cell>
        </row>
        <row r="2546">
          <cell r="J2546" t="str">
            <v>S/L</v>
          </cell>
          <cell r="R2546" t="str">
            <v xml:space="preserve"> </v>
          </cell>
        </row>
        <row r="2547">
          <cell r="J2547" t="str">
            <v>S/L</v>
          </cell>
          <cell r="R2547" t="str">
            <v xml:space="preserve"> </v>
          </cell>
        </row>
        <row r="2548">
          <cell r="J2548" t="str">
            <v>S/L</v>
          </cell>
          <cell r="R2548" t="str">
            <v xml:space="preserve"> </v>
          </cell>
        </row>
        <row r="2549">
          <cell r="J2549" t="str">
            <v>S/L</v>
          </cell>
          <cell r="R2549" t="str">
            <v xml:space="preserve"> </v>
          </cell>
        </row>
        <row r="2550">
          <cell r="J2550" t="str">
            <v>S/L</v>
          </cell>
          <cell r="R2550" t="str">
            <v xml:space="preserve"> </v>
          </cell>
        </row>
        <row r="2551">
          <cell r="J2551" t="str">
            <v>S/L</v>
          </cell>
          <cell r="R2551" t="str">
            <v xml:space="preserve"> </v>
          </cell>
        </row>
        <row r="2552">
          <cell r="J2552" t="str">
            <v>S/L</v>
          </cell>
          <cell r="R2552" t="str">
            <v xml:space="preserve"> </v>
          </cell>
        </row>
        <row r="2553">
          <cell r="J2553" t="str">
            <v>S/L</v>
          </cell>
          <cell r="R2553" t="str">
            <v xml:space="preserve"> </v>
          </cell>
        </row>
        <row r="2554">
          <cell r="J2554" t="str">
            <v>S/L</v>
          </cell>
          <cell r="R2554" t="str">
            <v xml:space="preserve"> </v>
          </cell>
        </row>
        <row r="2555">
          <cell r="J2555" t="str">
            <v>S/L</v>
          </cell>
          <cell r="R2555" t="str">
            <v xml:space="preserve"> </v>
          </cell>
        </row>
        <row r="2556">
          <cell r="J2556" t="str">
            <v>S/L</v>
          </cell>
          <cell r="R2556" t="str">
            <v xml:space="preserve"> </v>
          </cell>
        </row>
        <row r="2557">
          <cell r="J2557" t="str">
            <v>S/L</v>
          </cell>
          <cell r="R2557" t="str">
            <v xml:space="preserve"> </v>
          </cell>
        </row>
        <row r="2558">
          <cell r="J2558" t="str">
            <v>S/L</v>
          </cell>
          <cell r="R2558" t="str">
            <v xml:space="preserve"> </v>
          </cell>
        </row>
        <row r="2559">
          <cell r="J2559" t="str">
            <v>S/L</v>
          </cell>
          <cell r="R2559" t="str">
            <v xml:space="preserve"> </v>
          </cell>
        </row>
        <row r="2560">
          <cell r="J2560" t="str">
            <v>S/L</v>
          </cell>
          <cell r="R2560" t="str">
            <v xml:space="preserve"> </v>
          </cell>
        </row>
        <row r="2561">
          <cell r="J2561" t="str">
            <v>S/L</v>
          </cell>
          <cell r="R2561" t="str">
            <v xml:space="preserve"> </v>
          </cell>
        </row>
        <row r="2562">
          <cell r="J2562" t="str">
            <v>S/L</v>
          </cell>
          <cell r="R2562" t="str">
            <v xml:space="preserve"> </v>
          </cell>
        </row>
        <row r="2563">
          <cell r="J2563" t="str">
            <v>S/L</v>
          </cell>
          <cell r="R2563" t="str">
            <v xml:space="preserve"> </v>
          </cell>
        </row>
        <row r="2564">
          <cell r="J2564" t="str">
            <v>S/L</v>
          </cell>
          <cell r="R2564" t="str">
            <v xml:space="preserve"> </v>
          </cell>
        </row>
        <row r="2565">
          <cell r="J2565" t="str">
            <v>S/L</v>
          </cell>
          <cell r="R2565" t="str">
            <v xml:space="preserve"> </v>
          </cell>
        </row>
        <row r="2566">
          <cell r="J2566" t="str">
            <v>S/L</v>
          </cell>
          <cell r="R2566" t="str">
            <v xml:space="preserve"> </v>
          </cell>
        </row>
        <row r="2567">
          <cell r="J2567" t="str">
            <v>S/L</v>
          </cell>
          <cell r="R2567" t="str">
            <v xml:space="preserve"> </v>
          </cell>
        </row>
        <row r="2568">
          <cell r="J2568" t="str">
            <v>S/L</v>
          </cell>
          <cell r="R2568" t="str">
            <v xml:space="preserve"> </v>
          </cell>
        </row>
        <row r="2569">
          <cell r="J2569" t="str">
            <v>S/L</v>
          </cell>
          <cell r="R2569" t="str">
            <v xml:space="preserve"> </v>
          </cell>
        </row>
        <row r="2570">
          <cell r="J2570" t="str">
            <v>S/L</v>
          </cell>
          <cell r="R2570" t="str">
            <v xml:space="preserve"> </v>
          </cell>
        </row>
        <row r="2571">
          <cell r="J2571" t="str">
            <v>S/L</v>
          </cell>
          <cell r="R2571" t="str">
            <v xml:space="preserve"> </v>
          </cell>
        </row>
        <row r="2572">
          <cell r="J2572" t="str">
            <v>S/L</v>
          </cell>
          <cell r="R2572" t="str">
            <v xml:space="preserve"> </v>
          </cell>
        </row>
        <row r="2573">
          <cell r="J2573" t="str">
            <v>S/L</v>
          </cell>
          <cell r="R2573" t="str">
            <v xml:space="preserve"> </v>
          </cell>
        </row>
        <row r="2574">
          <cell r="J2574" t="str">
            <v>S/L</v>
          </cell>
          <cell r="R2574" t="str">
            <v xml:space="preserve"> </v>
          </cell>
        </row>
        <row r="2575">
          <cell r="J2575" t="str">
            <v>S/L</v>
          </cell>
          <cell r="R2575" t="str">
            <v xml:space="preserve"> </v>
          </cell>
        </row>
        <row r="2576">
          <cell r="J2576" t="str">
            <v>S/L</v>
          </cell>
          <cell r="R2576" t="str">
            <v xml:space="preserve"> </v>
          </cell>
        </row>
        <row r="2577">
          <cell r="J2577" t="str">
            <v>S/L</v>
          </cell>
          <cell r="R2577" t="str">
            <v xml:space="preserve"> </v>
          </cell>
        </row>
        <row r="2578">
          <cell r="J2578" t="str">
            <v>S/L</v>
          </cell>
          <cell r="R2578" t="str">
            <v xml:space="preserve"> </v>
          </cell>
        </row>
        <row r="2579">
          <cell r="J2579" t="str">
            <v>S/L</v>
          </cell>
          <cell r="R2579" t="str">
            <v xml:space="preserve"> </v>
          </cell>
        </row>
        <row r="2580">
          <cell r="J2580" t="str">
            <v>S/L</v>
          </cell>
          <cell r="R2580" t="str">
            <v xml:space="preserve"> </v>
          </cell>
        </row>
        <row r="2581">
          <cell r="J2581" t="str">
            <v>S/L</v>
          </cell>
          <cell r="R2581" t="str">
            <v xml:space="preserve"> </v>
          </cell>
        </row>
        <row r="2582">
          <cell r="J2582" t="str">
            <v>S/L</v>
          </cell>
          <cell r="R2582" t="str">
            <v xml:space="preserve"> </v>
          </cell>
        </row>
        <row r="2583">
          <cell r="J2583" t="str">
            <v>S/L</v>
          </cell>
          <cell r="R2583" t="str">
            <v xml:space="preserve"> </v>
          </cell>
        </row>
        <row r="2584">
          <cell r="J2584" t="str">
            <v>S/L</v>
          </cell>
          <cell r="R2584" t="str">
            <v xml:space="preserve"> </v>
          </cell>
        </row>
        <row r="2585">
          <cell r="J2585" t="str">
            <v>S/L</v>
          </cell>
          <cell r="R2585" t="str">
            <v xml:space="preserve"> </v>
          </cell>
        </row>
        <row r="2586">
          <cell r="J2586" t="str">
            <v>S/L</v>
          </cell>
          <cell r="R2586" t="str">
            <v xml:space="preserve"> </v>
          </cell>
        </row>
        <row r="2587">
          <cell r="J2587" t="str">
            <v>S/L</v>
          </cell>
          <cell r="R2587" t="str">
            <v xml:space="preserve"> </v>
          </cell>
        </row>
        <row r="2588">
          <cell r="J2588" t="str">
            <v>S/L</v>
          </cell>
          <cell r="R2588" t="str">
            <v xml:space="preserve"> </v>
          </cell>
        </row>
        <row r="2589">
          <cell r="J2589" t="str">
            <v>S/L</v>
          </cell>
          <cell r="R2589" t="str">
            <v xml:space="preserve"> </v>
          </cell>
        </row>
        <row r="2590">
          <cell r="J2590" t="str">
            <v>S/L</v>
          </cell>
          <cell r="R2590" t="str">
            <v xml:space="preserve"> </v>
          </cell>
        </row>
        <row r="2591">
          <cell r="J2591" t="str">
            <v>S/L</v>
          </cell>
          <cell r="R2591" t="str">
            <v xml:space="preserve"> </v>
          </cell>
        </row>
        <row r="2592">
          <cell r="J2592" t="str">
            <v>S/L</v>
          </cell>
          <cell r="R2592" t="str">
            <v xml:space="preserve"> </v>
          </cell>
        </row>
        <row r="2593">
          <cell r="J2593" t="str">
            <v>S/L</v>
          </cell>
          <cell r="R2593" t="str">
            <v xml:space="preserve"> </v>
          </cell>
        </row>
        <row r="2594">
          <cell r="J2594" t="str">
            <v>S/L</v>
          </cell>
          <cell r="R2594" t="str">
            <v xml:space="preserve"> </v>
          </cell>
        </row>
        <row r="2595">
          <cell r="J2595" t="str">
            <v>S/L</v>
          </cell>
          <cell r="R2595" t="str">
            <v xml:space="preserve"> </v>
          </cell>
        </row>
        <row r="2596">
          <cell r="J2596" t="str">
            <v>S/L</v>
          </cell>
          <cell r="R2596" t="str">
            <v xml:space="preserve"> </v>
          </cell>
        </row>
        <row r="2597">
          <cell r="J2597" t="str">
            <v>S/L</v>
          </cell>
          <cell r="R2597" t="str">
            <v xml:space="preserve"> </v>
          </cell>
        </row>
        <row r="2598">
          <cell r="J2598" t="str">
            <v>S/L</v>
          </cell>
          <cell r="R2598" t="str">
            <v xml:space="preserve"> </v>
          </cell>
        </row>
        <row r="2599">
          <cell r="J2599" t="str">
            <v>S/L</v>
          </cell>
          <cell r="R2599" t="str">
            <v xml:space="preserve"> </v>
          </cell>
        </row>
        <row r="2600">
          <cell r="J2600" t="str">
            <v>S/L</v>
          </cell>
          <cell r="R2600" t="str">
            <v xml:space="preserve"> </v>
          </cell>
        </row>
        <row r="2601">
          <cell r="J2601" t="str">
            <v>S/L</v>
          </cell>
          <cell r="R2601" t="str">
            <v xml:space="preserve"> </v>
          </cell>
        </row>
        <row r="2602">
          <cell r="J2602" t="str">
            <v>S/L</v>
          </cell>
          <cell r="R2602" t="str">
            <v xml:space="preserve"> </v>
          </cell>
        </row>
        <row r="2603">
          <cell r="J2603" t="str">
            <v>S/L</v>
          </cell>
          <cell r="R2603" t="str">
            <v xml:space="preserve"> </v>
          </cell>
        </row>
        <row r="2604">
          <cell r="J2604" t="str">
            <v>S/L</v>
          </cell>
          <cell r="R2604" t="str">
            <v xml:space="preserve"> </v>
          </cell>
        </row>
        <row r="2605">
          <cell r="J2605" t="str">
            <v>S/L</v>
          </cell>
          <cell r="R2605" t="str">
            <v xml:space="preserve"> </v>
          </cell>
        </row>
        <row r="2606">
          <cell r="J2606" t="str">
            <v>S/L</v>
          </cell>
          <cell r="R2606" t="str">
            <v xml:space="preserve"> </v>
          </cell>
        </row>
        <row r="2607">
          <cell r="J2607" t="str">
            <v>S/L</v>
          </cell>
          <cell r="R2607" t="str">
            <v xml:space="preserve"> </v>
          </cell>
        </row>
        <row r="2608">
          <cell r="J2608" t="str">
            <v>S/L</v>
          </cell>
          <cell r="R2608" t="str">
            <v xml:space="preserve"> </v>
          </cell>
        </row>
        <row r="2609">
          <cell r="J2609" t="str">
            <v>S/L</v>
          </cell>
          <cell r="R2609" t="str">
            <v xml:space="preserve"> </v>
          </cell>
        </row>
        <row r="2610">
          <cell r="J2610" t="str">
            <v>S/L</v>
          </cell>
          <cell r="R2610" t="str">
            <v xml:space="preserve"> </v>
          </cell>
        </row>
        <row r="2611">
          <cell r="J2611" t="str">
            <v>S/L</v>
          </cell>
          <cell r="R2611" t="str">
            <v xml:space="preserve"> </v>
          </cell>
        </row>
        <row r="2612">
          <cell r="J2612" t="str">
            <v>S/L</v>
          </cell>
          <cell r="R2612" t="str">
            <v xml:space="preserve"> </v>
          </cell>
        </row>
        <row r="2613">
          <cell r="J2613" t="str">
            <v>S/L</v>
          </cell>
          <cell r="R2613" t="str">
            <v xml:space="preserve"> </v>
          </cell>
        </row>
        <row r="2614">
          <cell r="J2614" t="str">
            <v>S/L</v>
          </cell>
          <cell r="R2614" t="str">
            <v xml:space="preserve"> </v>
          </cell>
        </row>
        <row r="2615">
          <cell r="J2615" t="str">
            <v>S/L</v>
          </cell>
          <cell r="R2615" t="str">
            <v xml:space="preserve"> </v>
          </cell>
        </row>
        <row r="2616">
          <cell r="J2616" t="str">
            <v>S/L</v>
          </cell>
          <cell r="R2616" t="str">
            <v xml:space="preserve"> </v>
          </cell>
        </row>
        <row r="2617">
          <cell r="J2617" t="str">
            <v>S/L</v>
          </cell>
          <cell r="R2617" t="str">
            <v xml:space="preserve"> </v>
          </cell>
        </row>
        <row r="2618">
          <cell r="J2618" t="str">
            <v>S/L</v>
          </cell>
          <cell r="R2618" t="str">
            <v xml:space="preserve"> </v>
          </cell>
        </row>
        <row r="2619">
          <cell r="J2619" t="str">
            <v>S/L</v>
          </cell>
          <cell r="R2619" t="str">
            <v xml:space="preserve"> </v>
          </cell>
        </row>
        <row r="2620">
          <cell r="J2620" t="str">
            <v>S/L</v>
          </cell>
          <cell r="R2620" t="str">
            <v xml:space="preserve"> </v>
          </cell>
        </row>
        <row r="2621">
          <cell r="J2621" t="str">
            <v>S/L</v>
          </cell>
          <cell r="R2621" t="str">
            <v xml:space="preserve"> </v>
          </cell>
        </row>
        <row r="2622">
          <cell r="J2622" t="str">
            <v>S/L</v>
          </cell>
          <cell r="R2622" t="str">
            <v xml:space="preserve"> </v>
          </cell>
        </row>
        <row r="2623">
          <cell r="J2623" t="str">
            <v>S/L</v>
          </cell>
          <cell r="R2623" t="str">
            <v xml:space="preserve"> </v>
          </cell>
        </row>
        <row r="2624">
          <cell r="J2624" t="str">
            <v>S/L</v>
          </cell>
          <cell r="R2624" t="str">
            <v xml:space="preserve"> </v>
          </cell>
        </row>
        <row r="2625">
          <cell r="J2625" t="str">
            <v>S/L</v>
          </cell>
          <cell r="R2625" t="str">
            <v xml:space="preserve"> </v>
          </cell>
        </row>
        <row r="2626">
          <cell r="J2626" t="str">
            <v>S/L</v>
          </cell>
          <cell r="R2626" t="str">
            <v xml:space="preserve"> </v>
          </cell>
        </row>
        <row r="2627">
          <cell r="J2627" t="str">
            <v>S/L</v>
          </cell>
          <cell r="R2627" t="str">
            <v xml:space="preserve"> </v>
          </cell>
        </row>
        <row r="2628">
          <cell r="J2628" t="str">
            <v>S/L</v>
          </cell>
          <cell r="R2628" t="str">
            <v xml:space="preserve"> </v>
          </cell>
        </row>
        <row r="2629">
          <cell r="J2629" t="str">
            <v>S/L</v>
          </cell>
          <cell r="R2629" t="str">
            <v xml:space="preserve"> </v>
          </cell>
        </row>
        <row r="2630">
          <cell r="J2630" t="str">
            <v>S/L</v>
          </cell>
          <cell r="R2630" t="str">
            <v xml:space="preserve"> </v>
          </cell>
        </row>
        <row r="2631">
          <cell r="J2631" t="str">
            <v>S/L</v>
          </cell>
          <cell r="R2631" t="str">
            <v xml:space="preserve"> </v>
          </cell>
        </row>
        <row r="2632">
          <cell r="J2632" t="str">
            <v>S/L</v>
          </cell>
          <cell r="R2632" t="str">
            <v xml:space="preserve"> </v>
          </cell>
        </row>
        <row r="2633">
          <cell r="J2633" t="str">
            <v>S/L</v>
          </cell>
          <cell r="R2633" t="str">
            <v xml:space="preserve"> </v>
          </cell>
        </row>
        <row r="2634">
          <cell r="J2634" t="str">
            <v>S/L</v>
          </cell>
          <cell r="R2634" t="str">
            <v xml:space="preserve"> </v>
          </cell>
        </row>
        <row r="2635">
          <cell r="J2635" t="str">
            <v>S/L</v>
          </cell>
          <cell r="R2635" t="str">
            <v xml:space="preserve"> </v>
          </cell>
        </row>
        <row r="2636">
          <cell r="J2636" t="str">
            <v>S/L</v>
          </cell>
          <cell r="R2636" t="str">
            <v xml:space="preserve"> </v>
          </cell>
        </row>
        <row r="2637">
          <cell r="J2637" t="str">
            <v>S/L</v>
          </cell>
          <cell r="R2637" t="str">
            <v xml:space="preserve"> </v>
          </cell>
        </row>
        <row r="2638">
          <cell r="J2638" t="str">
            <v>S/L</v>
          </cell>
          <cell r="R2638" t="str">
            <v xml:space="preserve"> </v>
          </cell>
        </row>
        <row r="2639">
          <cell r="J2639" t="str">
            <v>S/L</v>
          </cell>
          <cell r="R2639" t="str">
            <v xml:space="preserve"> </v>
          </cell>
        </row>
        <row r="2640">
          <cell r="J2640" t="str">
            <v>S/L</v>
          </cell>
          <cell r="R2640" t="str">
            <v xml:space="preserve"> </v>
          </cell>
        </row>
        <row r="2641">
          <cell r="J2641" t="str">
            <v>S/L</v>
          </cell>
          <cell r="R2641" t="str">
            <v xml:space="preserve"> </v>
          </cell>
        </row>
        <row r="2642">
          <cell r="J2642" t="str">
            <v>S/L</v>
          </cell>
          <cell r="R2642" t="str">
            <v xml:space="preserve"> </v>
          </cell>
        </row>
        <row r="2643">
          <cell r="J2643" t="str">
            <v>S/L</v>
          </cell>
          <cell r="R2643" t="str">
            <v xml:space="preserve"> </v>
          </cell>
        </row>
        <row r="2644">
          <cell r="J2644" t="str">
            <v>S/L</v>
          </cell>
          <cell r="R2644" t="str">
            <v xml:space="preserve"> </v>
          </cell>
        </row>
        <row r="2645">
          <cell r="J2645" t="str">
            <v>S/L</v>
          </cell>
          <cell r="R2645" t="str">
            <v xml:space="preserve"> </v>
          </cell>
        </row>
        <row r="2646">
          <cell r="J2646" t="str">
            <v>S/L</v>
          </cell>
          <cell r="R2646" t="str">
            <v xml:space="preserve"> </v>
          </cell>
        </row>
        <row r="2647">
          <cell r="J2647" t="str">
            <v>S/L</v>
          </cell>
          <cell r="R2647" t="str">
            <v xml:space="preserve"> </v>
          </cell>
        </row>
        <row r="2648">
          <cell r="J2648" t="str">
            <v>S/L</v>
          </cell>
          <cell r="R2648" t="str">
            <v xml:space="preserve"> </v>
          </cell>
        </row>
        <row r="2649">
          <cell r="J2649" t="str">
            <v>S/L</v>
          </cell>
          <cell r="R2649" t="str">
            <v xml:space="preserve"> </v>
          </cell>
        </row>
        <row r="2650">
          <cell r="J2650" t="str">
            <v>S/L</v>
          </cell>
          <cell r="R2650" t="str">
            <v xml:space="preserve"> </v>
          </cell>
        </row>
        <row r="2651">
          <cell r="J2651" t="str">
            <v>S/L</v>
          </cell>
          <cell r="R2651" t="str">
            <v xml:space="preserve"> </v>
          </cell>
        </row>
        <row r="2652">
          <cell r="J2652" t="str">
            <v>S/L</v>
          </cell>
          <cell r="R2652" t="str">
            <v xml:space="preserve"> </v>
          </cell>
        </row>
        <row r="2653">
          <cell r="J2653" t="str">
            <v>S/L</v>
          </cell>
          <cell r="R2653" t="str">
            <v xml:space="preserve"> </v>
          </cell>
        </row>
        <row r="2654">
          <cell r="J2654" t="str">
            <v>S/L</v>
          </cell>
          <cell r="R2654" t="str">
            <v xml:space="preserve"> </v>
          </cell>
        </row>
        <row r="2655">
          <cell r="J2655" t="str">
            <v>S/L</v>
          </cell>
          <cell r="R2655" t="str">
            <v xml:space="preserve"> </v>
          </cell>
        </row>
        <row r="2656">
          <cell r="J2656" t="str">
            <v>S/L</v>
          </cell>
          <cell r="R2656" t="str">
            <v xml:space="preserve"> </v>
          </cell>
        </row>
        <row r="2657">
          <cell r="J2657" t="str">
            <v>S/L</v>
          </cell>
          <cell r="R2657" t="str">
            <v xml:space="preserve"> </v>
          </cell>
        </row>
        <row r="2658">
          <cell r="J2658" t="str">
            <v>S/L</v>
          </cell>
          <cell r="R2658" t="str">
            <v xml:space="preserve"> </v>
          </cell>
        </row>
        <row r="2659">
          <cell r="J2659" t="str">
            <v>S/L</v>
          </cell>
          <cell r="R2659" t="str">
            <v xml:space="preserve"> </v>
          </cell>
        </row>
        <row r="2660">
          <cell r="J2660" t="str">
            <v>S/L</v>
          </cell>
          <cell r="R2660" t="str">
            <v xml:space="preserve"> </v>
          </cell>
        </row>
        <row r="2661">
          <cell r="J2661" t="str">
            <v>S/L</v>
          </cell>
          <cell r="R2661" t="str">
            <v xml:space="preserve"> </v>
          </cell>
        </row>
        <row r="2662">
          <cell r="J2662" t="str">
            <v>S/L</v>
          </cell>
          <cell r="R2662" t="str">
            <v xml:space="preserve"> </v>
          </cell>
        </row>
        <row r="2663">
          <cell r="J2663" t="str">
            <v>S/L</v>
          </cell>
          <cell r="R2663" t="str">
            <v xml:space="preserve"> </v>
          </cell>
        </row>
        <row r="2664">
          <cell r="J2664" t="str">
            <v>S/L</v>
          </cell>
          <cell r="R2664" t="str">
            <v xml:space="preserve"> </v>
          </cell>
        </row>
        <row r="2665">
          <cell r="J2665" t="str">
            <v>S/L</v>
          </cell>
          <cell r="R2665" t="str">
            <v xml:space="preserve"> </v>
          </cell>
        </row>
        <row r="2666">
          <cell r="J2666" t="str">
            <v>S/L</v>
          </cell>
          <cell r="R2666" t="str">
            <v xml:space="preserve"> </v>
          </cell>
        </row>
        <row r="2667">
          <cell r="J2667" t="str">
            <v>S/L</v>
          </cell>
          <cell r="R2667" t="str">
            <v xml:space="preserve"> </v>
          </cell>
        </row>
        <row r="2668">
          <cell r="J2668" t="str">
            <v>S/L</v>
          </cell>
          <cell r="R2668" t="str">
            <v xml:space="preserve"> </v>
          </cell>
        </row>
        <row r="2669">
          <cell r="J2669" t="str">
            <v>S/L</v>
          </cell>
          <cell r="R2669" t="str">
            <v xml:space="preserve"> </v>
          </cell>
        </row>
        <row r="2670">
          <cell r="J2670" t="str">
            <v>S/L</v>
          </cell>
          <cell r="R2670" t="str">
            <v xml:space="preserve"> </v>
          </cell>
        </row>
        <row r="2671">
          <cell r="J2671" t="str">
            <v>S/L</v>
          </cell>
          <cell r="R2671" t="str">
            <v xml:space="preserve"> </v>
          </cell>
        </row>
        <row r="2672">
          <cell r="J2672" t="str">
            <v>S/L</v>
          </cell>
          <cell r="R2672" t="str">
            <v xml:space="preserve"> </v>
          </cell>
        </row>
        <row r="2673">
          <cell r="J2673" t="str">
            <v>S/L</v>
          </cell>
          <cell r="R2673" t="str">
            <v xml:space="preserve"> </v>
          </cell>
        </row>
        <row r="2674">
          <cell r="J2674" t="str">
            <v>S/L</v>
          </cell>
          <cell r="R2674" t="str">
            <v xml:space="preserve"> </v>
          </cell>
        </row>
        <row r="2675">
          <cell r="J2675" t="str">
            <v>S/L</v>
          </cell>
          <cell r="R2675" t="str">
            <v xml:space="preserve"> </v>
          </cell>
        </row>
        <row r="2676">
          <cell r="J2676" t="str">
            <v>S/L</v>
          </cell>
          <cell r="R2676" t="str">
            <v xml:space="preserve"> </v>
          </cell>
        </row>
        <row r="2677">
          <cell r="J2677" t="str">
            <v>S/L</v>
          </cell>
          <cell r="R2677" t="str">
            <v xml:space="preserve"> </v>
          </cell>
        </row>
        <row r="2678">
          <cell r="J2678" t="str">
            <v>S/L</v>
          </cell>
          <cell r="R2678" t="str">
            <v xml:space="preserve"> </v>
          </cell>
        </row>
        <row r="2679">
          <cell r="J2679" t="str">
            <v>S/L</v>
          </cell>
          <cell r="R2679" t="str">
            <v xml:space="preserve"> </v>
          </cell>
        </row>
        <row r="2680">
          <cell r="J2680" t="str">
            <v>S/L</v>
          </cell>
          <cell r="R2680" t="str">
            <v xml:space="preserve"> </v>
          </cell>
        </row>
        <row r="2681">
          <cell r="J2681" t="str">
            <v>S/L</v>
          </cell>
          <cell r="R2681" t="str">
            <v xml:space="preserve"> </v>
          </cell>
        </row>
        <row r="2682">
          <cell r="J2682" t="str">
            <v>S/L</v>
          </cell>
          <cell r="R2682" t="str">
            <v xml:space="preserve"> </v>
          </cell>
        </row>
        <row r="2683">
          <cell r="J2683" t="str">
            <v>S/L</v>
          </cell>
          <cell r="R2683" t="str">
            <v xml:space="preserve"> </v>
          </cell>
        </row>
        <row r="2684">
          <cell r="J2684" t="str">
            <v>S/L</v>
          </cell>
          <cell r="R2684" t="str">
            <v xml:space="preserve"> </v>
          </cell>
        </row>
        <row r="2685">
          <cell r="J2685" t="str">
            <v>S/L</v>
          </cell>
          <cell r="R2685" t="str">
            <v xml:space="preserve"> </v>
          </cell>
        </row>
        <row r="2686">
          <cell r="J2686" t="str">
            <v>S/L</v>
          </cell>
          <cell r="R2686" t="str">
            <v xml:space="preserve"> </v>
          </cell>
        </row>
        <row r="2687">
          <cell r="J2687" t="str">
            <v>S/L</v>
          </cell>
          <cell r="R2687" t="str">
            <v xml:space="preserve"> </v>
          </cell>
        </row>
        <row r="2688">
          <cell r="J2688" t="str">
            <v>S/L</v>
          </cell>
          <cell r="R2688" t="str">
            <v xml:space="preserve"> </v>
          </cell>
        </row>
        <row r="2689">
          <cell r="J2689" t="str">
            <v>S/L</v>
          </cell>
          <cell r="R2689" t="str">
            <v xml:space="preserve"> </v>
          </cell>
        </row>
        <row r="2690">
          <cell r="J2690" t="str">
            <v>S/L</v>
          </cell>
          <cell r="R2690" t="str">
            <v xml:space="preserve"> </v>
          </cell>
        </row>
        <row r="2691">
          <cell r="J2691" t="str">
            <v>S/L</v>
          </cell>
          <cell r="R2691" t="str">
            <v xml:space="preserve"> </v>
          </cell>
        </row>
        <row r="2692">
          <cell r="J2692" t="str">
            <v>S/L</v>
          </cell>
          <cell r="R2692" t="str">
            <v xml:space="preserve"> </v>
          </cell>
        </row>
        <row r="2693">
          <cell r="J2693" t="str">
            <v>S/L</v>
          </cell>
          <cell r="R2693" t="str">
            <v xml:space="preserve"> </v>
          </cell>
        </row>
        <row r="2694">
          <cell r="J2694" t="str">
            <v>S/L</v>
          </cell>
          <cell r="R2694" t="str">
            <v xml:space="preserve"> </v>
          </cell>
        </row>
        <row r="2695">
          <cell r="J2695" t="str">
            <v>S/L</v>
          </cell>
          <cell r="R2695" t="str">
            <v xml:space="preserve"> </v>
          </cell>
        </row>
        <row r="2696">
          <cell r="J2696" t="str">
            <v>S/L</v>
          </cell>
          <cell r="R2696" t="str">
            <v xml:space="preserve"> </v>
          </cell>
        </row>
        <row r="2697">
          <cell r="J2697" t="str">
            <v>S/L</v>
          </cell>
          <cell r="R2697" t="str">
            <v xml:space="preserve"> </v>
          </cell>
        </row>
        <row r="2698">
          <cell r="J2698" t="str">
            <v>S/L</v>
          </cell>
          <cell r="R2698" t="str">
            <v xml:space="preserve"> </v>
          </cell>
        </row>
        <row r="2699">
          <cell r="J2699" t="str">
            <v>S/L</v>
          </cell>
          <cell r="R2699" t="str">
            <v xml:space="preserve"> </v>
          </cell>
        </row>
        <row r="2700">
          <cell r="J2700" t="str">
            <v>S/L</v>
          </cell>
          <cell r="R2700" t="str">
            <v xml:space="preserve"> </v>
          </cell>
        </row>
        <row r="2701">
          <cell r="J2701" t="str">
            <v>S/L</v>
          </cell>
          <cell r="R2701" t="str">
            <v xml:space="preserve"> </v>
          </cell>
        </row>
        <row r="2702">
          <cell r="J2702" t="str">
            <v>S/L</v>
          </cell>
          <cell r="R2702" t="str">
            <v xml:space="preserve"> </v>
          </cell>
        </row>
        <row r="2703">
          <cell r="J2703" t="str">
            <v>S/L</v>
          </cell>
          <cell r="R2703" t="str">
            <v xml:space="preserve"> </v>
          </cell>
        </row>
        <row r="2704">
          <cell r="J2704" t="str">
            <v>S/L</v>
          </cell>
          <cell r="R2704" t="str">
            <v xml:space="preserve"> </v>
          </cell>
        </row>
        <row r="2705">
          <cell r="J2705" t="str">
            <v>S/L</v>
          </cell>
          <cell r="R2705" t="str">
            <v xml:space="preserve"> </v>
          </cell>
        </row>
        <row r="2706">
          <cell r="J2706" t="str">
            <v>S/L</v>
          </cell>
          <cell r="R2706" t="str">
            <v xml:space="preserve"> </v>
          </cell>
        </row>
        <row r="2707">
          <cell r="J2707" t="str">
            <v>S/L</v>
          </cell>
          <cell r="R2707" t="str">
            <v xml:space="preserve"> </v>
          </cell>
        </row>
        <row r="2708">
          <cell r="J2708" t="str">
            <v>S/L</v>
          </cell>
          <cell r="R2708" t="str">
            <v xml:space="preserve"> </v>
          </cell>
        </row>
        <row r="2709">
          <cell r="J2709" t="str">
            <v>S/L</v>
          </cell>
          <cell r="R2709" t="str">
            <v xml:space="preserve"> </v>
          </cell>
        </row>
        <row r="2710">
          <cell r="J2710" t="str">
            <v>S/L</v>
          </cell>
          <cell r="R2710" t="str">
            <v xml:space="preserve"> </v>
          </cell>
        </row>
        <row r="2711">
          <cell r="J2711" t="str">
            <v>S/L</v>
          </cell>
          <cell r="R2711" t="str">
            <v xml:space="preserve"> </v>
          </cell>
        </row>
        <row r="2712">
          <cell r="J2712" t="str">
            <v>S/L</v>
          </cell>
          <cell r="R2712" t="str">
            <v xml:space="preserve"> </v>
          </cell>
        </row>
        <row r="2713">
          <cell r="J2713" t="str">
            <v>S/L</v>
          </cell>
          <cell r="R2713" t="str">
            <v xml:space="preserve"> </v>
          </cell>
        </row>
        <row r="2714">
          <cell r="J2714" t="str">
            <v>S/L</v>
          </cell>
          <cell r="R2714" t="str">
            <v xml:space="preserve"> </v>
          </cell>
        </row>
        <row r="2715">
          <cell r="J2715" t="str">
            <v>S/L</v>
          </cell>
          <cell r="R2715" t="str">
            <v xml:space="preserve"> </v>
          </cell>
        </row>
        <row r="2716">
          <cell r="J2716" t="str">
            <v>S/L</v>
          </cell>
          <cell r="R2716" t="str">
            <v xml:space="preserve"> </v>
          </cell>
        </row>
        <row r="2717">
          <cell r="J2717" t="str">
            <v>S/L</v>
          </cell>
          <cell r="R2717" t="str">
            <v xml:space="preserve"> </v>
          </cell>
        </row>
        <row r="2718">
          <cell r="J2718" t="str">
            <v>S/L</v>
          </cell>
          <cell r="R2718" t="str">
            <v xml:space="preserve"> </v>
          </cell>
        </row>
        <row r="2719">
          <cell r="J2719" t="str">
            <v>S/L</v>
          </cell>
          <cell r="R2719" t="str">
            <v xml:space="preserve"> </v>
          </cell>
        </row>
        <row r="2720">
          <cell r="J2720" t="str">
            <v>S/L</v>
          </cell>
          <cell r="R2720" t="str">
            <v xml:space="preserve"> </v>
          </cell>
        </row>
        <row r="2721">
          <cell r="J2721" t="str">
            <v>S/L</v>
          </cell>
          <cell r="R2721" t="str">
            <v xml:space="preserve"> </v>
          </cell>
        </row>
        <row r="2722">
          <cell r="J2722" t="str">
            <v>S/L</v>
          </cell>
          <cell r="R2722" t="str">
            <v xml:space="preserve"> </v>
          </cell>
        </row>
        <row r="2723">
          <cell r="J2723" t="str">
            <v>S/L</v>
          </cell>
          <cell r="R2723" t="str">
            <v xml:space="preserve"> </v>
          </cell>
        </row>
        <row r="2724">
          <cell r="J2724" t="str">
            <v>S/L</v>
          </cell>
          <cell r="R2724" t="str">
            <v xml:space="preserve"> </v>
          </cell>
        </row>
        <row r="2725">
          <cell r="J2725" t="str">
            <v>S/L</v>
          </cell>
          <cell r="R2725" t="str">
            <v xml:space="preserve"> </v>
          </cell>
        </row>
        <row r="2726">
          <cell r="J2726" t="str">
            <v>S/L</v>
          </cell>
          <cell r="R2726" t="str">
            <v xml:space="preserve"> </v>
          </cell>
        </row>
        <row r="2727">
          <cell r="J2727" t="str">
            <v>S/L</v>
          </cell>
          <cell r="R2727" t="str">
            <v xml:space="preserve"> </v>
          </cell>
        </row>
        <row r="2728">
          <cell r="J2728" t="str">
            <v>S/L</v>
          </cell>
          <cell r="R2728" t="str">
            <v xml:space="preserve"> </v>
          </cell>
        </row>
        <row r="2729">
          <cell r="J2729" t="str">
            <v>S/L</v>
          </cell>
          <cell r="R2729" t="str">
            <v xml:space="preserve"> </v>
          </cell>
        </row>
        <row r="2730">
          <cell r="J2730" t="str">
            <v>S/L</v>
          </cell>
          <cell r="R2730" t="str">
            <v xml:space="preserve"> </v>
          </cell>
        </row>
        <row r="2731">
          <cell r="J2731" t="str">
            <v>S/L</v>
          </cell>
          <cell r="R2731" t="str">
            <v xml:space="preserve"> </v>
          </cell>
        </row>
        <row r="2732">
          <cell r="J2732" t="str">
            <v>S/L</v>
          </cell>
          <cell r="R2732" t="str">
            <v xml:space="preserve"> </v>
          </cell>
        </row>
        <row r="2733">
          <cell r="J2733" t="str">
            <v>S/L</v>
          </cell>
          <cell r="R2733" t="str">
            <v xml:space="preserve"> </v>
          </cell>
        </row>
        <row r="2734">
          <cell r="J2734" t="str">
            <v>S/L</v>
          </cell>
          <cell r="R2734" t="str">
            <v xml:space="preserve"> </v>
          </cell>
        </row>
        <row r="2735">
          <cell r="J2735" t="str">
            <v>S/L</v>
          </cell>
          <cell r="R2735" t="str">
            <v xml:space="preserve"> </v>
          </cell>
        </row>
        <row r="2736">
          <cell r="J2736" t="str">
            <v>S/L</v>
          </cell>
          <cell r="R2736" t="str">
            <v xml:space="preserve"> </v>
          </cell>
        </row>
        <row r="2737">
          <cell r="J2737" t="str">
            <v>S/L</v>
          </cell>
          <cell r="R2737" t="str">
            <v xml:space="preserve"> </v>
          </cell>
        </row>
        <row r="2738">
          <cell r="J2738" t="str">
            <v>S/L</v>
          </cell>
          <cell r="R2738" t="str">
            <v xml:space="preserve"> </v>
          </cell>
        </row>
        <row r="2739">
          <cell r="J2739" t="str">
            <v>S/L</v>
          </cell>
          <cell r="R2739" t="str">
            <v xml:space="preserve"> </v>
          </cell>
        </row>
        <row r="2740">
          <cell r="J2740" t="str">
            <v>S/L</v>
          </cell>
          <cell r="R2740" t="str">
            <v xml:space="preserve"> </v>
          </cell>
        </row>
        <row r="2741">
          <cell r="J2741" t="str">
            <v>S/L</v>
          </cell>
          <cell r="R2741" t="str">
            <v xml:space="preserve"> </v>
          </cell>
        </row>
        <row r="2742">
          <cell r="J2742" t="str">
            <v>S/L</v>
          </cell>
          <cell r="R2742" t="str">
            <v xml:space="preserve"> </v>
          </cell>
        </row>
        <row r="2743">
          <cell r="J2743" t="str">
            <v>S/L</v>
          </cell>
          <cell r="R2743" t="str">
            <v xml:space="preserve"> </v>
          </cell>
        </row>
        <row r="2744">
          <cell r="J2744" t="str">
            <v>S/L</v>
          </cell>
          <cell r="R2744" t="str">
            <v xml:space="preserve"> </v>
          </cell>
        </row>
        <row r="2745">
          <cell r="J2745" t="str">
            <v>S/L</v>
          </cell>
          <cell r="R2745" t="str">
            <v xml:space="preserve"> </v>
          </cell>
        </row>
        <row r="2746">
          <cell r="J2746" t="str">
            <v>S/L</v>
          </cell>
          <cell r="R2746" t="str">
            <v xml:space="preserve"> </v>
          </cell>
        </row>
        <row r="2747">
          <cell r="J2747" t="str">
            <v>S/L</v>
          </cell>
          <cell r="R2747" t="str">
            <v xml:space="preserve"> </v>
          </cell>
        </row>
        <row r="2748">
          <cell r="J2748" t="str">
            <v>S/L</v>
          </cell>
          <cell r="R2748" t="str">
            <v xml:space="preserve"> </v>
          </cell>
        </row>
        <row r="2749">
          <cell r="J2749" t="str">
            <v>S/L</v>
          </cell>
          <cell r="R2749" t="str">
            <v xml:space="preserve"> </v>
          </cell>
        </row>
        <row r="2750">
          <cell r="J2750" t="str">
            <v>S/L</v>
          </cell>
          <cell r="R2750" t="str">
            <v xml:space="preserve"> </v>
          </cell>
        </row>
        <row r="2751">
          <cell r="J2751" t="str">
            <v>S/L</v>
          </cell>
          <cell r="R2751" t="str">
            <v xml:space="preserve"> </v>
          </cell>
        </row>
        <row r="2752">
          <cell r="J2752" t="str">
            <v>S/L</v>
          </cell>
          <cell r="R2752" t="str">
            <v xml:space="preserve"> </v>
          </cell>
        </row>
        <row r="2753">
          <cell r="J2753" t="str">
            <v>S/L</v>
          </cell>
          <cell r="R2753" t="str">
            <v xml:space="preserve"> </v>
          </cell>
        </row>
        <row r="2754">
          <cell r="J2754" t="str">
            <v>S/L</v>
          </cell>
          <cell r="R2754" t="str">
            <v xml:space="preserve"> </v>
          </cell>
        </row>
        <row r="2755">
          <cell r="J2755" t="str">
            <v>S/L</v>
          </cell>
          <cell r="R2755" t="str">
            <v xml:space="preserve"> </v>
          </cell>
        </row>
        <row r="2756">
          <cell r="J2756" t="str">
            <v>S/L</v>
          </cell>
          <cell r="R2756" t="str">
            <v xml:space="preserve"> </v>
          </cell>
        </row>
        <row r="2757">
          <cell r="J2757" t="str">
            <v>S/L</v>
          </cell>
          <cell r="R2757" t="str">
            <v xml:space="preserve"> </v>
          </cell>
        </row>
        <row r="2758">
          <cell r="J2758" t="str">
            <v>S/L</v>
          </cell>
          <cell r="R2758" t="str">
            <v xml:space="preserve"> </v>
          </cell>
        </row>
        <row r="2759">
          <cell r="J2759" t="str">
            <v>S/L</v>
          </cell>
          <cell r="R2759" t="str">
            <v xml:space="preserve"> </v>
          </cell>
        </row>
        <row r="2760">
          <cell r="J2760" t="str">
            <v>S/L</v>
          </cell>
          <cell r="R2760" t="str">
            <v xml:space="preserve"> </v>
          </cell>
        </row>
        <row r="2761">
          <cell r="J2761" t="str">
            <v>S/L</v>
          </cell>
          <cell r="R2761" t="str">
            <v xml:space="preserve"> </v>
          </cell>
        </row>
        <row r="2762">
          <cell r="J2762" t="str">
            <v>S/L</v>
          </cell>
          <cell r="R2762" t="str">
            <v xml:space="preserve"> </v>
          </cell>
        </row>
        <row r="2763">
          <cell r="J2763" t="str">
            <v>S/L</v>
          </cell>
          <cell r="R2763" t="str">
            <v xml:space="preserve"> </v>
          </cell>
        </row>
        <row r="2764">
          <cell r="J2764" t="str">
            <v>S/L</v>
          </cell>
          <cell r="R2764" t="str">
            <v xml:space="preserve"> </v>
          </cell>
        </row>
        <row r="2765">
          <cell r="J2765" t="str">
            <v>S/L</v>
          </cell>
          <cell r="R2765" t="str">
            <v xml:space="preserve"> </v>
          </cell>
        </row>
        <row r="2766">
          <cell r="J2766" t="str">
            <v>S/L</v>
          </cell>
          <cell r="R2766" t="str">
            <v xml:space="preserve"> </v>
          </cell>
        </row>
        <row r="2767">
          <cell r="J2767" t="str">
            <v>S/L</v>
          </cell>
          <cell r="R2767" t="str">
            <v xml:space="preserve"> </v>
          </cell>
        </row>
        <row r="2768">
          <cell r="J2768" t="str">
            <v>S/L</v>
          </cell>
          <cell r="R2768" t="str">
            <v xml:space="preserve"> </v>
          </cell>
        </row>
        <row r="2769">
          <cell r="J2769" t="str">
            <v>S/L</v>
          </cell>
          <cell r="R2769" t="str">
            <v xml:space="preserve"> </v>
          </cell>
        </row>
        <row r="2770">
          <cell r="J2770" t="str">
            <v>S/L</v>
          </cell>
          <cell r="R2770" t="str">
            <v xml:space="preserve"> </v>
          </cell>
        </row>
        <row r="2771">
          <cell r="J2771" t="str">
            <v>S/L</v>
          </cell>
          <cell r="R2771" t="str">
            <v xml:space="preserve"> </v>
          </cell>
        </row>
        <row r="2772">
          <cell r="J2772" t="str">
            <v>S/L</v>
          </cell>
          <cell r="R2772" t="str">
            <v xml:space="preserve"> </v>
          </cell>
        </row>
        <row r="2773">
          <cell r="J2773" t="str">
            <v>S/L</v>
          </cell>
          <cell r="R2773" t="str">
            <v xml:space="preserve"> </v>
          </cell>
        </row>
        <row r="2774">
          <cell r="J2774" t="str">
            <v>S/L</v>
          </cell>
          <cell r="R2774" t="str">
            <v xml:space="preserve"> </v>
          </cell>
        </row>
        <row r="2775">
          <cell r="J2775" t="str">
            <v>S/L</v>
          </cell>
          <cell r="R2775" t="str">
            <v xml:space="preserve"> </v>
          </cell>
        </row>
        <row r="2776">
          <cell r="J2776" t="str">
            <v>S/L</v>
          </cell>
          <cell r="R2776" t="str">
            <v xml:space="preserve"> </v>
          </cell>
        </row>
        <row r="2777">
          <cell r="J2777" t="str">
            <v>S/L</v>
          </cell>
          <cell r="R2777" t="str">
            <v xml:space="preserve"> </v>
          </cell>
        </row>
        <row r="2778">
          <cell r="J2778" t="str">
            <v>S/L</v>
          </cell>
          <cell r="R2778" t="str">
            <v xml:space="preserve"> </v>
          </cell>
        </row>
        <row r="2779">
          <cell r="J2779" t="str">
            <v>S/L</v>
          </cell>
          <cell r="R2779" t="str">
            <v xml:space="preserve"> </v>
          </cell>
        </row>
        <row r="2780">
          <cell r="J2780" t="str">
            <v>S/L</v>
          </cell>
          <cell r="R2780" t="str">
            <v xml:space="preserve"> </v>
          </cell>
        </row>
        <row r="2781">
          <cell r="J2781" t="str">
            <v>S/L</v>
          </cell>
          <cell r="R2781" t="str">
            <v xml:space="preserve"> </v>
          </cell>
        </row>
        <row r="2782">
          <cell r="J2782" t="str">
            <v>S/L</v>
          </cell>
          <cell r="R2782" t="str">
            <v xml:space="preserve"> </v>
          </cell>
        </row>
        <row r="2783">
          <cell r="J2783" t="str">
            <v>S/L</v>
          </cell>
          <cell r="R2783" t="str">
            <v xml:space="preserve"> </v>
          </cell>
        </row>
        <row r="2784">
          <cell r="J2784" t="str">
            <v>S/L</v>
          </cell>
          <cell r="R2784" t="str">
            <v xml:space="preserve"> </v>
          </cell>
        </row>
        <row r="2785">
          <cell r="J2785" t="str">
            <v>S/L</v>
          </cell>
          <cell r="R2785" t="str">
            <v xml:space="preserve"> </v>
          </cell>
        </row>
        <row r="2786">
          <cell r="J2786" t="str">
            <v>S/L</v>
          </cell>
          <cell r="R2786" t="str">
            <v xml:space="preserve"> </v>
          </cell>
        </row>
        <row r="2787">
          <cell r="J2787" t="str">
            <v>S/L</v>
          </cell>
          <cell r="R2787" t="str">
            <v xml:space="preserve"> </v>
          </cell>
        </row>
        <row r="2788">
          <cell r="J2788" t="str">
            <v>S/L</v>
          </cell>
          <cell r="R2788" t="str">
            <v xml:space="preserve"> </v>
          </cell>
        </row>
        <row r="2789">
          <cell r="J2789" t="str">
            <v>S/L</v>
          </cell>
          <cell r="R2789" t="str">
            <v xml:space="preserve"> </v>
          </cell>
        </row>
        <row r="2790">
          <cell r="J2790" t="str">
            <v>S/L</v>
          </cell>
          <cell r="R2790" t="str">
            <v xml:space="preserve"> </v>
          </cell>
        </row>
        <row r="2791">
          <cell r="J2791" t="str">
            <v>S/L</v>
          </cell>
          <cell r="R2791" t="str">
            <v xml:space="preserve"> </v>
          </cell>
        </row>
        <row r="2792">
          <cell r="J2792" t="str">
            <v>S/L</v>
          </cell>
          <cell r="R2792" t="str">
            <v xml:space="preserve"> </v>
          </cell>
        </row>
        <row r="2793">
          <cell r="J2793" t="str">
            <v>S/L</v>
          </cell>
          <cell r="R2793" t="str">
            <v xml:space="preserve"> </v>
          </cell>
        </row>
        <row r="2794">
          <cell r="J2794" t="str">
            <v>S/L</v>
          </cell>
          <cell r="R2794" t="str">
            <v xml:space="preserve"> </v>
          </cell>
        </row>
        <row r="2795">
          <cell r="J2795" t="str">
            <v>S/L</v>
          </cell>
          <cell r="R2795" t="str">
            <v xml:space="preserve"> </v>
          </cell>
        </row>
        <row r="2796">
          <cell r="J2796" t="str">
            <v>S/L</v>
          </cell>
          <cell r="R2796" t="str">
            <v xml:space="preserve"> </v>
          </cell>
        </row>
        <row r="2797">
          <cell r="J2797" t="str">
            <v>S/L</v>
          </cell>
          <cell r="R2797" t="str">
            <v xml:space="preserve"> </v>
          </cell>
        </row>
        <row r="2798">
          <cell r="J2798" t="str">
            <v>S/L</v>
          </cell>
          <cell r="R2798" t="str">
            <v xml:space="preserve"> </v>
          </cell>
        </row>
        <row r="2799">
          <cell r="J2799" t="str">
            <v>S/L</v>
          </cell>
          <cell r="R2799" t="str">
            <v xml:space="preserve"> </v>
          </cell>
        </row>
        <row r="2800">
          <cell r="J2800" t="str">
            <v>S/L</v>
          </cell>
          <cell r="R2800" t="str">
            <v xml:space="preserve"> </v>
          </cell>
        </row>
        <row r="2801">
          <cell r="J2801" t="str">
            <v>S/L</v>
          </cell>
          <cell r="R2801" t="str">
            <v xml:space="preserve"> </v>
          </cell>
        </row>
        <row r="2802">
          <cell r="J2802" t="str">
            <v>S/L</v>
          </cell>
          <cell r="R2802" t="str">
            <v xml:space="preserve"> </v>
          </cell>
        </row>
        <row r="2803">
          <cell r="J2803" t="str">
            <v>S/L</v>
          </cell>
          <cell r="R2803" t="str">
            <v xml:space="preserve"> </v>
          </cell>
        </row>
        <row r="2804">
          <cell r="J2804" t="str">
            <v>S/L</v>
          </cell>
          <cell r="R2804" t="str">
            <v xml:space="preserve"> </v>
          </cell>
        </row>
        <row r="2805">
          <cell r="J2805" t="str">
            <v>S/L</v>
          </cell>
          <cell r="R2805" t="str">
            <v xml:space="preserve"> </v>
          </cell>
        </row>
        <row r="2806">
          <cell r="J2806" t="str">
            <v>S/L</v>
          </cell>
          <cell r="R2806" t="str">
            <v xml:space="preserve"> </v>
          </cell>
        </row>
        <row r="2807">
          <cell r="J2807" t="str">
            <v>S/L</v>
          </cell>
          <cell r="R2807" t="str">
            <v xml:space="preserve"> </v>
          </cell>
        </row>
        <row r="2808">
          <cell r="J2808" t="str">
            <v>S/L</v>
          </cell>
          <cell r="R2808" t="str">
            <v xml:space="preserve"> </v>
          </cell>
        </row>
        <row r="2809">
          <cell r="J2809" t="str">
            <v>S/L</v>
          </cell>
          <cell r="R2809" t="str">
            <v xml:space="preserve"> </v>
          </cell>
        </row>
        <row r="2810">
          <cell r="J2810" t="str">
            <v>S/L</v>
          </cell>
          <cell r="R2810" t="str">
            <v xml:space="preserve"> </v>
          </cell>
        </row>
        <row r="2811">
          <cell r="J2811" t="str">
            <v>S/L</v>
          </cell>
          <cell r="R2811" t="str">
            <v xml:space="preserve"> </v>
          </cell>
        </row>
        <row r="2812">
          <cell r="J2812" t="str">
            <v>S/L</v>
          </cell>
          <cell r="R2812" t="str">
            <v xml:space="preserve"> </v>
          </cell>
        </row>
        <row r="2813">
          <cell r="J2813" t="str">
            <v>S/L</v>
          </cell>
          <cell r="R2813" t="str">
            <v xml:space="preserve"> </v>
          </cell>
        </row>
        <row r="2814">
          <cell r="J2814" t="str">
            <v>S/L</v>
          </cell>
          <cell r="R2814" t="str">
            <v xml:space="preserve"> </v>
          </cell>
        </row>
        <row r="2815">
          <cell r="J2815" t="str">
            <v>S/L</v>
          </cell>
          <cell r="R2815" t="str">
            <v xml:space="preserve"> </v>
          </cell>
        </row>
        <row r="2816">
          <cell r="J2816" t="str">
            <v>S/L</v>
          </cell>
          <cell r="R2816" t="str">
            <v xml:space="preserve"> </v>
          </cell>
        </row>
        <row r="2817">
          <cell r="J2817" t="str">
            <v>S/L</v>
          </cell>
          <cell r="R2817" t="str">
            <v xml:space="preserve"> </v>
          </cell>
        </row>
        <row r="2818">
          <cell r="J2818" t="str">
            <v>S/L</v>
          </cell>
          <cell r="R2818" t="str">
            <v xml:space="preserve"> </v>
          </cell>
        </row>
        <row r="2819">
          <cell r="J2819" t="str">
            <v>S/L</v>
          </cell>
          <cell r="R2819" t="str">
            <v xml:space="preserve"> </v>
          </cell>
        </row>
        <row r="2820">
          <cell r="J2820" t="str">
            <v>S/L</v>
          </cell>
          <cell r="R2820" t="str">
            <v xml:space="preserve"> </v>
          </cell>
        </row>
        <row r="2821">
          <cell r="J2821" t="str">
            <v>S/L</v>
          </cell>
          <cell r="R2821" t="str">
            <v xml:space="preserve"> </v>
          </cell>
        </row>
        <row r="2822">
          <cell r="J2822" t="str">
            <v>S/L</v>
          </cell>
          <cell r="R2822" t="str">
            <v xml:space="preserve"> </v>
          </cell>
        </row>
        <row r="2823">
          <cell r="J2823" t="str">
            <v>S/L</v>
          </cell>
          <cell r="R2823" t="str">
            <v xml:space="preserve"> </v>
          </cell>
        </row>
        <row r="2824">
          <cell r="J2824" t="str">
            <v>S/L</v>
          </cell>
          <cell r="R2824" t="str">
            <v xml:space="preserve"> </v>
          </cell>
        </row>
        <row r="2825">
          <cell r="J2825" t="str">
            <v>S/L</v>
          </cell>
          <cell r="R2825" t="str">
            <v xml:space="preserve"> </v>
          </cell>
        </row>
        <row r="2826">
          <cell r="J2826" t="str">
            <v>S/L</v>
          </cell>
          <cell r="R2826" t="str">
            <v xml:space="preserve"> </v>
          </cell>
        </row>
        <row r="2827">
          <cell r="J2827" t="str">
            <v>S/L</v>
          </cell>
          <cell r="R2827" t="str">
            <v xml:space="preserve"> </v>
          </cell>
        </row>
        <row r="2828">
          <cell r="J2828" t="str">
            <v>S/L</v>
          </cell>
          <cell r="R2828" t="str">
            <v xml:space="preserve"> </v>
          </cell>
        </row>
        <row r="2829">
          <cell r="J2829" t="str">
            <v>S/L</v>
          </cell>
          <cell r="R2829" t="str">
            <v xml:space="preserve"> </v>
          </cell>
        </row>
        <row r="2830">
          <cell r="J2830" t="str">
            <v>S/L</v>
          </cell>
          <cell r="R2830" t="str">
            <v xml:space="preserve"> </v>
          </cell>
        </row>
        <row r="2831">
          <cell r="J2831" t="str">
            <v>S/L</v>
          </cell>
          <cell r="R2831" t="str">
            <v xml:space="preserve"> </v>
          </cell>
        </row>
        <row r="2832">
          <cell r="J2832" t="str">
            <v>S/L</v>
          </cell>
          <cell r="R2832" t="str">
            <v xml:space="preserve"> </v>
          </cell>
        </row>
        <row r="2833">
          <cell r="J2833" t="str">
            <v>S/L</v>
          </cell>
          <cell r="R2833" t="str">
            <v xml:space="preserve"> </v>
          </cell>
        </row>
        <row r="2834">
          <cell r="J2834" t="str">
            <v>S/L</v>
          </cell>
          <cell r="R2834" t="str">
            <v xml:space="preserve"> </v>
          </cell>
        </row>
        <row r="2835">
          <cell r="J2835" t="str">
            <v>S/L</v>
          </cell>
          <cell r="R2835" t="str">
            <v xml:space="preserve"> </v>
          </cell>
        </row>
        <row r="2836">
          <cell r="J2836" t="str">
            <v>S/L</v>
          </cell>
          <cell r="R2836" t="str">
            <v xml:space="preserve"> </v>
          </cell>
        </row>
        <row r="2837">
          <cell r="J2837" t="str">
            <v>S/L</v>
          </cell>
          <cell r="R2837" t="str">
            <v xml:space="preserve"> </v>
          </cell>
        </row>
        <row r="2838">
          <cell r="J2838" t="str">
            <v>S/L</v>
          </cell>
          <cell r="R2838" t="str">
            <v xml:space="preserve"> </v>
          </cell>
        </row>
        <row r="2839">
          <cell r="J2839" t="str">
            <v>S/L</v>
          </cell>
          <cell r="R2839" t="str">
            <v xml:space="preserve"> </v>
          </cell>
        </row>
        <row r="2840">
          <cell r="J2840" t="str">
            <v>S/L</v>
          </cell>
          <cell r="R2840" t="str">
            <v xml:space="preserve"> </v>
          </cell>
        </row>
        <row r="2841">
          <cell r="J2841" t="str">
            <v>S/L</v>
          </cell>
          <cell r="R2841" t="str">
            <v xml:space="preserve"> </v>
          </cell>
        </row>
        <row r="2842">
          <cell r="J2842" t="str">
            <v>S/L</v>
          </cell>
          <cell r="R2842" t="str">
            <v xml:space="preserve"> </v>
          </cell>
        </row>
        <row r="2843">
          <cell r="J2843" t="str">
            <v>S/L</v>
          </cell>
          <cell r="R2843" t="str">
            <v xml:space="preserve"> </v>
          </cell>
        </row>
        <row r="2844">
          <cell r="J2844" t="str">
            <v>S/L</v>
          </cell>
          <cell r="R2844" t="str">
            <v xml:space="preserve"> </v>
          </cell>
        </row>
        <row r="2845">
          <cell r="J2845" t="str">
            <v>S/L</v>
          </cell>
          <cell r="R2845" t="str">
            <v xml:space="preserve"> </v>
          </cell>
        </row>
        <row r="2846">
          <cell r="J2846" t="str">
            <v>S/L</v>
          </cell>
          <cell r="R2846" t="str">
            <v xml:space="preserve"> </v>
          </cell>
        </row>
        <row r="2847">
          <cell r="J2847" t="str">
            <v>S/L</v>
          </cell>
          <cell r="R2847" t="str">
            <v xml:space="preserve"> </v>
          </cell>
        </row>
        <row r="2848">
          <cell r="J2848" t="str">
            <v>S/L</v>
          </cell>
          <cell r="R2848" t="str">
            <v xml:space="preserve"> </v>
          </cell>
        </row>
        <row r="2849">
          <cell r="J2849" t="str">
            <v>S/L</v>
          </cell>
          <cell r="R2849" t="str">
            <v xml:space="preserve"> </v>
          </cell>
        </row>
        <row r="2850">
          <cell r="J2850" t="str">
            <v>S/L</v>
          </cell>
          <cell r="R2850" t="str">
            <v xml:space="preserve"> </v>
          </cell>
        </row>
        <row r="2851">
          <cell r="J2851" t="str">
            <v>S/L</v>
          </cell>
          <cell r="R2851" t="str">
            <v xml:space="preserve"> </v>
          </cell>
        </row>
        <row r="2852">
          <cell r="J2852" t="str">
            <v>S/L</v>
          </cell>
          <cell r="R2852" t="str">
            <v xml:space="preserve"> </v>
          </cell>
        </row>
        <row r="2853">
          <cell r="J2853" t="str">
            <v>S/L</v>
          </cell>
          <cell r="R2853" t="str">
            <v xml:space="preserve"> </v>
          </cell>
        </row>
        <row r="2854">
          <cell r="J2854" t="str">
            <v>S/L</v>
          </cell>
          <cell r="R2854" t="str">
            <v xml:space="preserve"> </v>
          </cell>
        </row>
        <row r="2855">
          <cell r="J2855" t="str">
            <v>S/L</v>
          </cell>
          <cell r="R2855" t="str">
            <v xml:space="preserve"> </v>
          </cell>
        </row>
        <row r="2856">
          <cell r="J2856" t="str">
            <v>S/L</v>
          </cell>
          <cell r="R2856" t="str">
            <v xml:space="preserve"> </v>
          </cell>
        </row>
        <row r="2857">
          <cell r="J2857" t="str">
            <v>S/L</v>
          </cell>
          <cell r="R2857" t="str">
            <v xml:space="preserve"> </v>
          </cell>
        </row>
        <row r="2858">
          <cell r="J2858" t="str">
            <v>S/L</v>
          </cell>
          <cell r="R2858" t="str">
            <v xml:space="preserve"> </v>
          </cell>
        </row>
        <row r="2859">
          <cell r="J2859" t="str">
            <v>S/L</v>
          </cell>
          <cell r="R2859" t="str">
            <v xml:space="preserve"> </v>
          </cell>
        </row>
        <row r="2860">
          <cell r="J2860" t="str">
            <v>S/L</v>
          </cell>
          <cell r="R2860" t="str">
            <v xml:space="preserve"> </v>
          </cell>
        </row>
        <row r="2861">
          <cell r="J2861" t="str">
            <v>S/L</v>
          </cell>
          <cell r="R2861" t="str">
            <v xml:space="preserve"> </v>
          </cell>
        </row>
        <row r="2862">
          <cell r="J2862" t="str">
            <v>S/L</v>
          </cell>
          <cell r="R2862" t="str">
            <v xml:space="preserve"> </v>
          </cell>
        </row>
        <row r="2863">
          <cell r="J2863" t="str">
            <v>S/L</v>
          </cell>
          <cell r="R2863" t="str">
            <v xml:space="preserve"> </v>
          </cell>
        </row>
        <row r="2864">
          <cell r="J2864" t="str">
            <v>S/L</v>
          </cell>
          <cell r="R2864" t="str">
            <v xml:space="preserve"> </v>
          </cell>
        </row>
        <row r="2865">
          <cell r="J2865" t="str">
            <v>S/L</v>
          </cell>
          <cell r="R2865" t="str">
            <v xml:space="preserve"> </v>
          </cell>
        </row>
        <row r="2866">
          <cell r="J2866" t="str">
            <v>S/L</v>
          </cell>
          <cell r="R2866" t="str">
            <v xml:space="preserve"> </v>
          </cell>
        </row>
        <row r="2867">
          <cell r="J2867" t="str">
            <v>S/L</v>
          </cell>
          <cell r="R2867" t="str">
            <v xml:space="preserve"> </v>
          </cell>
        </row>
        <row r="2868">
          <cell r="J2868" t="str">
            <v>S/L</v>
          </cell>
          <cell r="R2868" t="str">
            <v xml:space="preserve"> </v>
          </cell>
        </row>
        <row r="2869">
          <cell r="J2869" t="str">
            <v>S/L</v>
          </cell>
          <cell r="R2869" t="str">
            <v xml:space="preserve"> </v>
          </cell>
        </row>
        <row r="2870">
          <cell r="J2870" t="str">
            <v>S/L</v>
          </cell>
          <cell r="R2870" t="str">
            <v xml:space="preserve"> </v>
          </cell>
        </row>
        <row r="2871">
          <cell r="J2871" t="str">
            <v>S/L</v>
          </cell>
          <cell r="R2871" t="str">
            <v xml:space="preserve"> </v>
          </cell>
        </row>
        <row r="2872">
          <cell r="J2872" t="str">
            <v>S/L</v>
          </cell>
          <cell r="R2872" t="str">
            <v xml:space="preserve"> </v>
          </cell>
        </row>
        <row r="2873">
          <cell r="J2873" t="str">
            <v>S/L</v>
          </cell>
          <cell r="R2873" t="str">
            <v xml:space="preserve"> </v>
          </cell>
        </row>
        <row r="2874">
          <cell r="J2874" t="str">
            <v>S/L</v>
          </cell>
          <cell r="R2874" t="str">
            <v xml:space="preserve"> </v>
          </cell>
        </row>
        <row r="2875">
          <cell r="J2875" t="str">
            <v>S/L</v>
          </cell>
          <cell r="R2875" t="str">
            <v xml:space="preserve"> </v>
          </cell>
        </row>
        <row r="2876">
          <cell r="J2876" t="str">
            <v>S/L</v>
          </cell>
          <cell r="R2876" t="str">
            <v xml:space="preserve"> </v>
          </cell>
        </row>
        <row r="2877">
          <cell r="J2877" t="str">
            <v>S/L</v>
          </cell>
          <cell r="R2877" t="str">
            <v xml:space="preserve"> </v>
          </cell>
        </row>
        <row r="2878">
          <cell r="J2878" t="str">
            <v>S/L</v>
          </cell>
          <cell r="R2878" t="str">
            <v xml:space="preserve"> </v>
          </cell>
        </row>
        <row r="2879">
          <cell r="J2879" t="str">
            <v>S/L</v>
          </cell>
          <cell r="R2879" t="str">
            <v xml:space="preserve"> </v>
          </cell>
        </row>
        <row r="2880">
          <cell r="J2880" t="str">
            <v>S/L</v>
          </cell>
          <cell r="R2880" t="str">
            <v xml:space="preserve"> </v>
          </cell>
        </row>
        <row r="2881">
          <cell r="J2881" t="str">
            <v>S/L</v>
          </cell>
          <cell r="R2881" t="str">
            <v xml:space="preserve"> </v>
          </cell>
        </row>
        <row r="2882">
          <cell r="J2882" t="str">
            <v>S/L</v>
          </cell>
          <cell r="R2882" t="str">
            <v xml:space="preserve"> </v>
          </cell>
        </row>
        <row r="2883">
          <cell r="J2883" t="str">
            <v>S/L</v>
          </cell>
          <cell r="R2883" t="str">
            <v xml:space="preserve"> </v>
          </cell>
        </row>
        <row r="2884">
          <cell r="J2884" t="str">
            <v>S/L</v>
          </cell>
          <cell r="R2884" t="str">
            <v xml:space="preserve"> </v>
          </cell>
        </row>
        <row r="2885">
          <cell r="J2885" t="str">
            <v>S/L</v>
          </cell>
          <cell r="R2885" t="str">
            <v xml:space="preserve"> </v>
          </cell>
        </row>
        <row r="2886">
          <cell r="J2886" t="str">
            <v>S/L</v>
          </cell>
          <cell r="R2886" t="str">
            <v xml:space="preserve"> </v>
          </cell>
        </row>
        <row r="2887">
          <cell r="J2887" t="str">
            <v>S/L</v>
          </cell>
          <cell r="R2887" t="str">
            <v xml:space="preserve"> </v>
          </cell>
        </row>
        <row r="2888">
          <cell r="J2888" t="str">
            <v>S/L</v>
          </cell>
          <cell r="R2888" t="str">
            <v xml:space="preserve"> </v>
          </cell>
        </row>
        <row r="2889">
          <cell r="J2889" t="str">
            <v>S/L</v>
          </cell>
          <cell r="R2889" t="str">
            <v xml:space="preserve"> </v>
          </cell>
        </row>
        <row r="2890">
          <cell r="J2890" t="str">
            <v>S/L</v>
          </cell>
          <cell r="R2890" t="str">
            <v xml:space="preserve"> </v>
          </cell>
        </row>
        <row r="2891">
          <cell r="J2891" t="str">
            <v>S/L</v>
          </cell>
          <cell r="R2891" t="str">
            <v xml:space="preserve"> </v>
          </cell>
        </row>
        <row r="2892">
          <cell r="J2892" t="str">
            <v>S/L</v>
          </cell>
          <cell r="R2892" t="str">
            <v xml:space="preserve"> </v>
          </cell>
        </row>
        <row r="2893">
          <cell r="J2893" t="str">
            <v>S/L</v>
          </cell>
          <cell r="R2893" t="str">
            <v xml:space="preserve"> </v>
          </cell>
        </row>
        <row r="2894">
          <cell r="J2894" t="str">
            <v>S/L</v>
          </cell>
          <cell r="R2894" t="str">
            <v xml:space="preserve"> </v>
          </cell>
        </row>
        <row r="2895">
          <cell r="J2895" t="str">
            <v>S/L</v>
          </cell>
          <cell r="R2895" t="str">
            <v xml:space="preserve"> </v>
          </cell>
        </row>
        <row r="2896">
          <cell r="J2896" t="str">
            <v>S/L</v>
          </cell>
          <cell r="R2896" t="str">
            <v xml:space="preserve"> </v>
          </cell>
        </row>
        <row r="2897">
          <cell r="J2897" t="str">
            <v>S/L</v>
          </cell>
          <cell r="R2897" t="str">
            <v xml:space="preserve"> </v>
          </cell>
        </row>
        <row r="2898">
          <cell r="J2898" t="str">
            <v>S/L</v>
          </cell>
          <cell r="R2898" t="str">
            <v xml:space="preserve"> </v>
          </cell>
        </row>
        <row r="2899">
          <cell r="J2899" t="str">
            <v>S/L</v>
          </cell>
          <cell r="R2899" t="str">
            <v xml:space="preserve"> </v>
          </cell>
        </row>
        <row r="2900">
          <cell r="J2900" t="str">
            <v>S/L</v>
          </cell>
          <cell r="R2900" t="str">
            <v xml:space="preserve"> </v>
          </cell>
        </row>
        <row r="2901">
          <cell r="J2901" t="str">
            <v>S/L</v>
          </cell>
          <cell r="R2901" t="str">
            <v xml:space="preserve"> </v>
          </cell>
        </row>
        <row r="2902">
          <cell r="J2902" t="str">
            <v>S/L</v>
          </cell>
          <cell r="R2902" t="str">
            <v xml:space="preserve"> </v>
          </cell>
        </row>
        <row r="2903">
          <cell r="J2903" t="str">
            <v>S/L</v>
          </cell>
          <cell r="R2903" t="str">
            <v xml:space="preserve"> </v>
          </cell>
        </row>
        <row r="2904">
          <cell r="J2904" t="str">
            <v>S/L</v>
          </cell>
          <cell r="R2904" t="str">
            <v xml:space="preserve"> </v>
          </cell>
        </row>
        <row r="2905">
          <cell r="J2905" t="str">
            <v>S/L</v>
          </cell>
          <cell r="R2905" t="str">
            <v xml:space="preserve"> </v>
          </cell>
        </row>
        <row r="2906">
          <cell r="J2906" t="str">
            <v>S/L</v>
          </cell>
          <cell r="R2906" t="str">
            <v xml:space="preserve"> </v>
          </cell>
        </row>
        <row r="2907">
          <cell r="J2907" t="str">
            <v>S/L</v>
          </cell>
          <cell r="R2907" t="str">
            <v xml:space="preserve"> </v>
          </cell>
        </row>
        <row r="2908">
          <cell r="J2908" t="str">
            <v>S/L</v>
          </cell>
          <cell r="R2908" t="str">
            <v xml:space="preserve"> </v>
          </cell>
        </row>
        <row r="2909">
          <cell r="J2909" t="str">
            <v>S/L</v>
          </cell>
          <cell r="R2909" t="str">
            <v xml:space="preserve"> </v>
          </cell>
        </row>
        <row r="2910">
          <cell r="J2910" t="str">
            <v>S/L</v>
          </cell>
          <cell r="R2910" t="str">
            <v xml:space="preserve"> </v>
          </cell>
        </row>
        <row r="2911">
          <cell r="J2911" t="str">
            <v>S/L</v>
          </cell>
          <cell r="R2911" t="str">
            <v xml:space="preserve"> </v>
          </cell>
        </row>
        <row r="2912">
          <cell r="J2912" t="str">
            <v>S/L</v>
          </cell>
          <cell r="R2912" t="str">
            <v xml:space="preserve"> </v>
          </cell>
        </row>
        <row r="2913">
          <cell r="J2913" t="str">
            <v>S/L</v>
          </cell>
          <cell r="R2913" t="str">
            <v xml:space="preserve"> </v>
          </cell>
        </row>
        <row r="2914">
          <cell r="J2914" t="str">
            <v>S/L</v>
          </cell>
          <cell r="R2914" t="str">
            <v xml:space="preserve"> </v>
          </cell>
        </row>
        <row r="2915">
          <cell r="J2915" t="str">
            <v>S/L</v>
          </cell>
          <cell r="R2915" t="str">
            <v xml:space="preserve"> </v>
          </cell>
        </row>
        <row r="2916">
          <cell r="J2916" t="str">
            <v>S/L</v>
          </cell>
          <cell r="R2916" t="str">
            <v xml:space="preserve"> </v>
          </cell>
        </row>
        <row r="2917">
          <cell r="J2917" t="str">
            <v>S/L</v>
          </cell>
          <cell r="R2917" t="str">
            <v xml:space="preserve"> </v>
          </cell>
        </row>
        <row r="2918">
          <cell r="J2918" t="str">
            <v>S/L</v>
          </cell>
          <cell r="R2918" t="str">
            <v xml:space="preserve"> </v>
          </cell>
        </row>
        <row r="2919">
          <cell r="J2919" t="str">
            <v>S/L</v>
          </cell>
          <cell r="R2919" t="str">
            <v xml:space="preserve"> </v>
          </cell>
        </row>
        <row r="2920">
          <cell r="J2920" t="str">
            <v>S/L</v>
          </cell>
          <cell r="R2920" t="str">
            <v xml:space="preserve"> </v>
          </cell>
        </row>
        <row r="2921">
          <cell r="J2921" t="str">
            <v>S/L</v>
          </cell>
          <cell r="R2921" t="str">
            <v xml:space="preserve"> </v>
          </cell>
        </row>
        <row r="2922">
          <cell r="J2922" t="str">
            <v>S/L</v>
          </cell>
          <cell r="R2922" t="str">
            <v xml:space="preserve"> </v>
          </cell>
        </row>
        <row r="2923">
          <cell r="J2923" t="str">
            <v>S/L</v>
          </cell>
          <cell r="R2923" t="str">
            <v xml:space="preserve"> </v>
          </cell>
        </row>
        <row r="2924">
          <cell r="J2924" t="str">
            <v>S/L</v>
          </cell>
          <cell r="R2924" t="str">
            <v xml:space="preserve"> </v>
          </cell>
        </row>
        <row r="2925">
          <cell r="J2925" t="str">
            <v>S/L</v>
          </cell>
          <cell r="R2925" t="str">
            <v xml:space="preserve"> </v>
          </cell>
        </row>
        <row r="2926">
          <cell r="J2926" t="str">
            <v>S/L</v>
          </cell>
          <cell r="R2926" t="str">
            <v xml:space="preserve"> </v>
          </cell>
        </row>
        <row r="2927">
          <cell r="J2927" t="str">
            <v>S/L</v>
          </cell>
          <cell r="R2927" t="str">
            <v xml:space="preserve"> </v>
          </cell>
        </row>
        <row r="2928">
          <cell r="J2928" t="str">
            <v>S/L</v>
          </cell>
          <cell r="R2928" t="str">
            <v xml:space="preserve"> </v>
          </cell>
        </row>
        <row r="2929">
          <cell r="J2929" t="str">
            <v>S/L</v>
          </cell>
          <cell r="R2929" t="str">
            <v xml:space="preserve"> </v>
          </cell>
        </row>
        <row r="2930">
          <cell r="J2930" t="str">
            <v>S/L</v>
          </cell>
          <cell r="R2930" t="str">
            <v xml:space="preserve"> </v>
          </cell>
        </row>
        <row r="2931">
          <cell r="J2931" t="str">
            <v>S/L</v>
          </cell>
          <cell r="R2931" t="str">
            <v xml:space="preserve"> </v>
          </cell>
        </row>
        <row r="2932">
          <cell r="J2932" t="str">
            <v>S/L</v>
          </cell>
          <cell r="R2932" t="str">
            <v xml:space="preserve"> </v>
          </cell>
        </row>
        <row r="2933">
          <cell r="J2933" t="str">
            <v>S/L</v>
          </cell>
          <cell r="R2933" t="str">
            <v xml:space="preserve"> </v>
          </cell>
        </row>
        <row r="2934">
          <cell r="J2934" t="str">
            <v>S/L</v>
          </cell>
          <cell r="R2934" t="str">
            <v xml:space="preserve"> </v>
          </cell>
        </row>
        <row r="2935">
          <cell r="J2935" t="str">
            <v>S/L</v>
          </cell>
          <cell r="R2935" t="str">
            <v xml:space="preserve"> </v>
          </cell>
        </row>
        <row r="2936">
          <cell r="J2936" t="str">
            <v>S/L</v>
          </cell>
          <cell r="R2936" t="str">
            <v xml:space="preserve"> </v>
          </cell>
        </row>
        <row r="2937">
          <cell r="J2937" t="str">
            <v>S/L</v>
          </cell>
          <cell r="R2937" t="str">
            <v xml:space="preserve"> </v>
          </cell>
        </row>
        <row r="2938">
          <cell r="J2938" t="str">
            <v>S/L</v>
          </cell>
          <cell r="R2938" t="str">
            <v xml:space="preserve"> </v>
          </cell>
        </row>
        <row r="2939">
          <cell r="J2939" t="str">
            <v>S/L</v>
          </cell>
          <cell r="R2939" t="str">
            <v xml:space="preserve"> </v>
          </cell>
        </row>
        <row r="2940">
          <cell r="J2940" t="str">
            <v>S/L</v>
          </cell>
          <cell r="R2940" t="str">
            <v xml:space="preserve"> </v>
          </cell>
        </row>
        <row r="2941">
          <cell r="J2941" t="str">
            <v>S/L</v>
          </cell>
          <cell r="R2941" t="str">
            <v xml:space="preserve"> </v>
          </cell>
        </row>
        <row r="2942">
          <cell r="J2942" t="str">
            <v>S/L</v>
          </cell>
          <cell r="R2942" t="str">
            <v xml:space="preserve"> </v>
          </cell>
        </row>
        <row r="2943">
          <cell r="J2943" t="str">
            <v>S/L</v>
          </cell>
          <cell r="R2943" t="str">
            <v xml:space="preserve"> </v>
          </cell>
        </row>
        <row r="2944">
          <cell r="J2944" t="str">
            <v>S/L</v>
          </cell>
          <cell r="R2944" t="str">
            <v xml:space="preserve"> </v>
          </cell>
        </row>
        <row r="2945">
          <cell r="J2945" t="str">
            <v>S/L</v>
          </cell>
          <cell r="R2945" t="str">
            <v xml:space="preserve"> </v>
          </cell>
        </row>
        <row r="2946">
          <cell r="J2946" t="str">
            <v>S/L</v>
          </cell>
          <cell r="R2946" t="str">
            <v xml:space="preserve"> </v>
          </cell>
        </row>
        <row r="2947">
          <cell r="J2947" t="str">
            <v>S/L</v>
          </cell>
          <cell r="R2947" t="str">
            <v xml:space="preserve"> </v>
          </cell>
        </row>
        <row r="2948">
          <cell r="J2948" t="str">
            <v>S/L</v>
          </cell>
          <cell r="R2948" t="str">
            <v xml:space="preserve"> </v>
          </cell>
        </row>
        <row r="2949">
          <cell r="J2949" t="str">
            <v>S/L</v>
          </cell>
          <cell r="R2949" t="str">
            <v xml:space="preserve"> </v>
          </cell>
        </row>
        <row r="2950">
          <cell r="J2950" t="str">
            <v>S/L</v>
          </cell>
          <cell r="R2950" t="str">
            <v xml:space="preserve"> </v>
          </cell>
        </row>
        <row r="2951">
          <cell r="J2951" t="str">
            <v>S/L</v>
          </cell>
          <cell r="R2951" t="str">
            <v xml:space="preserve"> </v>
          </cell>
        </row>
        <row r="2952">
          <cell r="J2952" t="str">
            <v>S/L</v>
          </cell>
          <cell r="R2952" t="str">
            <v xml:space="preserve"> </v>
          </cell>
        </row>
        <row r="2953">
          <cell r="J2953" t="str">
            <v>S/L</v>
          </cell>
          <cell r="R2953" t="str">
            <v xml:space="preserve"> </v>
          </cell>
        </row>
        <row r="2954">
          <cell r="J2954" t="str">
            <v>S/L</v>
          </cell>
          <cell r="R2954" t="str">
            <v xml:space="preserve"> </v>
          </cell>
        </row>
        <row r="2955">
          <cell r="J2955" t="str">
            <v>S/L</v>
          </cell>
          <cell r="R2955" t="str">
            <v xml:space="preserve"> </v>
          </cell>
        </row>
        <row r="2956">
          <cell r="J2956" t="str">
            <v>S/L</v>
          </cell>
          <cell r="R2956" t="str">
            <v xml:space="preserve"> </v>
          </cell>
        </row>
        <row r="2957">
          <cell r="J2957" t="str">
            <v>S/L</v>
          </cell>
          <cell r="R2957" t="str">
            <v xml:space="preserve"> </v>
          </cell>
        </row>
        <row r="2958">
          <cell r="J2958" t="str">
            <v>S/L</v>
          </cell>
          <cell r="R2958" t="str">
            <v xml:space="preserve"> </v>
          </cell>
        </row>
        <row r="2959">
          <cell r="J2959" t="str">
            <v>S/L</v>
          </cell>
          <cell r="R2959" t="str">
            <v xml:space="preserve"> </v>
          </cell>
        </row>
        <row r="2960">
          <cell r="J2960" t="str">
            <v>S/L</v>
          </cell>
          <cell r="R2960" t="str">
            <v xml:space="preserve"> </v>
          </cell>
        </row>
        <row r="2961">
          <cell r="J2961" t="str">
            <v>S/L</v>
          </cell>
          <cell r="R2961" t="str">
            <v xml:space="preserve"> </v>
          </cell>
        </row>
        <row r="2962">
          <cell r="J2962" t="str">
            <v>S/L</v>
          </cell>
          <cell r="R2962" t="str">
            <v xml:space="preserve"> </v>
          </cell>
        </row>
        <row r="2963">
          <cell r="J2963" t="str">
            <v>S/L</v>
          </cell>
          <cell r="R2963" t="str">
            <v xml:space="preserve"> </v>
          </cell>
        </row>
        <row r="2964">
          <cell r="J2964" t="str">
            <v>S/L</v>
          </cell>
          <cell r="R2964" t="str">
            <v xml:space="preserve"> </v>
          </cell>
        </row>
        <row r="2965">
          <cell r="J2965" t="str">
            <v>S/L</v>
          </cell>
          <cell r="R2965" t="str">
            <v xml:space="preserve"> </v>
          </cell>
        </row>
        <row r="2966">
          <cell r="J2966" t="str">
            <v>S/L</v>
          </cell>
          <cell r="R2966" t="str">
            <v xml:space="preserve"> </v>
          </cell>
        </row>
        <row r="2967">
          <cell r="J2967" t="str">
            <v>S/L</v>
          </cell>
          <cell r="R2967" t="str">
            <v xml:space="preserve"> </v>
          </cell>
        </row>
        <row r="2968">
          <cell r="J2968" t="str">
            <v>S/L</v>
          </cell>
          <cell r="R2968" t="str">
            <v xml:space="preserve"> </v>
          </cell>
        </row>
        <row r="2969">
          <cell r="J2969" t="str">
            <v>S/L</v>
          </cell>
          <cell r="R2969" t="str">
            <v xml:space="preserve"> </v>
          </cell>
        </row>
        <row r="2970">
          <cell r="J2970" t="str">
            <v>S/L</v>
          </cell>
          <cell r="R2970" t="str">
            <v xml:space="preserve"> </v>
          </cell>
        </row>
        <row r="2971">
          <cell r="J2971" t="str">
            <v>S/L</v>
          </cell>
          <cell r="R2971" t="str">
            <v xml:space="preserve"> </v>
          </cell>
        </row>
        <row r="2972">
          <cell r="J2972" t="str">
            <v>S/L</v>
          </cell>
          <cell r="R2972" t="str">
            <v xml:space="preserve"> </v>
          </cell>
        </row>
        <row r="2973">
          <cell r="J2973" t="str">
            <v>S/L</v>
          </cell>
          <cell r="R2973" t="str">
            <v xml:space="preserve"> </v>
          </cell>
        </row>
        <row r="2974">
          <cell r="J2974" t="str">
            <v>S/L</v>
          </cell>
          <cell r="R2974" t="str">
            <v xml:space="preserve"> </v>
          </cell>
        </row>
        <row r="2975">
          <cell r="J2975" t="str">
            <v>S/L</v>
          </cell>
          <cell r="R2975" t="str">
            <v xml:space="preserve"> </v>
          </cell>
        </row>
        <row r="2976">
          <cell r="J2976" t="str">
            <v>S/L</v>
          </cell>
          <cell r="R2976" t="str">
            <v xml:space="preserve"> </v>
          </cell>
        </row>
        <row r="2977">
          <cell r="J2977" t="str">
            <v>S/L</v>
          </cell>
          <cell r="R2977" t="str">
            <v xml:space="preserve"> </v>
          </cell>
        </row>
        <row r="2978">
          <cell r="J2978" t="str">
            <v>S/L</v>
          </cell>
          <cell r="R2978" t="str">
            <v xml:space="preserve"> </v>
          </cell>
        </row>
        <row r="2979">
          <cell r="J2979" t="str">
            <v>S/L</v>
          </cell>
          <cell r="R2979" t="str">
            <v xml:space="preserve"> </v>
          </cell>
        </row>
        <row r="2980">
          <cell r="J2980" t="str">
            <v>S/L</v>
          </cell>
          <cell r="R2980" t="str">
            <v xml:space="preserve"> </v>
          </cell>
        </row>
        <row r="2981">
          <cell r="J2981" t="str">
            <v>S/L</v>
          </cell>
          <cell r="R2981" t="str">
            <v xml:space="preserve"> </v>
          </cell>
        </row>
        <row r="2982">
          <cell r="J2982" t="str">
            <v>S/L</v>
          </cell>
          <cell r="R2982" t="str">
            <v xml:space="preserve"> </v>
          </cell>
        </row>
        <row r="2983">
          <cell r="J2983" t="str">
            <v>S/L</v>
          </cell>
          <cell r="R2983" t="str">
            <v xml:space="preserve"> </v>
          </cell>
        </row>
        <row r="2984">
          <cell r="J2984" t="str">
            <v>S/L</v>
          </cell>
          <cell r="R2984" t="str">
            <v xml:space="preserve"> </v>
          </cell>
        </row>
        <row r="2985">
          <cell r="J2985" t="str">
            <v>S/L</v>
          </cell>
          <cell r="R2985" t="str">
            <v xml:space="preserve"> </v>
          </cell>
        </row>
        <row r="2986">
          <cell r="J2986" t="str">
            <v>S/L</v>
          </cell>
          <cell r="R2986" t="str">
            <v xml:space="preserve"> </v>
          </cell>
        </row>
        <row r="2987">
          <cell r="J2987" t="str">
            <v>S/L</v>
          </cell>
          <cell r="R2987" t="str">
            <v xml:space="preserve"> </v>
          </cell>
        </row>
        <row r="2988">
          <cell r="J2988" t="str">
            <v>S/L</v>
          </cell>
          <cell r="R2988" t="str">
            <v xml:space="preserve"> </v>
          </cell>
        </row>
        <row r="2989">
          <cell r="J2989" t="str">
            <v>S/L</v>
          </cell>
          <cell r="R2989" t="str">
            <v xml:space="preserve"> </v>
          </cell>
        </row>
        <row r="2990">
          <cell r="J2990" t="str">
            <v>S/L</v>
          </cell>
          <cell r="R2990" t="str">
            <v xml:space="preserve"> </v>
          </cell>
        </row>
        <row r="2991">
          <cell r="J2991" t="str">
            <v>S/L</v>
          </cell>
          <cell r="R2991" t="str">
            <v xml:space="preserve"> </v>
          </cell>
        </row>
        <row r="2992">
          <cell r="J2992" t="str">
            <v>S/L</v>
          </cell>
          <cell r="R2992" t="str">
            <v xml:space="preserve"> </v>
          </cell>
        </row>
        <row r="2993">
          <cell r="J2993" t="str">
            <v>S/L</v>
          </cell>
          <cell r="R2993" t="str">
            <v xml:space="preserve"> </v>
          </cell>
        </row>
        <row r="2994">
          <cell r="J2994" t="str">
            <v>S/L</v>
          </cell>
          <cell r="R2994" t="str">
            <v xml:space="preserve"> </v>
          </cell>
        </row>
        <row r="2995">
          <cell r="J2995" t="str">
            <v>S/L</v>
          </cell>
          <cell r="R2995" t="str">
            <v xml:space="preserve"> </v>
          </cell>
        </row>
        <row r="2996">
          <cell r="J2996" t="str">
            <v>S/L</v>
          </cell>
          <cell r="R2996" t="str">
            <v xml:space="preserve"> </v>
          </cell>
        </row>
        <row r="2997">
          <cell r="J2997" t="str">
            <v>S/L</v>
          </cell>
          <cell r="R2997" t="str">
            <v xml:space="preserve"> </v>
          </cell>
        </row>
        <row r="2998">
          <cell r="J2998" t="str">
            <v>S/L</v>
          </cell>
          <cell r="R2998" t="str">
            <v xml:space="preserve"> </v>
          </cell>
        </row>
        <row r="2999">
          <cell r="J2999" t="str">
            <v>S/L</v>
          </cell>
          <cell r="R2999" t="str">
            <v xml:space="preserve"> </v>
          </cell>
        </row>
        <row r="3000">
          <cell r="J3000" t="str">
            <v>S/L</v>
          </cell>
          <cell r="R3000" t="str">
            <v xml:space="preserve"> </v>
          </cell>
        </row>
        <row r="3001">
          <cell r="J3001" t="str">
            <v>S/L</v>
          </cell>
          <cell r="R3001" t="str">
            <v xml:space="preserve"> </v>
          </cell>
        </row>
        <row r="3002">
          <cell r="J3002" t="str">
            <v>S/L</v>
          </cell>
          <cell r="R3002" t="str">
            <v xml:space="preserve"> </v>
          </cell>
        </row>
        <row r="3003">
          <cell r="J3003" t="str">
            <v>S/L</v>
          </cell>
          <cell r="R3003" t="str">
            <v xml:space="preserve"> </v>
          </cell>
        </row>
        <row r="3004">
          <cell r="J3004" t="str">
            <v>S/L</v>
          </cell>
          <cell r="R3004" t="str">
            <v xml:space="preserve"> </v>
          </cell>
        </row>
        <row r="3005">
          <cell r="J3005" t="str">
            <v>S/L</v>
          </cell>
          <cell r="R3005" t="str">
            <v xml:space="preserve"> </v>
          </cell>
        </row>
        <row r="3006">
          <cell r="J3006" t="str">
            <v>S/L</v>
          </cell>
          <cell r="R3006" t="str">
            <v xml:space="preserve"> </v>
          </cell>
        </row>
        <row r="3007">
          <cell r="J3007" t="str">
            <v>S/L</v>
          </cell>
          <cell r="R3007" t="str">
            <v xml:space="preserve"> </v>
          </cell>
        </row>
        <row r="3008">
          <cell r="J3008" t="str">
            <v>S/L</v>
          </cell>
          <cell r="R3008" t="str">
            <v xml:space="preserve"> </v>
          </cell>
        </row>
        <row r="3009">
          <cell r="J3009" t="str">
            <v>S/L</v>
          </cell>
          <cell r="R3009" t="str">
            <v xml:space="preserve"> </v>
          </cell>
        </row>
        <row r="3010">
          <cell r="J3010" t="str">
            <v>S/L</v>
          </cell>
          <cell r="R3010" t="str">
            <v xml:space="preserve"> </v>
          </cell>
        </row>
        <row r="3011">
          <cell r="J3011" t="str">
            <v>S/L</v>
          </cell>
          <cell r="R3011" t="str">
            <v xml:space="preserve"> </v>
          </cell>
        </row>
        <row r="3012">
          <cell r="J3012" t="str">
            <v>S/L</v>
          </cell>
          <cell r="R3012" t="str">
            <v xml:space="preserve"> </v>
          </cell>
        </row>
        <row r="3013">
          <cell r="J3013" t="str">
            <v>S/L</v>
          </cell>
          <cell r="R3013" t="str">
            <v xml:space="preserve"> </v>
          </cell>
        </row>
        <row r="3014">
          <cell r="J3014" t="str">
            <v>S/L</v>
          </cell>
          <cell r="R3014" t="str">
            <v xml:space="preserve"> </v>
          </cell>
        </row>
        <row r="3015">
          <cell r="J3015" t="str">
            <v>S/L</v>
          </cell>
          <cell r="R3015" t="str">
            <v xml:space="preserve"> </v>
          </cell>
        </row>
        <row r="3016">
          <cell r="J3016" t="str">
            <v>S/L</v>
          </cell>
          <cell r="R3016" t="str">
            <v xml:space="preserve"> </v>
          </cell>
        </row>
        <row r="3017">
          <cell r="J3017" t="str">
            <v>S/L</v>
          </cell>
          <cell r="R3017" t="str">
            <v xml:space="preserve"> </v>
          </cell>
        </row>
        <row r="3018">
          <cell r="J3018" t="str">
            <v>S/L</v>
          </cell>
          <cell r="R3018" t="str">
            <v xml:space="preserve"> </v>
          </cell>
        </row>
        <row r="3019">
          <cell r="J3019" t="str">
            <v>S/L</v>
          </cell>
          <cell r="R3019" t="str">
            <v xml:space="preserve"> </v>
          </cell>
        </row>
        <row r="3020">
          <cell r="J3020" t="str">
            <v>S/L</v>
          </cell>
          <cell r="R3020" t="str">
            <v xml:space="preserve"> </v>
          </cell>
        </row>
        <row r="3021">
          <cell r="J3021" t="str">
            <v>S/L</v>
          </cell>
          <cell r="R3021" t="str">
            <v xml:space="preserve"> </v>
          </cell>
        </row>
        <row r="3022">
          <cell r="J3022" t="str">
            <v>S/L</v>
          </cell>
          <cell r="R3022" t="str">
            <v xml:space="preserve"> </v>
          </cell>
        </row>
        <row r="3023">
          <cell r="J3023" t="str">
            <v>S/L</v>
          </cell>
          <cell r="R3023" t="str">
            <v xml:space="preserve"> </v>
          </cell>
        </row>
        <row r="3024">
          <cell r="J3024" t="str">
            <v>S/L</v>
          </cell>
          <cell r="R3024" t="str">
            <v xml:space="preserve"> </v>
          </cell>
        </row>
        <row r="3025">
          <cell r="J3025" t="str">
            <v>S/L</v>
          </cell>
          <cell r="R3025" t="str">
            <v xml:space="preserve"> </v>
          </cell>
        </row>
        <row r="3026">
          <cell r="J3026" t="str">
            <v>S/L</v>
          </cell>
          <cell r="R3026" t="str">
            <v xml:space="preserve"> </v>
          </cell>
        </row>
        <row r="3027">
          <cell r="J3027" t="str">
            <v>S/L</v>
          </cell>
          <cell r="R3027" t="str">
            <v xml:space="preserve"> </v>
          </cell>
        </row>
        <row r="3028">
          <cell r="J3028" t="str">
            <v>S/L</v>
          </cell>
          <cell r="R3028" t="str">
            <v xml:space="preserve"> </v>
          </cell>
        </row>
        <row r="3029">
          <cell r="J3029" t="str">
            <v>S/L</v>
          </cell>
          <cell r="R3029" t="str">
            <v xml:space="preserve"> </v>
          </cell>
        </row>
        <row r="3030">
          <cell r="J3030" t="str">
            <v>S/L</v>
          </cell>
          <cell r="R3030" t="str">
            <v xml:space="preserve"> </v>
          </cell>
        </row>
        <row r="3031">
          <cell r="J3031" t="str">
            <v>S/L</v>
          </cell>
          <cell r="R3031" t="str">
            <v xml:space="preserve"> </v>
          </cell>
        </row>
        <row r="3032">
          <cell r="J3032" t="str">
            <v>S/L</v>
          </cell>
          <cell r="R3032" t="str">
            <v xml:space="preserve"> </v>
          </cell>
        </row>
        <row r="3033">
          <cell r="J3033" t="str">
            <v>S/L</v>
          </cell>
          <cell r="R3033" t="str">
            <v xml:space="preserve"> </v>
          </cell>
        </row>
        <row r="3034">
          <cell r="J3034" t="str">
            <v>S/L</v>
          </cell>
          <cell r="R3034" t="str">
            <v xml:space="preserve"> </v>
          </cell>
        </row>
        <row r="3035">
          <cell r="J3035" t="str">
            <v>S/L</v>
          </cell>
          <cell r="R3035" t="str">
            <v xml:space="preserve"> </v>
          </cell>
        </row>
        <row r="3036">
          <cell r="J3036" t="str">
            <v>S/L</v>
          </cell>
          <cell r="R3036" t="str">
            <v xml:space="preserve"> </v>
          </cell>
        </row>
        <row r="3037">
          <cell r="J3037" t="str">
            <v>S/L</v>
          </cell>
          <cell r="R3037" t="str">
            <v xml:space="preserve"> </v>
          </cell>
        </row>
        <row r="3038">
          <cell r="J3038" t="str">
            <v>S/L</v>
          </cell>
          <cell r="R3038" t="str">
            <v xml:space="preserve"> </v>
          </cell>
        </row>
        <row r="3039">
          <cell r="J3039" t="str">
            <v>S/L</v>
          </cell>
          <cell r="R3039" t="str">
            <v xml:space="preserve"> </v>
          </cell>
        </row>
        <row r="3040">
          <cell r="J3040" t="str">
            <v>S/L</v>
          </cell>
          <cell r="R3040" t="str">
            <v xml:space="preserve"> </v>
          </cell>
        </row>
        <row r="3041">
          <cell r="J3041" t="str">
            <v>S/L</v>
          </cell>
          <cell r="R3041" t="str">
            <v xml:space="preserve"> </v>
          </cell>
        </row>
        <row r="3042">
          <cell r="J3042" t="str">
            <v>S/L</v>
          </cell>
          <cell r="R3042" t="str">
            <v xml:space="preserve"> </v>
          </cell>
        </row>
        <row r="3043">
          <cell r="J3043" t="str">
            <v>S/L</v>
          </cell>
          <cell r="R3043" t="str">
            <v xml:space="preserve"> </v>
          </cell>
        </row>
        <row r="3044">
          <cell r="J3044" t="str">
            <v>S/L</v>
          </cell>
          <cell r="R3044" t="str">
            <v xml:space="preserve"> </v>
          </cell>
        </row>
        <row r="3045">
          <cell r="J3045" t="str">
            <v>S/L</v>
          </cell>
          <cell r="R3045" t="str">
            <v xml:space="preserve"> </v>
          </cell>
        </row>
        <row r="3046">
          <cell r="J3046" t="str">
            <v>S/L</v>
          </cell>
          <cell r="R3046" t="str">
            <v xml:space="preserve"> </v>
          </cell>
        </row>
        <row r="3047">
          <cell r="J3047" t="str">
            <v>S/L</v>
          </cell>
          <cell r="R3047" t="str">
            <v xml:space="preserve"> </v>
          </cell>
        </row>
        <row r="3048">
          <cell r="J3048" t="str">
            <v>S/L</v>
          </cell>
          <cell r="R3048" t="str">
            <v xml:space="preserve"> </v>
          </cell>
        </row>
        <row r="3049">
          <cell r="J3049" t="str">
            <v>S/L</v>
          </cell>
          <cell r="R3049" t="str">
            <v xml:space="preserve"> </v>
          </cell>
        </row>
        <row r="3050">
          <cell r="J3050" t="str">
            <v>S/L</v>
          </cell>
          <cell r="R3050" t="str">
            <v xml:space="preserve"> </v>
          </cell>
        </row>
        <row r="3051">
          <cell r="J3051" t="str">
            <v>S/L</v>
          </cell>
          <cell r="R3051" t="str">
            <v xml:space="preserve"> </v>
          </cell>
        </row>
        <row r="3052">
          <cell r="J3052" t="str">
            <v>S/L</v>
          </cell>
          <cell r="R3052" t="str">
            <v xml:space="preserve"> </v>
          </cell>
        </row>
        <row r="3053">
          <cell r="J3053" t="str">
            <v>S/L</v>
          </cell>
          <cell r="R3053" t="str">
            <v xml:space="preserve"> </v>
          </cell>
        </row>
        <row r="3054">
          <cell r="J3054" t="str">
            <v>S/L</v>
          </cell>
          <cell r="R3054" t="str">
            <v xml:space="preserve"> </v>
          </cell>
        </row>
        <row r="3055">
          <cell r="J3055" t="str">
            <v>S/L</v>
          </cell>
          <cell r="R3055" t="str">
            <v xml:space="preserve"> </v>
          </cell>
        </row>
        <row r="3056">
          <cell r="J3056" t="str">
            <v>S/L</v>
          </cell>
          <cell r="R3056" t="str">
            <v xml:space="preserve"> </v>
          </cell>
        </row>
        <row r="3057">
          <cell r="J3057" t="str">
            <v>S/L</v>
          </cell>
          <cell r="R3057" t="str">
            <v xml:space="preserve"> </v>
          </cell>
        </row>
        <row r="3058">
          <cell r="J3058" t="str">
            <v>S/L</v>
          </cell>
          <cell r="R3058" t="str">
            <v xml:space="preserve"> </v>
          </cell>
        </row>
        <row r="3059">
          <cell r="J3059" t="str">
            <v>S/L</v>
          </cell>
          <cell r="R3059" t="str">
            <v xml:space="preserve"> </v>
          </cell>
        </row>
        <row r="3060">
          <cell r="J3060" t="str">
            <v>S/L</v>
          </cell>
          <cell r="R3060" t="str">
            <v xml:space="preserve"> </v>
          </cell>
        </row>
        <row r="3061">
          <cell r="J3061" t="str">
            <v>S/L</v>
          </cell>
          <cell r="R3061" t="str">
            <v xml:space="preserve"> </v>
          </cell>
        </row>
        <row r="3062">
          <cell r="J3062" t="str">
            <v>S/L</v>
          </cell>
          <cell r="R3062" t="str">
            <v xml:space="preserve"> </v>
          </cell>
        </row>
        <row r="3063">
          <cell r="J3063" t="str">
            <v>S/L</v>
          </cell>
          <cell r="R3063" t="str">
            <v xml:space="preserve"> </v>
          </cell>
        </row>
        <row r="3064">
          <cell r="J3064" t="str">
            <v>S/L</v>
          </cell>
          <cell r="R3064" t="str">
            <v xml:space="preserve"> </v>
          </cell>
        </row>
        <row r="3065">
          <cell r="J3065" t="str">
            <v>S/L</v>
          </cell>
          <cell r="R3065" t="str">
            <v xml:space="preserve"> </v>
          </cell>
        </row>
        <row r="3066">
          <cell r="J3066" t="str">
            <v>S/L</v>
          </cell>
          <cell r="R3066" t="str">
            <v xml:space="preserve"> </v>
          </cell>
        </row>
        <row r="3067">
          <cell r="J3067" t="str">
            <v>S/L</v>
          </cell>
          <cell r="R3067" t="str">
            <v xml:space="preserve"> </v>
          </cell>
        </row>
        <row r="3068">
          <cell r="J3068" t="str">
            <v>S/L</v>
          </cell>
          <cell r="R3068" t="str">
            <v xml:space="preserve"> </v>
          </cell>
        </row>
        <row r="3069">
          <cell r="J3069" t="str">
            <v>S/L</v>
          </cell>
          <cell r="R3069" t="str">
            <v xml:space="preserve"> </v>
          </cell>
        </row>
        <row r="3070">
          <cell r="J3070" t="str">
            <v>S/L</v>
          </cell>
          <cell r="R3070" t="str">
            <v xml:space="preserve"> </v>
          </cell>
        </row>
        <row r="3071">
          <cell r="J3071" t="str">
            <v>S/L</v>
          </cell>
          <cell r="R3071" t="str">
            <v xml:space="preserve"> </v>
          </cell>
        </row>
        <row r="3072">
          <cell r="J3072" t="str">
            <v>S/L</v>
          </cell>
          <cell r="R3072" t="str">
            <v xml:space="preserve"> </v>
          </cell>
        </row>
        <row r="3073">
          <cell r="J3073" t="str">
            <v>S/L</v>
          </cell>
          <cell r="R3073" t="str">
            <v xml:space="preserve"> </v>
          </cell>
        </row>
        <row r="3074">
          <cell r="J3074" t="str">
            <v>S/L</v>
          </cell>
          <cell r="R3074" t="str">
            <v xml:space="preserve"> </v>
          </cell>
        </row>
        <row r="3075">
          <cell r="J3075" t="str">
            <v>S/L</v>
          </cell>
          <cell r="R3075" t="str">
            <v xml:space="preserve"> </v>
          </cell>
        </row>
        <row r="3076">
          <cell r="J3076" t="str">
            <v>S/L</v>
          </cell>
          <cell r="R3076" t="str">
            <v xml:space="preserve"> </v>
          </cell>
        </row>
        <row r="3077">
          <cell r="J3077" t="str">
            <v>S/L</v>
          </cell>
          <cell r="R3077" t="str">
            <v xml:space="preserve"> </v>
          </cell>
        </row>
        <row r="3078">
          <cell r="J3078" t="str">
            <v>S/L</v>
          </cell>
          <cell r="R3078" t="str">
            <v xml:space="preserve"> </v>
          </cell>
        </row>
        <row r="3079">
          <cell r="J3079" t="str">
            <v>S/L</v>
          </cell>
          <cell r="R3079" t="str">
            <v xml:space="preserve"> </v>
          </cell>
        </row>
        <row r="3080">
          <cell r="J3080" t="str">
            <v>S/L</v>
          </cell>
          <cell r="R3080" t="str">
            <v xml:space="preserve"> </v>
          </cell>
        </row>
        <row r="3081">
          <cell r="J3081" t="str">
            <v>S/L</v>
          </cell>
          <cell r="R3081" t="str">
            <v xml:space="preserve"> </v>
          </cell>
        </row>
        <row r="3082">
          <cell r="J3082" t="str">
            <v>S/L</v>
          </cell>
          <cell r="R3082" t="str">
            <v xml:space="preserve"> </v>
          </cell>
        </row>
        <row r="3083">
          <cell r="J3083" t="str">
            <v>S/L</v>
          </cell>
          <cell r="R3083" t="str">
            <v xml:space="preserve"> </v>
          </cell>
        </row>
        <row r="3084">
          <cell r="J3084" t="str">
            <v>S/L</v>
          </cell>
          <cell r="R3084" t="str">
            <v xml:space="preserve"> </v>
          </cell>
        </row>
        <row r="3085">
          <cell r="J3085" t="str">
            <v>S/L</v>
          </cell>
          <cell r="R3085" t="str">
            <v xml:space="preserve"> </v>
          </cell>
        </row>
        <row r="3086">
          <cell r="J3086" t="str">
            <v>S/L</v>
          </cell>
          <cell r="R3086" t="str">
            <v xml:space="preserve"> </v>
          </cell>
        </row>
        <row r="3087">
          <cell r="J3087" t="str">
            <v>S/L</v>
          </cell>
          <cell r="R3087" t="str">
            <v xml:space="preserve"> </v>
          </cell>
        </row>
        <row r="3088">
          <cell r="J3088" t="str">
            <v>S/L</v>
          </cell>
          <cell r="R3088" t="str">
            <v xml:space="preserve"> </v>
          </cell>
        </row>
        <row r="3089">
          <cell r="J3089" t="str">
            <v>S/L</v>
          </cell>
          <cell r="R3089" t="str">
            <v xml:space="preserve"> </v>
          </cell>
        </row>
        <row r="3090">
          <cell r="J3090" t="str">
            <v>S/L</v>
          </cell>
          <cell r="R3090" t="str">
            <v xml:space="preserve"> </v>
          </cell>
        </row>
        <row r="3091">
          <cell r="J3091" t="str">
            <v>S/L</v>
          </cell>
          <cell r="R3091" t="str">
            <v xml:space="preserve"> </v>
          </cell>
        </row>
        <row r="3092">
          <cell r="J3092" t="str">
            <v>S/L</v>
          </cell>
          <cell r="R3092" t="str">
            <v xml:space="preserve"> </v>
          </cell>
        </row>
        <row r="3093">
          <cell r="J3093" t="str">
            <v>S/L</v>
          </cell>
          <cell r="R3093" t="str">
            <v xml:space="preserve"> </v>
          </cell>
        </row>
        <row r="3094">
          <cell r="J3094" t="str">
            <v>S/L</v>
          </cell>
          <cell r="R3094" t="str">
            <v xml:space="preserve"> </v>
          </cell>
        </row>
        <row r="3095">
          <cell r="J3095" t="str">
            <v>S/L</v>
          </cell>
          <cell r="R3095" t="str">
            <v xml:space="preserve"> </v>
          </cell>
        </row>
        <row r="3096">
          <cell r="J3096" t="str">
            <v>S/L</v>
          </cell>
          <cell r="R3096" t="str">
            <v xml:space="preserve"> </v>
          </cell>
        </row>
        <row r="3097">
          <cell r="J3097" t="str">
            <v>S/L</v>
          </cell>
          <cell r="R3097" t="str">
            <v xml:space="preserve"> </v>
          </cell>
        </row>
        <row r="3098">
          <cell r="J3098" t="str">
            <v>S/L</v>
          </cell>
          <cell r="R3098" t="str">
            <v xml:space="preserve"> </v>
          </cell>
        </row>
        <row r="3099">
          <cell r="J3099" t="str">
            <v>S/L</v>
          </cell>
          <cell r="R3099" t="str">
            <v xml:space="preserve"> </v>
          </cell>
        </row>
        <row r="3100">
          <cell r="J3100" t="str">
            <v>S/L</v>
          </cell>
          <cell r="R3100" t="str">
            <v xml:space="preserve"> </v>
          </cell>
        </row>
        <row r="3101">
          <cell r="J3101" t="str">
            <v>S/L</v>
          </cell>
          <cell r="R3101" t="str">
            <v xml:space="preserve"> </v>
          </cell>
        </row>
        <row r="3102">
          <cell r="J3102" t="str">
            <v>S/L</v>
          </cell>
          <cell r="R3102" t="str">
            <v xml:space="preserve"> </v>
          </cell>
        </row>
        <row r="3103">
          <cell r="J3103" t="str">
            <v>S/L</v>
          </cell>
          <cell r="R3103" t="str">
            <v xml:space="preserve"> </v>
          </cell>
        </row>
        <row r="3104">
          <cell r="J3104" t="str">
            <v>S/L</v>
          </cell>
          <cell r="R3104" t="str">
            <v xml:space="preserve"> </v>
          </cell>
        </row>
        <row r="3105">
          <cell r="J3105" t="str">
            <v>S/L</v>
          </cell>
          <cell r="R3105" t="str">
            <v xml:space="preserve"> </v>
          </cell>
        </row>
        <row r="3106">
          <cell r="J3106" t="str">
            <v>S/L</v>
          </cell>
          <cell r="R3106" t="str">
            <v xml:space="preserve"> </v>
          </cell>
        </row>
        <row r="3107">
          <cell r="J3107" t="str">
            <v>S/L</v>
          </cell>
          <cell r="R3107" t="str">
            <v xml:space="preserve"> </v>
          </cell>
        </row>
        <row r="3108">
          <cell r="J3108" t="str">
            <v>S/L</v>
          </cell>
          <cell r="R3108" t="str">
            <v xml:space="preserve"> </v>
          </cell>
        </row>
        <row r="3109">
          <cell r="J3109" t="str">
            <v>S/L</v>
          </cell>
          <cell r="R3109" t="str">
            <v xml:space="preserve"> </v>
          </cell>
        </row>
        <row r="3110">
          <cell r="J3110" t="str">
            <v>S/L</v>
          </cell>
          <cell r="R3110" t="str">
            <v xml:space="preserve"> </v>
          </cell>
        </row>
        <row r="3111">
          <cell r="J3111" t="str">
            <v>S/L</v>
          </cell>
          <cell r="R3111" t="str">
            <v xml:space="preserve"> </v>
          </cell>
        </row>
        <row r="3112">
          <cell r="J3112" t="str">
            <v>S/L</v>
          </cell>
          <cell r="R3112" t="str">
            <v xml:space="preserve"> </v>
          </cell>
        </row>
        <row r="3113">
          <cell r="J3113" t="str">
            <v>S/L</v>
          </cell>
          <cell r="R3113" t="str">
            <v xml:space="preserve"> </v>
          </cell>
        </row>
        <row r="3114">
          <cell r="J3114" t="str">
            <v>S/L</v>
          </cell>
          <cell r="R3114" t="str">
            <v xml:space="preserve"> </v>
          </cell>
        </row>
        <row r="3115">
          <cell r="J3115" t="str">
            <v>S/L</v>
          </cell>
          <cell r="R3115" t="str">
            <v xml:space="preserve"> </v>
          </cell>
        </row>
        <row r="3116">
          <cell r="J3116" t="str">
            <v>S/L</v>
          </cell>
          <cell r="R3116" t="str">
            <v xml:space="preserve"> </v>
          </cell>
        </row>
        <row r="3117">
          <cell r="J3117" t="str">
            <v>S/L</v>
          </cell>
          <cell r="R3117" t="str">
            <v xml:space="preserve"> </v>
          </cell>
        </row>
        <row r="3118">
          <cell r="J3118" t="str">
            <v>S/L</v>
          </cell>
          <cell r="R3118" t="str">
            <v xml:space="preserve"> </v>
          </cell>
        </row>
        <row r="3119">
          <cell r="J3119" t="str">
            <v>S/L</v>
          </cell>
          <cell r="R3119" t="str">
            <v xml:space="preserve"> </v>
          </cell>
        </row>
        <row r="3120">
          <cell r="J3120" t="str">
            <v>S/L</v>
          </cell>
          <cell r="R3120" t="str">
            <v xml:space="preserve"> </v>
          </cell>
        </row>
        <row r="3121">
          <cell r="J3121" t="str">
            <v>S/L</v>
          </cell>
          <cell r="R3121" t="str">
            <v xml:space="preserve"> </v>
          </cell>
        </row>
        <row r="3122">
          <cell r="J3122" t="str">
            <v>S/L</v>
          </cell>
          <cell r="R3122" t="str">
            <v xml:space="preserve"> </v>
          </cell>
        </row>
        <row r="3123">
          <cell r="J3123" t="str">
            <v>S/L</v>
          </cell>
          <cell r="R3123" t="str">
            <v xml:space="preserve"> </v>
          </cell>
        </row>
        <row r="3124">
          <cell r="J3124" t="str">
            <v>S/L</v>
          </cell>
          <cell r="R3124" t="str">
            <v xml:space="preserve"> </v>
          </cell>
        </row>
        <row r="3125">
          <cell r="J3125" t="str">
            <v>S/L</v>
          </cell>
          <cell r="R3125" t="str">
            <v xml:space="preserve"> </v>
          </cell>
        </row>
        <row r="3126">
          <cell r="J3126" t="str">
            <v>S/L</v>
          </cell>
          <cell r="R3126" t="str">
            <v xml:space="preserve"> </v>
          </cell>
        </row>
        <row r="3127">
          <cell r="J3127" t="str">
            <v>S/L</v>
          </cell>
          <cell r="R3127" t="str">
            <v xml:space="preserve"> </v>
          </cell>
        </row>
        <row r="3128">
          <cell r="J3128" t="str">
            <v>S/L</v>
          </cell>
          <cell r="R3128" t="str">
            <v xml:space="preserve"> </v>
          </cell>
        </row>
        <row r="3129">
          <cell r="J3129" t="str">
            <v>S/L</v>
          </cell>
          <cell r="R3129" t="str">
            <v xml:space="preserve"> </v>
          </cell>
        </row>
        <row r="3130">
          <cell r="J3130" t="str">
            <v>S/L</v>
          </cell>
          <cell r="R3130" t="str">
            <v xml:space="preserve"> </v>
          </cell>
        </row>
        <row r="3131">
          <cell r="J3131" t="str">
            <v>S/L</v>
          </cell>
          <cell r="R3131" t="str">
            <v xml:space="preserve"> </v>
          </cell>
        </row>
        <row r="3132">
          <cell r="J3132" t="str">
            <v>S/L</v>
          </cell>
          <cell r="R3132" t="str">
            <v xml:space="preserve"> </v>
          </cell>
        </row>
        <row r="3133">
          <cell r="J3133" t="str">
            <v>S/L</v>
          </cell>
          <cell r="R3133" t="str">
            <v xml:space="preserve"> </v>
          </cell>
        </row>
        <row r="3134">
          <cell r="J3134" t="str">
            <v>S/L</v>
          </cell>
          <cell r="R3134" t="str">
            <v xml:space="preserve"> </v>
          </cell>
        </row>
        <row r="3135">
          <cell r="J3135" t="str">
            <v>S/L</v>
          </cell>
          <cell r="R3135" t="str">
            <v xml:space="preserve"> </v>
          </cell>
        </row>
        <row r="3136">
          <cell r="J3136" t="str">
            <v>S/L</v>
          </cell>
          <cell r="R3136" t="str">
            <v xml:space="preserve"> </v>
          </cell>
        </row>
        <row r="3137">
          <cell r="J3137" t="str">
            <v>S/L</v>
          </cell>
          <cell r="R3137" t="str">
            <v xml:space="preserve"> </v>
          </cell>
        </row>
        <row r="3138">
          <cell r="J3138" t="str">
            <v>S/L</v>
          </cell>
          <cell r="R3138" t="str">
            <v xml:space="preserve"> </v>
          </cell>
        </row>
        <row r="3139">
          <cell r="J3139" t="str">
            <v>S/L</v>
          </cell>
          <cell r="R3139" t="str">
            <v xml:space="preserve"> </v>
          </cell>
        </row>
        <row r="3140">
          <cell r="J3140" t="str">
            <v>S/L</v>
          </cell>
          <cell r="R3140" t="str">
            <v xml:space="preserve"> </v>
          </cell>
        </row>
        <row r="3141">
          <cell r="J3141" t="str">
            <v>S/L</v>
          </cell>
          <cell r="R3141" t="str">
            <v xml:space="preserve"> </v>
          </cell>
        </row>
        <row r="3142">
          <cell r="J3142" t="str">
            <v>S/L</v>
          </cell>
          <cell r="R3142" t="str">
            <v xml:space="preserve"> </v>
          </cell>
        </row>
        <row r="3143">
          <cell r="J3143" t="str">
            <v>S/L</v>
          </cell>
          <cell r="R3143" t="str">
            <v xml:space="preserve"> </v>
          </cell>
        </row>
        <row r="3144">
          <cell r="J3144" t="str">
            <v>S/L</v>
          </cell>
          <cell r="R3144" t="str">
            <v xml:space="preserve"> </v>
          </cell>
        </row>
        <row r="3145">
          <cell r="J3145" t="str">
            <v>S/L</v>
          </cell>
          <cell r="R3145" t="str">
            <v xml:space="preserve"> </v>
          </cell>
        </row>
        <row r="3146">
          <cell r="J3146" t="str">
            <v>S/L</v>
          </cell>
          <cell r="R3146" t="str">
            <v xml:space="preserve"> </v>
          </cell>
        </row>
        <row r="3147">
          <cell r="J3147" t="str">
            <v>S/L</v>
          </cell>
          <cell r="R3147" t="str">
            <v xml:space="preserve"> </v>
          </cell>
        </row>
        <row r="3148">
          <cell r="J3148" t="str">
            <v>S/L</v>
          </cell>
          <cell r="R3148" t="str">
            <v xml:space="preserve"> </v>
          </cell>
        </row>
        <row r="3149">
          <cell r="J3149" t="str">
            <v>S/L</v>
          </cell>
          <cell r="R3149" t="str">
            <v xml:space="preserve"> </v>
          </cell>
        </row>
        <row r="3150">
          <cell r="J3150" t="str">
            <v>S/L</v>
          </cell>
          <cell r="R3150" t="str">
            <v xml:space="preserve"> </v>
          </cell>
        </row>
        <row r="3151">
          <cell r="J3151" t="str">
            <v>S/L</v>
          </cell>
          <cell r="R3151" t="str">
            <v xml:space="preserve"> </v>
          </cell>
        </row>
        <row r="3152">
          <cell r="J3152" t="str">
            <v>S/L</v>
          </cell>
          <cell r="R3152" t="str">
            <v xml:space="preserve"> </v>
          </cell>
        </row>
        <row r="3153">
          <cell r="J3153" t="str">
            <v>S/L</v>
          </cell>
          <cell r="R3153" t="str">
            <v xml:space="preserve"> </v>
          </cell>
        </row>
        <row r="3154">
          <cell r="J3154" t="str">
            <v>S/L</v>
          </cell>
          <cell r="R3154" t="str">
            <v xml:space="preserve"> </v>
          </cell>
        </row>
        <row r="3155">
          <cell r="J3155" t="str">
            <v>S/L</v>
          </cell>
          <cell r="R3155" t="str">
            <v xml:space="preserve"> </v>
          </cell>
        </row>
        <row r="3156">
          <cell r="J3156" t="str">
            <v>S/L</v>
          </cell>
          <cell r="R3156" t="str">
            <v xml:space="preserve"> </v>
          </cell>
        </row>
        <row r="3157">
          <cell r="J3157" t="str">
            <v>S/L</v>
          </cell>
          <cell r="R3157" t="str">
            <v xml:space="preserve"> </v>
          </cell>
        </row>
        <row r="3158">
          <cell r="J3158" t="str">
            <v>S/L</v>
          </cell>
          <cell r="R3158" t="str">
            <v xml:space="preserve"> </v>
          </cell>
        </row>
        <row r="3159">
          <cell r="J3159" t="str">
            <v>S/L</v>
          </cell>
          <cell r="R3159" t="str">
            <v xml:space="preserve"> </v>
          </cell>
        </row>
        <row r="3160">
          <cell r="J3160" t="str">
            <v>S/L</v>
          </cell>
          <cell r="R3160" t="str">
            <v xml:space="preserve"> </v>
          </cell>
        </row>
        <row r="3161">
          <cell r="J3161" t="str">
            <v>S/L</v>
          </cell>
          <cell r="R3161" t="str">
            <v xml:space="preserve"> </v>
          </cell>
        </row>
        <row r="3162">
          <cell r="J3162" t="str">
            <v>S/L</v>
          </cell>
          <cell r="R3162" t="str">
            <v xml:space="preserve"> </v>
          </cell>
        </row>
        <row r="3163">
          <cell r="J3163" t="str">
            <v>S/L</v>
          </cell>
          <cell r="R3163" t="str">
            <v xml:space="preserve"> </v>
          </cell>
        </row>
        <row r="3164">
          <cell r="J3164" t="str">
            <v>S/L</v>
          </cell>
          <cell r="R3164" t="str">
            <v xml:space="preserve"> </v>
          </cell>
        </row>
        <row r="3165">
          <cell r="J3165" t="str">
            <v>S/L</v>
          </cell>
          <cell r="R3165" t="str">
            <v xml:space="preserve"> </v>
          </cell>
        </row>
        <row r="3166">
          <cell r="J3166" t="str">
            <v>S/L</v>
          </cell>
          <cell r="R3166" t="str">
            <v xml:space="preserve"> </v>
          </cell>
        </row>
        <row r="3167">
          <cell r="J3167" t="str">
            <v>S/L</v>
          </cell>
          <cell r="R3167" t="str">
            <v xml:space="preserve"> </v>
          </cell>
        </row>
        <row r="3168">
          <cell r="J3168" t="str">
            <v>S/L</v>
          </cell>
          <cell r="R3168" t="str">
            <v xml:space="preserve"> </v>
          </cell>
        </row>
        <row r="3169">
          <cell r="J3169" t="str">
            <v>S/L</v>
          </cell>
          <cell r="R3169" t="str">
            <v xml:space="preserve"> </v>
          </cell>
        </row>
        <row r="3170">
          <cell r="J3170" t="str">
            <v>S/L</v>
          </cell>
          <cell r="R3170" t="str">
            <v xml:space="preserve"> </v>
          </cell>
        </row>
        <row r="3171">
          <cell r="J3171" t="str">
            <v>S/L</v>
          </cell>
          <cell r="R3171" t="str">
            <v xml:space="preserve"> </v>
          </cell>
        </row>
        <row r="3172">
          <cell r="J3172" t="str">
            <v>S/L</v>
          </cell>
          <cell r="R3172" t="str">
            <v xml:space="preserve"> </v>
          </cell>
        </row>
        <row r="3173">
          <cell r="J3173" t="str">
            <v>S/L</v>
          </cell>
          <cell r="R3173" t="str">
            <v xml:space="preserve"> </v>
          </cell>
        </row>
        <row r="3174">
          <cell r="J3174" t="str">
            <v>S/L</v>
          </cell>
          <cell r="R3174" t="str">
            <v xml:space="preserve"> </v>
          </cell>
        </row>
        <row r="3175">
          <cell r="J3175" t="str">
            <v>S/L</v>
          </cell>
          <cell r="R3175" t="str">
            <v xml:space="preserve"> </v>
          </cell>
        </row>
        <row r="3176">
          <cell r="J3176" t="str">
            <v>S/L</v>
          </cell>
          <cell r="R3176" t="str">
            <v xml:space="preserve"> </v>
          </cell>
        </row>
        <row r="3177">
          <cell r="J3177" t="str">
            <v>S/L</v>
          </cell>
          <cell r="R3177" t="str">
            <v xml:space="preserve"> </v>
          </cell>
        </row>
        <row r="3178">
          <cell r="J3178" t="str">
            <v>S/L</v>
          </cell>
          <cell r="R3178" t="str">
            <v xml:space="preserve"> </v>
          </cell>
        </row>
        <row r="3179">
          <cell r="J3179" t="str">
            <v>S/L</v>
          </cell>
          <cell r="R3179" t="str">
            <v xml:space="preserve"> </v>
          </cell>
        </row>
        <row r="3180">
          <cell r="J3180" t="str">
            <v>S/L</v>
          </cell>
          <cell r="R3180" t="str">
            <v xml:space="preserve"> </v>
          </cell>
        </row>
        <row r="3181">
          <cell r="J3181" t="str">
            <v>S/L</v>
          </cell>
          <cell r="R3181" t="str">
            <v xml:space="preserve"> </v>
          </cell>
        </row>
        <row r="3182">
          <cell r="J3182" t="str">
            <v>S/L</v>
          </cell>
          <cell r="R3182" t="str">
            <v xml:space="preserve"> </v>
          </cell>
        </row>
        <row r="3183">
          <cell r="J3183" t="str">
            <v>S/L</v>
          </cell>
          <cell r="R3183" t="str">
            <v xml:space="preserve"> </v>
          </cell>
        </row>
        <row r="3184">
          <cell r="J3184" t="str">
            <v>S/L</v>
          </cell>
          <cell r="R3184" t="str">
            <v xml:space="preserve"> </v>
          </cell>
        </row>
        <row r="3185">
          <cell r="J3185" t="str">
            <v>S/L</v>
          </cell>
          <cell r="R3185" t="str">
            <v xml:space="preserve"> </v>
          </cell>
        </row>
        <row r="3186">
          <cell r="J3186" t="str">
            <v>S/L</v>
          </cell>
          <cell r="R3186" t="str">
            <v xml:space="preserve"> </v>
          </cell>
        </row>
        <row r="3187">
          <cell r="J3187" t="str">
            <v>S/L</v>
          </cell>
          <cell r="R3187" t="str">
            <v xml:space="preserve"> </v>
          </cell>
        </row>
        <row r="3188">
          <cell r="J3188" t="str">
            <v>S/L</v>
          </cell>
          <cell r="R3188" t="str">
            <v xml:space="preserve"> </v>
          </cell>
        </row>
        <row r="3189">
          <cell r="J3189" t="str">
            <v>S/L</v>
          </cell>
          <cell r="R3189" t="str">
            <v xml:space="preserve"> </v>
          </cell>
        </row>
        <row r="3190">
          <cell r="J3190" t="str">
            <v>S/L</v>
          </cell>
          <cell r="R3190" t="str">
            <v xml:space="preserve"> </v>
          </cell>
        </row>
        <row r="3191">
          <cell r="J3191" t="str">
            <v>S/L</v>
          </cell>
          <cell r="R3191" t="str">
            <v xml:space="preserve"> </v>
          </cell>
        </row>
        <row r="3192">
          <cell r="J3192" t="str">
            <v>S/L</v>
          </cell>
          <cell r="R3192" t="str">
            <v xml:space="preserve"> </v>
          </cell>
        </row>
        <row r="3193">
          <cell r="J3193" t="str">
            <v>S/L</v>
          </cell>
          <cell r="R3193" t="str">
            <v xml:space="preserve"> </v>
          </cell>
        </row>
        <row r="3194">
          <cell r="J3194" t="str">
            <v>S/L</v>
          </cell>
          <cell r="R3194" t="str">
            <v xml:space="preserve"> </v>
          </cell>
        </row>
        <row r="3195">
          <cell r="J3195" t="str">
            <v>S/L</v>
          </cell>
          <cell r="R3195" t="str">
            <v xml:space="preserve"> </v>
          </cell>
        </row>
        <row r="3196">
          <cell r="J3196" t="str">
            <v>S/L</v>
          </cell>
          <cell r="R3196" t="str">
            <v xml:space="preserve"> </v>
          </cell>
        </row>
        <row r="3197">
          <cell r="J3197" t="str">
            <v>S/L</v>
          </cell>
          <cell r="R3197" t="str">
            <v xml:space="preserve"> </v>
          </cell>
        </row>
        <row r="3198">
          <cell r="J3198" t="str">
            <v>S/L</v>
          </cell>
          <cell r="R3198" t="str">
            <v xml:space="preserve"> </v>
          </cell>
        </row>
        <row r="3199">
          <cell r="J3199" t="str">
            <v>S/L</v>
          </cell>
          <cell r="R3199" t="str">
            <v xml:space="preserve"> </v>
          </cell>
        </row>
        <row r="3200">
          <cell r="J3200" t="str">
            <v>S/L</v>
          </cell>
          <cell r="R3200" t="str">
            <v xml:space="preserve"> </v>
          </cell>
        </row>
        <row r="3201">
          <cell r="J3201" t="str">
            <v>S/L</v>
          </cell>
          <cell r="R3201" t="str">
            <v xml:space="preserve"> </v>
          </cell>
        </row>
        <row r="3202">
          <cell r="J3202" t="str">
            <v>S/L</v>
          </cell>
          <cell r="R3202" t="str">
            <v xml:space="preserve"> </v>
          </cell>
        </row>
        <row r="3203">
          <cell r="J3203" t="str">
            <v>S/L</v>
          </cell>
          <cell r="R3203" t="str">
            <v xml:space="preserve"> </v>
          </cell>
        </row>
        <row r="3204">
          <cell r="J3204" t="str">
            <v>S/L</v>
          </cell>
          <cell r="R3204" t="str">
            <v xml:space="preserve"> </v>
          </cell>
        </row>
        <row r="3205">
          <cell r="J3205" t="str">
            <v>S/L</v>
          </cell>
          <cell r="R3205" t="str">
            <v xml:space="preserve"> </v>
          </cell>
        </row>
        <row r="3206">
          <cell r="J3206" t="str">
            <v>S/L</v>
          </cell>
          <cell r="R3206" t="str">
            <v xml:space="preserve"> </v>
          </cell>
        </row>
        <row r="3207">
          <cell r="J3207" t="str">
            <v>S/L</v>
          </cell>
          <cell r="R3207" t="str">
            <v xml:space="preserve"> </v>
          </cell>
        </row>
        <row r="3208">
          <cell r="J3208" t="str">
            <v>S/L</v>
          </cell>
          <cell r="R3208" t="str">
            <v xml:space="preserve"> </v>
          </cell>
        </row>
        <row r="3209">
          <cell r="J3209" t="str">
            <v>S/L</v>
          </cell>
          <cell r="R3209" t="str">
            <v xml:space="preserve"> </v>
          </cell>
        </row>
        <row r="3210">
          <cell r="J3210" t="str">
            <v>S/L</v>
          </cell>
          <cell r="R3210" t="str">
            <v xml:space="preserve"> </v>
          </cell>
        </row>
        <row r="3211">
          <cell r="J3211" t="str">
            <v>S/L</v>
          </cell>
          <cell r="R3211" t="str">
            <v xml:space="preserve"> </v>
          </cell>
        </row>
        <row r="3212">
          <cell r="J3212" t="str">
            <v>S/L</v>
          </cell>
          <cell r="R3212" t="str">
            <v xml:space="preserve"> </v>
          </cell>
        </row>
        <row r="3213">
          <cell r="J3213" t="str">
            <v>S/L</v>
          </cell>
          <cell r="R3213" t="str">
            <v xml:space="preserve"> </v>
          </cell>
        </row>
        <row r="3214">
          <cell r="J3214" t="str">
            <v>S/L</v>
          </cell>
          <cell r="R3214" t="str">
            <v xml:space="preserve"> </v>
          </cell>
        </row>
        <row r="3215">
          <cell r="J3215" t="str">
            <v>S/L</v>
          </cell>
          <cell r="R3215" t="str">
            <v xml:space="preserve"> </v>
          </cell>
        </row>
        <row r="3216">
          <cell r="J3216" t="str">
            <v>S/L</v>
          </cell>
          <cell r="R3216" t="str">
            <v xml:space="preserve"> </v>
          </cell>
        </row>
        <row r="3217">
          <cell r="J3217" t="str">
            <v>S/L</v>
          </cell>
          <cell r="R3217" t="str">
            <v xml:space="preserve"> </v>
          </cell>
        </row>
        <row r="3218">
          <cell r="J3218" t="str">
            <v>S/L</v>
          </cell>
          <cell r="R3218" t="str">
            <v xml:space="preserve"> </v>
          </cell>
        </row>
        <row r="3219">
          <cell r="J3219" t="str">
            <v>S/L</v>
          </cell>
          <cell r="R3219" t="str">
            <v xml:space="preserve"> </v>
          </cell>
        </row>
        <row r="3220">
          <cell r="J3220" t="str">
            <v>S/L</v>
          </cell>
          <cell r="R3220" t="str">
            <v xml:space="preserve"> </v>
          </cell>
        </row>
        <row r="3221">
          <cell r="J3221" t="str">
            <v>S/L</v>
          </cell>
          <cell r="R3221" t="str">
            <v xml:space="preserve"> </v>
          </cell>
        </row>
        <row r="3222">
          <cell r="J3222" t="str">
            <v>S/L</v>
          </cell>
          <cell r="R3222" t="str">
            <v xml:space="preserve"> </v>
          </cell>
        </row>
        <row r="3223">
          <cell r="J3223" t="str">
            <v>S/L</v>
          </cell>
          <cell r="R3223" t="str">
            <v xml:space="preserve"> </v>
          </cell>
        </row>
        <row r="3224">
          <cell r="J3224" t="str">
            <v>S/L</v>
          </cell>
          <cell r="R3224" t="str">
            <v xml:space="preserve"> </v>
          </cell>
        </row>
        <row r="3225">
          <cell r="J3225" t="str">
            <v>S/L</v>
          </cell>
          <cell r="R3225" t="str">
            <v xml:space="preserve"> </v>
          </cell>
        </row>
        <row r="3226">
          <cell r="J3226" t="str">
            <v>S/L</v>
          </cell>
          <cell r="R3226" t="str">
            <v xml:space="preserve"> </v>
          </cell>
        </row>
        <row r="3227">
          <cell r="J3227" t="str">
            <v>S/L</v>
          </cell>
          <cell r="R3227" t="str">
            <v xml:space="preserve"> </v>
          </cell>
        </row>
        <row r="3228">
          <cell r="J3228" t="str">
            <v>S/L</v>
          </cell>
          <cell r="R3228" t="str">
            <v xml:space="preserve"> </v>
          </cell>
        </row>
        <row r="3229">
          <cell r="J3229" t="str">
            <v>S/L</v>
          </cell>
          <cell r="R3229" t="str">
            <v xml:space="preserve"> </v>
          </cell>
        </row>
        <row r="3230">
          <cell r="J3230" t="str">
            <v>S/L</v>
          </cell>
          <cell r="R3230" t="str">
            <v xml:space="preserve"> </v>
          </cell>
        </row>
        <row r="3231">
          <cell r="J3231" t="str">
            <v>S/L</v>
          </cell>
          <cell r="R3231" t="str">
            <v xml:space="preserve"> </v>
          </cell>
        </row>
        <row r="3232">
          <cell r="J3232" t="str">
            <v>S/L</v>
          </cell>
          <cell r="R3232" t="str">
            <v xml:space="preserve"> </v>
          </cell>
        </row>
        <row r="3233">
          <cell r="J3233" t="str">
            <v>S/L</v>
          </cell>
          <cell r="R3233" t="str">
            <v xml:space="preserve"> </v>
          </cell>
        </row>
        <row r="3234">
          <cell r="J3234" t="str">
            <v>S/L</v>
          </cell>
          <cell r="R3234" t="str">
            <v xml:space="preserve"> </v>
          </cell>
        </row>
        <row r="3235">
          <cell r="J3235" t="str">
            <v>S/L</v>
          </cell>
          <cell r="R3235" t="str">
            <v xml:space="preserve"> </v>
          </cell>
        </row>
        <row r="3236">
          <cell r="J3236" t="str">
            <v>S/L</v>
          </cell>
          <cell r="R3236" t="str">
            <v xml:space="preserve"> </v>
          </cell>
        </row>
        <row r="3237">
          <cell r="J3237" t="str">
            <v>S/L</v>
          </cell>
          <cell r="R3237" t="str">
            <v xml:space="preserve"> </v>
          </cell>
        </row>
        <row r="3238">
          <cell r="J3238" t="str">
            <v>S/L</v>
          </cell>
          <cell r="R3238" t="str">
            <v xml:space="preserve"> </v>
          </cell>
        </row>
        <row r="3239">
          <cell r="J3239" t="str">
            <v>S/L</v>
          </cell>
          <cell r="R3239" t="str">
            <v xml:space="preserve"> </v>
          </cell>
        </row>
        <row r="3240">
          <cell r="J3240" t="str">
            <v>S/L</v>
          </cell>
          <cell r="R3240" t="str">
            <v xml:space="preserve"> </v>
          </cell>
        </row>
        <row r="3241">
          <cell r="J3241" t="str">
            <v>S/L</v>
          </cell>
          <cell r="R3241" t="str">
            <v xml:space="preserve"> </v>
          </cell>
        </row>
        <row r="3242">
          <cell r="J3242" t="str">
            <v>S/L</v>
          </cell>
          <cell r="R3242" t="str">
            <v xml:space="preserve"> </v>
          </cell>
        </row>
        <row r="3243">
          <cell r="J3243" t="str">
            <v>S/L</v>
          </cell>
          <cell r="R3243" t="str">
            <v xml:space="preserve"> </v>
          </cell>
        </row>
        <row r="3244">
          <cell r="J3244" t="str">
            <v>S/L</v>
          </cell>
          <cell r="R3244" t="str">
            <v xml:space="preserve"> </v>
          </cell>
        </row>
        <row r="3245">
          <cell r="J3245" t="str">
            <v>S/L</v>
          </cell>
          <cell r="R3245" t="str">
            <v xml:space="preserve"> </v>
          </cell>
        </row>
        <row r="3246">
          <cell r="J3246" t="str">
            <v>S/L</v>
          </cell>
          <cell r="R3246" t="str">
            <v xml:space="preserve"> </v>
          </cell>
        </row>
        <row r="3247">
          <cell r="J3247" t="str">
            <v>S/L</v>
          </cell>
          <cell r="R3247" t="str">
            <v xml:space="preserve"> </v>
          </cell>
        </row>
        <row r="3248">
          <cell r="J3248" t="str">
            <v>S/L</v>
          </cell>
          <cell r="R3248" t="str">
            <v xml:space="preserve"> </v>
          </cell>
        </row>
        <row r="3249">
          <cell r="J3249" t="str">
            <v>S/L</v>
          </cell>
          <cell r="R3249" t="str">
            <v xml:space="preserve"> </v>
          </cell>
        </row>
        <row r="3250">
          <cell r="J3250" t="str">
            <v>S/L</v>
          </cell>
          <cell r="R3250" t="str">
            <v xml:space="preserve"> </v>
          </cell>
        </row>
        <row r="3251">
          <cell r="J3251" t="str">
            <v>S/L</v>
          </cell>
          <cell r="R3251" t="str">
            <v xml:space="preserve"> </v>
          </cell>
        </row>
        <row r="3252">
          <cell r="J3252" t="str">
            <v>S/L</v>
          </cell>
          <cell r="R3252" t="str">
            <v xml:space="preserve"> </v>
          </cell>
        </row>
        <row r="3253">
          <cell r="J3253" t="str">
            <v>S/L</v>
          </cell>
          <cell r="R3253" t="str">
            <v xml:space="preserve"> </v>
          </cell>
        </row>
        <row r="3254">
          <cell r="J3254" t="str">
            <v>S/L</v>
          </cell>
          <cell r="R3254" t="str">
            <v xml:space="preserve"> </v>
          </cell>
        </row>
        <row r="3255">
          <cell r="J3255" t="str">
            <v>S/L</v>
          </cell>
          <cell r="R3255" t="str">
            <v xml:space="preserve"> </v>
          </cell>
        </row>
        <row r="3256">
          <cell r="J3256" t="str">
            <v>S/L</v>
          </cell>
          <cell r="R3256" t="str">
            <v xml:space="preserve"> </v>
          </cell>
        </row>
        <row r="3257">
          <cell r="J3257" t="str">
            <v>S/L</v>
          </cell>
          <cell r="R3257" t="str">
            <v xml:space="preserve"> </v>
          </cell>
        </row>
        <row r="3258">
          <cell r="J3258" t="str">
            <v>S/L</v>
          </cell>
          <cell r="R3258" t="str">
            <v xml:space="preserve"> </v>
          </cell>
        </row>
        <row r="3259">
          <cell r="J3259" t="str">
            <v>S/L</v>
          </cell>
          <cell r="R3259" t="str">
            <v xml:space="preserve"> </v>
          </cell>
        </row>
        <row r="3260">
          <cell r="J3260" t="str">
            <v>S/L</v>
          </cell>
          <cell r="R3260" t="str">
            <v xml:space="preserve"> </v>
          </cell>
        </row>
        <row r="3261">
          <cell r="J3261" t="str">
            <v>S/L</v>
          </cell>
          <cell r="R3261" t="str">
            <v xml:space="preserve"> </v>
          </cell>
        </row>
        <row r="3262">
          <cell r="J3262" t="str">
            <v>S/L</v>
          </cell>
          <cell r="R3262" t="str">
            <v xml:space="preserve"> </v>
          </cell>
        </row>
        <row r="3263">
          <cell r="J3263" t="str">
            <v>S/L</v>
          </cell>
          <cell r="R3263" t="str">
            <v xml:space="preserve"> </v>
          </cell>
        </row>
        <row r="3264">
          <cell r="J3264" t="str">
            <v>S/L</v>
          </cell>
          <cell r="R3264" t="str">
            <v xml:space="preserve"> </v>
          </cell>
        </row>
        <row r="3265">
          <cell r="J3265" t="str">
            <v>S/L</v>
          </cell>
          <cell r="R3265" t="str">
            <v xml:space="preserve"> </v>
          </cell>
        </row>
        <row r="3266">
          <cell r="J3266" t="str">
            <v>S/L</v>
          </cell>
          <cell r="R3266" t="str">
            <v xml:space="preserve"> </v>
          </cell>
        </row>
        <row r="3267">
          <cell r="J3267" t="str">
            <v>S/L</v>
          </cell>
          <cell r="R3267" t="str">
            <v xml:space="preserve"> </v>
          </cell>
        </row>
        <row r="3268">
          <cell r="J3268" t="str">
            <v>S/L</v>
          </cell>
          <cell r="R3268" t="str">
            <v xml:space="preserve"> </v>
          </cell>
        </row>
        <row r="3269">
          <cell r="J3269" t="str">
            <v>S/L</v>
          </cell>
          <cell r="R3269" t="str">
            <v xml:space="preserve"> </v>
          </cell>
        </row>
        <row r="3270">
          <cell r="J3270" t="str">
            <v>S/L</v>
          </cell>
          <cell r="R3270" t="str">
            <v xml:space="preserve"> </v>
          </cell>
        </row>
        <row r="3271">
          <cell r="J3271" t="str">
            <v>S/L</v>
          </cell>
          <cell r="R3271" t="str">
            <v xml:space="preserve"> </v>
          </cell>
        </row>
        <row r="3272">
          <cell r="J3272" t="str">
            <v>S/L</v>
          </cell>
          <cell r="R3272" t="str">
            <v xml:space="preserve"> </v>
          </cell>
        </row>
        <row r="3273">
          <cell r="J3273" t="str">
            <v>S/L</v>
          </cell>
          <cell r="R3273" t="str">
            <v xml:space="preserve"> </v>
          </cell>
        </row>
        <row r="3274">
          <cell r="J3274" t="str">
            <v>S/L</v>
          </cell>
          <cell r="R3274" t="str">
            <v xml:space="preserve"> </v>
          </cell>
        </row>
        <row r="3275">
          <cell r="J3275" t="str">
            <v>S/L</v>
          </cell>
          <cell r="R3275" t="str">
            <v xml:space="preserve"> </v>
          </cell>
        </row>
        <row r="3276">
          <cell r="J3276" t="str">
            <v>S/L</v>
          </cell>
          <cell r="R3276" t="str">
            <v xml:space="preserve"> </v>
          </cell>
        </row>
        <row r="3277">
          <cell r="J3277" t="str">
            <v>S/L</v>
          </cell>
          <cell r="R3277" t="str">
            <v xml:space="preserve"> </v>
          </cell>
        </row>
        <row r="3278">
          <cell r="J3278" t="str">
            <v>S/L</v>
          </cell>
          <cell r="R3278" t="str">
            <v xml:space="preserve"> </v>
          </cell>
        </row>
        <row r="3279">
          <cell r="J3279" t="str">
            <v>S/L</v>
          </cell>
          <cell r="R3279" t="str">
            <v xml:space="preserve"> </v>
          </cell>
        </row>
        <row r="3280">
          <cell r="J3280" t="str">
            <v>S/L</v>
          </cell>
          <cell r="R3280" t="str">
            <v xml:space="preserve"> </v>
          </cell>
        </row>
        <row r="3281">
          <cell r="J3281" t="str">
            <v>S/L</v>
          </cell>
          <cell r="R3281" t="str">
            <v xml:space="preserve"> </v>
          </cell>
        </row>
        <row r="3282">
          <cell r="J3282" t="str">
            <v>S/L</v>
          </cell>
          <cell r="R3282" t="str">
            <v xml:space="preserve"> </v>
          </cell>
        </row>
        <row r="3283">
          <cell r="J3283" t="str">
            <v>S/L</v>
          </cell>
          <cell r="R3283" t="str">
            <v xml:space="preserve"> </v>
          </cell>
        </row>
        <row r="3284">
          <cell r="J3284" t="str">
            <v>S/L</v>
          </cell>
          <cell r="R3284" t="str">
            <v xml:space="preserve"> </v>
          </cell>
        </row>
        <row r="3285">
          <cell r="J3285" t="str">
            <v>S/L</v>
          </cell>
          <cell r="R3285" t="str">
            <v xml:space="preserve"> </v>
          </cell>
        </row>
        <row r="3286">
          <cell r="J3286" t="str">
            <v>S/L</v>
          </cell>
          <cell r="R3286" t="str">
            <v xml:space="preserve"> </v>
          </cell>
        </row>
        <row r="3287">
          <cell r="J3287" t="str">
            <v>S/L</v>
          </cell>
          <cell r="R3287" t="str">
            <v xml:space="preserve"> </v>
          </cell>
        </row>
        <row r="3288">
          <cell r="J3288" t="str">
            <v>S/L</v>
          </cell>
          <cell r="R3288" t="str">
            <v xml:space="preserve"> </v>
          </cell>
        </row>
        <row r="3289">
          <cell r="J3289" t="str">
            <v>S/L</v>
          </cell>
          <cell r="R3289" t="str">
            <v xml:space="preserve"> </v>
          </cell>
        </row>
        <row r="3290">
          <cell r="J3290" t="str">
            <v>S/L</v>
          </cell>
          <cell r="R3290" t="str">
            <v xml:space="preserve"> </v>
          </cell>
        </row>
        <row r="3291">
          <cell r="J3291" t="str">
            <v>S/L</v>
          </cell>
          <cell r="R3291" t="str">
            <v xml:space="preserve"> </v>
          </cell>
        </row>
        <row r="3292">
          <cell r="J3292" t="str">
            <v>S/L</v>
          </cell>
          <cell r="R3292" t="str">
            <v xml:space="preserve"> </v>
          </cell>
        </row>
        <row r="3293">
          <cell r="J3293" t="str">
            <v>S/L</v>
          </cell>
          <cell r="R3293" t="str">
            <v xml:space="preserve"> </v>
          </cell>
        </row>
        <row r="3294">
          <cell r="J3294" t="str">
            <v>S/L</v>
          </cell>
          <cell r="R3294" t="str">
            <v xml:space="preserve"> </v>
          </cell>
        </row>
        <row r="3295">
          <cell r="J3295" t="str">
            <v>S/L</v>
          </cell>
          <cell r="R3295" t="str">
            <v xml:space="preserve"> </v>
          </cell>
        </row>
        <row r="3296">
          <cell r="J3296" t="str">
            <v>S/L</v>
          </cell>
          <cell r="R3296" t="str">
            <v xml:space="preserve"> </v>
          </cell>
        </row>
        <row r="3297">
          <cell r="J3297" t="str">
            <v>S/L</v>
          </cell>
          <cell r="R3297" t="str">
            <v xml:space="preserve"> </v>
          </cell>
        </row>
        <row r="3298">
          <cell r="J3298" t="str">
            <v>S/L</v>
          </cell>
          <cell r="R3298" t="str">
            <v xml:space="preserve"> </v>
          </cell>
        </row>
        <row r="3299">
          <cell r="J3299" t="str">
            <v>S/L</v>
          </cell>
          <cell r="R3299" t="str">
            <v xml:space="preserve"> </v>
          </cell>
        </row>
        <row r="3300">
          <cell r="J3300" t="str">
            <v>S/L</v>
          </cell>
          <cell r="R3300" t="str">
            <v xml:space="preserve"> </v>
          </cell>
        </row>
        <row r="3301">
          <cell r="J3301" t="str">
            <v>S/L</v>
          </cell>
          <cell r="R3301" t="str">
            <v xml:space="preserve"> </v>
          </cell>
        </row>
        <row r="3302">
          <cell r="J3302" t="str">
            <v>S/L</v>
          </cell>
          <cell r="R3302" t="str">
            <v xml:space="preserve"> </v>
          </cell>
        </row>
        <row r="3303">
          <cell r="J3303" t="str">
            <v>S/L</v>
          </cell>
          <cell r="R3303" t="str">
            <v xml:space="preserve"> </v>
          </cell>
        </row>
        <row r="3304">
          <cell r="J3304" t="str">
            <v>S/L</v>
          </cell>
          <cell r="R3304" t="str">
            <v xml:space="preserve"> </v>
          </cell>
        </row>
        <row r="3305">
          <cell r="J3305" t="str">
            <v>S/L</v>
          </cell>
          <cell r="R3305" t="str">
            <v xml:space="preserve"> </v>
          </cell>
        </row>
        <row r="3306">
          <cell r="J3306" t="str">
            <v>S/L</v>
          </cell>
          <cell r="R3306" t="str">
            <v xml:space="preserve"> </v>
          </cell>
        </row>
        <row r="3307">
          <cell r="J3307" t="str">
            <v>S/L</v>
          </cell>
          <cell r="R3307" t="str">
            <v xml:space="preserve"> </v>
          </cell>
        </row>
        <row r="3308">
          <cell r="J3308" t="str">
            <v>S/L</v>
          </cell>
          <cell r="R3308" t="str">
            <v xml:space="preserve"> </v>
          </cell>
        </row>
        <row r="3309">
          <cell r="J3309" t="str">
            <v>S/L</v>
          </cell>
          <cell r="R3309" t="str">
            <v xml:space="preserve"> </v>
          </cell>
        </row>
        <row r="3310">
          <cell r="J3310" t="str">
            <v>S/L</v>
          </cell>
          <cell r="R3310" t="str">
            <v xml:space="preserve"> </v>
          </cell>
        </row>
        <row r="3311">
          <cell r="J3311" t="str">
            <v>S/L</v>
          </cell>
          <cell r="R3311" t="str">
            <v xml:space="preserve"> </v>
          </cell>
        </row>
        <row r="3312">
          <cell r="J3312" t="str">
            <v>S/L</v>
          </cell>
          <cell r="R3312" t="str">
            <v xml:space="preserve"> </v>
          </cell>
        </row>
        <row r="3313">
          <cell r="J3313" t="str">
            <v>S/L</v>
          </cell>
          <cell r="R3313" t="str">
            <v xml:space="preserve"> </v>
          </cell>
        </row>
        <row r="3314">
          <cell r="J3314" t="str">
            <v>S/L</v>
          </cell>
          <cell r="R3314" t="str">
            <v xml:space="preserve"> </v>
          </cell>
        </row>
        <row r="3315">
          <cell r="J3315" t="str">
            <v>S/L</v>
          </cell>
          <cell r="R3315" t="str">
            <v xml:space="preserve"> </v>
          </cell>
        </row>
        <row r="3316">
          <cell r="J3316" t="str">
            <v>S/L</v>
          </cell>
          <cell r="R3316" t="str">
            <v xml:space="preserve"> </v>
          </cell>
        </row>
        <row r="3317">
          <cell r="J3317" t="str">
            <v>S/L</v>
          </cell>
          <cell r="R3317" t="str">
            <v xml:space="preserve"> </v>
          </cell>
        </row>
        <row r="3318">
          <cell r="J3318" t="str">
            <v>S/L</v>
          </cell>
          <cell r="R3318" t="str">
            <v xml:space="preserve"> </v>
          </cell>
        </row>
        <row r="3319">
          <cell r="J3319" t="str">
            <v>S/L</v>
          </cell>
          <cell r="R3319" t="str">
            <v xml:space="preserve"> </v>
          </cell>
        </row>
        <row r="3320">
          <cell r="J3320" t="str">
            <v>S/L</v>
          </cell>
          <cell r="R3320" t="str">
            <v xml:space="preserve"> </v>
          </cell>
        </row>
        <row r="3321">
          <cell r="J3321" t="str">
            <v>S/L</v>
          </cell>
          <cell r="R3321" t="str">
            <v xml:space="preserve"> </v>
          </cell>
        </row>
        <row r="3322">
          <cell r="J3322" t="str">
            <v>S/L</v>
          </cell>
          <cell r="R3322" t="str">
            <v xml:space="preserve"> </v>
          </cell>
        </row>
        <row r="3323">
          <cell r="J3323" t="str">
            <v>S/L</v>
          </cell>
          <cell r="R3323" t="str">
            <v xml:space="preserve"> </v>
          </cell>
        </row>
        <row r="3324">
          <cell r="J3324" t="str">
            <v>S/L</v>
          </cell>
          <cell r="R3324" t="str">
            <v xml:space="preserve"> </v>
          </cell>
        </row>
        <row r="3325">
          <cell r="J3325" t="str">
            <v>S/L</v>
          </cell>
          <cell r="R3325" t="str">
            <v xml:space="preserve"> </v>
          </cell>
        </row>
        <row r="3326">
          <cell r="J3326" t="str">
            <v>S/L</v>
          </cell>
          <cell r="R3326" t="str">
            <v xml:space="preserve"> </v>
          </cell>
        </row>
        <row r="3327">
          <cell r="J3327" t="str">
            <v>S/L</v>
          </cell>
          <cell r="R3327" t="str">
            <v xml:space="preserve"> </v>
          </cell>
        </row>
        <row r="3328">
          <cell r="J3328" t="str">
            <v>S/L</v>
          </cell>
          <cell r="R3328" t="str">
            <v xml:space="preserve"> </v>
          </cell>
        </row>
        <row r="3329">
          <cell r="J3329" t="str">
            <v>S/L</v>
          </cell>
          <cell r="R3329" t="str">
            <v xml:space="preserve"> </v>
          </cell>
        </row>
        <row r="3330">
          <cell r="J3330" t="str">
            <v>S/L</v>
          </cell>
          <cell r="R3330" t="str">
            <v xml:space="preserve"> </v>
          </cell>
        </row>
        <row r="3331">
          <cell r="J3331" t="str">
            <v>S/L</v>
          </cell>
          <cell r="R3331" t="str">
            <v xml:space="preserve"> </v>
          </cell>
        </row>
        <row r="3332">
          <cell r="J3332" t="str">
            <v>S/L</v>
          </cell>
          <cell r="R3332" t="str">
            <v xml:space="preserve"> </v>
          </cell>
        </row>
        <row r="3333">
          <cell r="J3333" t="str">
            <v>S/L</v>
          </cell>
          <cell r="R3333" t="str">
            <v xml:space="preserve"> </v>
          </cell>
        </row>
        <row r="3334">
          <cell r="J3334" t="str">
            <v>S/L</v>
          </cell>
          <cell r="R3334" t="str">
            <v xml:space="preserve"> </v>
          </cell>
        </row>
        <row r="3335">
          <cell r="J3335" t="str">
            <v>S/L</v>
          </cell>
          <cell r="R3335" t="str">
            <v xml:space="preserve"> </v>
          </cell>
        </row>
        <row r="3336">
          <cell r="J3336" t="str">
            <v>S/L</v>
          </cell>
          <cell r="R3336" t="str">
            <v xml:space="preserve"> </v>
          </cell>
        </row>
        <row r="3337">
          <cell r="J3337" t="str">
            <v>S/L</v>
          </cell>
          <cell r="R3337" t="str">
            <v xml:space="preserve"> </v>
          </cell>
        </row>
        <row r="3338">
          <cell r="J3338" t="str">
            <v>S/L</v>
          </cell>
          <cell r="R3338" t="str">
            <v xml:space="preserve"> </v>
          </cell>
        </row>
        <row r="3339">
          <cell r="J3339" t="str">
            <v>S/L</v>
          </cell>
          <cell r="R3339" t="str">
            <v xml:space="preserve"> </v>
          </cell>
        </row>
        <row r="3340">
          <cell r="J3340" t="str">
            <v>S/L</v>
          </cell>
          <cell r="R3340" t="str">
            <v xml:space="preserve"> </v>
          </cell>
        </row>
        <row r="3341">
          <cell r="J3341" t="str">
            <v>S/L</v>
          </cell>
          <cell r="R3341" t="str">
            <v xml:space="preserve"> </v>
          </cell>
        </row>
        <row r="3342">
          <cell r="J3342" t="str">
            <v>S/L</v>
          </cell>
          <cell r="R3342" t="str">
            <v xml:space="preserve"> </v>
          </cell>
        </row>
        <row r="3343">
          <cell r="J3343" t="str">
            <v>S/L</v>
          </cell>
          <cell r="R3343" t="str">
            <v xml:space="preserve"> </v>
          </cell>
        </row>
        <row r="3344">
          <cell r="J3344" t="str">
            <v>S/L</v>
          </cell>
          <cell r="R3344" t="str">
            <v xml:space="preserve"> </v>
          </cell>
        </row>
        <row r="3345">
          <cell r="J3345" t="str">
            <v>S/L</v>
          </cell>
          <cell r="R3345" t="str">
            <v xml:space="preserve"> </v>
          </cell>
        </row>
        <row r="3346">
          <cell r="J3346" t="str">
            <v>S/L</v>
          </cell>
          <cell r="R3346" t="str">
            <v xml:space="preserve"> </v>
          </cell>
        </row>
        <row r="3347">
          <cell r="J3347" t="str">
            <v>S/L</v>
          </cell>
          <cell r="R3347" t="str">
            <v xml:space="preserve"> </v>
          </cell>
        </row>
        <row r="3348">
          <cell r="J3348" t="str">
            <v>S/L</v>
          </cell>
          <cell r="R3348" t="str">
            <v xml:space="preserve"> </v>
          </cell>
        </row>
        <row r="3349">
          <cell r="J3349" t="str">
            <v>S/L</v>
          </cell>
          <cell r="R3349" t="str">
            <v xml:space="preserve"> </v>
          </cell>
        </row>
        <row r="3350">
          <cell r="J3350" t="str">
            <v>S/L</v>
          </cell>
          <cell r="R3350" t="str">
            <v xml:space="preserve"> </v>
          </cell>
        </row>
        <row r="3351">
          <cell r="J3351" t="str">
            <v>S/L</v>
          </cell>
          <cell r="R3351" t="str">
            <v xml:space="preserve"> </v>
          </cell>
        </row>
        <row r="3352">
          <cell r="J3352" t="str">
            <v>S/L</v>
          </cell>
          <cell r="R3352" t="str">
            <v xml:space="preserve"> </v>
          </cell>
        </row>
        <row r="3353">
          <cell r="J3353" t="str">
            <v>S/L</v>
          </cell>
          <cell r="R3353" t="str">
            <v xml:space="preserve"> </v>
          </cell>
        </row>
        <row r="3354">
          <cell r="J3354" t="str">
            <v>S/L</v>
          </cell>
          <cell r="R3354" t="str">
            <v xml:space="preserve"> </v>
          </cell>
        </row>
        <row r="3355">
          <cell r="J3355" t="str">
            <v>S/L</v>
          </cell>
          <cell r="R3355" t="str">
            <v xml:space="preserve"> </v>
          </cell>
        </row>
        <row r="3356">
          <cell r="J3356" t="str">
            <v>S/L</v>
          </cell>
          <cell r="R3356" t="str">
            <v xml:space="preserve"> </v>
          </cell>
        </row>
        <row r="3357">
          <cell r="J3357" t="str">
            <v>S/L</v>
          </cell>
          <cell r="R3357" t="str">
            <v xml:space="preserve"> </v>
          </cell>
        </row>
        <row r="3358">
          <cell r="J3358" t="str">
            <v>S/L</v>
          </cell>
          <cell r="R3358" t="str">
            <v xml:space="preserve"> </v>
          </cell>
        </row>
        <row r="3359">
          <cell r="J3359" t="str">
            <v>S/L</v>
          </cell>
          <cell r="R3359" t="str">
            <v xml:space="preserve"> </v>
          </cell>
        </row>
        <row r="3360">
          <cell r="J3360" t="str">
            <v>S/L</v>
          </cell>
          <cell r="R3360" t="str">
            <v xml:space="preserve"> </v>
          </cell>
        </row>
        <row r="3361">
          <cell r="J3361" t="str">
            <v>S/L</v>
          </cell>
          <cell r="R3361" t="str">
            <v xml:space="preserve"> </v>
          </cell>
        </row>
        <row r="3362">
          <cell r="J3362" t="str">
            <v>S/L</v>
          </cell>
          <cell r="R3362" t="str">
            <v xml:space="preserve"> </v>
          </cell>
        </row>
        <row r="3363">
          <cell r="J3363" t="str">
            <v>S/L</v>
          </cell>
          <cell r="R3363" t="str">
            <v xml:space="preserve"> </v>
          </cell>
        </row>
        <row r="3364">
          <cell r="J3364" t="str">
            <v>S/L</v>
          </cell>
          <cell r="R3364" t="str">
            <v xml:space="preserve"> </v>
          </cell>
        </row>
        <row r="3365">
          <cell r="J3365" t="str">
            <v>S/L</v>
          </cell>
          <cell r="R3365" t="str">
            <v xml:space="preserve"> </v>
          </cell>
        </row>
        <row r="3366">
          <cell r="J3366" t="str">
            <v>S/L</v>
          </cell>
          <cell r="R3366" t="str">
            <v xml:space="preserve"> </v>
          </cell>
        </row>
        <row r="3367">
          <cell r="J3367" t="str">
            <v>S/L</v>
          </cell>
          <cell r="R3367" t="str">
            <v xml:space="preserve"> </v>
          </cell>
        </row>
        <row r="3368">
          <cell r="J3368" t="str">
            <v>S/L</v>
          </cell>
          <cell r="R3368" t="str">
            <v xml:space="preserve"> </v>
          </cell>
        </row>
        <row r="3369">
          <cell r="J3369" t="str">
            <v>S/L</v>
          </cell>
          <cell r="R3369" t="str">
            <v xml:space="preserve"> </v>
          </cell>
        </row>
        <row r="3370">
          <cell r="J3370" t="str">
            <v>S/L</v>
          </cell>
          <cell r="R3370" t="str">
            <v xml:space="preserve"> </v>
          </cell>
        </row>
        <row r="3371">
          <cell r="J3371" t="str">
            <v>S/L</v>
          </cell>
          <cell r="R3371" t="str">
            <v xml:space="preserve"> </v>
          </cell>
        </row>
        <row r="3372">
          <cell r="J3372" t="str">
            <v>S/L</v>
          </cell>
          <cell r="R3372" t="str">
            <v xml:space="preserve"> </v>
          </cell>
        </row>
        <row r="3373">
          <cell r="J3373" t="str">
            <v>S/L</v>
          </cell>
          <cell r="R3373" t="str">
            <v xml:space="preserve"> </v>
          </cell>
        </row>
        <row r="3374">
          <cell r="J3374" t="str">
            <v>S/L</v>
          </cell>
          <cell r="R3374" t="str">
            <v xml:space="preserve"> </v>
          </cell>
        </row>
        <row r="3375">
          <cell r="J3375" t="str">
            <v>S/L</v>
          </cell>
          <cell r="R3375" t="str">
            <v xml:space="preserve"> </v>
          </cell>
        </row>
        <row r="3376">
          <cell r="J3376" t="str">
            <v>S/L</v>
          </cell>
          <cell r="R3376" t="str">
            <v xml:space="preserve"> </v>
          </cell>
        </row>
        <row r="3377">
          <cell r="J3377" t="str">
            <v>S/L</v>
          </cell>
          <cell r="R3377" t="str">
            <v xml:space="preserve"> </v>
          </cell>
        </row>
        <row r="3378">
          <cell r="J3378" t="str">
            <v>S/L</v>
          </cell>
          <cell r="R3378" t="str">
            <v xml:space="preserve"> </v>
          </cell>
        </row>
        <row r="3379">
          <cell r="J3379" t="str">
            <v>S/L</v>
          </cell>
          <cell r="R3379" t="str">
            <v xml:space="preserve"> </v>
          </cell>
        </row>
        <row r="3380">
          <cell r="J3380" t="str">
            <v>S/L</v>
          </cell>
          <cell r="R3380" t="str">
            <v xml:space="preserve"> </v>
          </cell>
        </row>
        <row r="3381">
          <cell r="J3381" t="str">
            <v>S/L</v>
          </cell>
          <cell r="R3381" t="str">
            <v xml:space="preserve"> </v>
          </cell>
        </row>
        <row r="3382">
          <cell r="J3382" t="str">
            <v>S/L</v>
          </cell>
          <cell r="R3382" t="str">
            <v xml:space="preserve"> </v>
          </cell>
        </row>
        <row r="3383">
          <cell r="J3383" t="str">
            <v>S/L</v>
          </cell>
          <cell r="R3383" t="str">
            <v xml:space="preserve"> </v>
          </cell>
        </row>
        <row r="3384">
          <cell r="J3384" t="str">
            <v>S/L</v>
          </cell>
          <cell r="R3384" t="str">
            <v xml:space="preserve"> </v>
          </cell>
        </row>
        <row r="3385">
          <cell r="J3385" t="str">
            <v>S/L</v>
          </cell>
          <cell r="R3385" t="str">
            <v xml:space="preserve"> </v>
          </cell>
        </row>
        <row r="3386">
          <cell r="J3386" t="str">
            <v>S/L</v>
          </cell>
          <cell r="R3386" t="str">
            <v xml:space="preserve"> </v>
          </cell>
        </row>
        <row r="3387">
          <cell r="J3387" t="str">
            <v>S/L</v>
          </cell>
          <cell r="R3387" t="str">
            <v xml:space="preserve"> </v>
          </cell>
        </row>
        <row r="3388">
          <cell r="J3388" t="str">
            <v>S/L</v>
          </cell>
          <cell r="R3388" t="str">
            <v xml:space="preserve"> </v>
          </cell>
        </row>
        <row r="3389">
          <cell r="J3389" t="str">
            <v>S/L</v>
          </cell>
          <cell r="R3389" t="str">
            <v xml:space="preserve"> </v>
          </cell>
        </row>
        <row r="3390">
          <cell r="J3390" t="str">
            <v>S/L</v>
          </cell>
          <cell r="R3390" t="str">
            <v xml:space="preserve"> </v>
          </cell>
        </row>
        <row r="3391">
          <cell r="J3391" t="str">
            <v>S/L</v>
          </cell>
          <cell r="R3391" t="str">
            <v xml:space="preserve"> </v>
          </cell>
        </row>
        <row r="3392">
          <cell r="J3392" t="str">
            <v>S/L</v>
          </cell>
          <cell r="R3392" t="str">
            <v xml:space="preserve"> </v>
          </cell>
        </row>
        <row r="3393">
          <cell r="J3393" t="str">
            <v>S/L</v>
          </cell>
          <cell r="R3393" t="str">
            <v xml:space="preserve"> </v>
          </cell>
        </row>
        <row r="3394">
          <cell r="J3394" t="str">
            <v>S/L</v>
          </cell>
          <cell r="R3394" t="str">
            <v xml:space="preserve"> </v>
          </cell>
        </row>
        <row r="3395">
          <cell r="J3395" t="str">
            <v>S/L</v>
          </cell>
          <cell r="R3395" t="str">
            <v xml:space="preserve"> </v>
          </cell>
        </row>
        <row r="3396">
          <cell r="J3396" t="str">
            <v>S/L</v>
          </cell>
          <cell r="R3396" t="str">
            <v xml:space="preserve"> </v>
          </cell>
        </row>
        <row r="3397">
          <cell r="J3397" t="str">
            <v>S/L</v>
          </cell>
          <cell r="R3397" t="str">
            <v xml:space="preserve"> </v>
          </cell>
        </row>
        <row r="3398">
          <cell r="J3398" t="str">
            <v>S/L</v>
          </cell>
          <cell r="R3398" t="str">
            <v xml:space="preserve"> </v>
          </cell>
        </row>
        <row r="3399">
          <cell r="J3399" t="str">
            <v>S/L</v>
          </cell>
          <cell r="R3399" t="str">
            <v xml:space="preserve"> </v>
          </cell>
        </row>
        <row r="3400">
          <cell r="J3400" t="str">
            <v>S/L</v>
          </cell>
          <cell r="R3400" t="str">
            <v xml:space="preserve"> </v>
          </cell>
        </row>
        <row r="3401">
          <cell r="J3401" t="str">
            <v>S/L</v>
          </cell>
          <cell r="R3401" t="str">
            <v xml:space="preserve"> </v>
          </cell>
        </row>
        <row r="3402">
          <cell r="J3402" t="str">
            <v>S/L</v>
          </cell>
          <cell r="R3402" t="str">
            <v xml:space="preserve"> </v>
          </cell>
        </row>
        <row r="3403">
          <cell r="J3403" t="str">
            <v>S/L</v>
          </cell>
          <cell r="R3403" t="str">
            <v xml:space="preserve"> </v>
          </cell>
        </row>
        <row r="3404">
          <cell r="J3404" t="str">
            <v>S/L</v>
          </cell>
          <cell r="R3404" t="str">
            <v xml:space="preserve"> </v>
          </cell>
        </row>
        <row r="3405">
          <cell r="J3405" t="str">
            <v>S/L</v>
          </cell>
          <cell r="R3405" t="str">
            <v xml:space="preserve"> </v>
          </cell>
        </row>
        <row r="3406">
          <cell r="J3406" t="str">
            <v>S/L</v>
          </cell>
          <cell r="R3406" t="str">
            <v xml:space="preserve"> </v>
          </cell>
        </row>
        <row r="3407">
          <cell r="J3407" t="str">
            <v>S/L</v>
          </cell>
          <cell r="R3407" t="str">
            <v xml:space="preserve"> </v>
          </cell>
        </row>
        <row r="3408">
          <cell r="J3408" t="str">
            <v>S/L</v>
          </cell>
          <cell r="R3408" t="str">
            <v xml:space="preserve"> </v>
          </cell>
        </row>
        <row r="3409">
          <cell r="J3409" t="str">
            <v>S/L</v>
          </cell>
          <cell r="R3409" t="str">
            <v xml:space="preserve"> </v>
          </cell>
        </row>
        <row r="3410">
          <cell r="J3410" t="str">
            <v>S/L</v>
          </cell>
          <cell r="R3410" t="str">
            <v xml:space="preserve"> </v>
          </cell>
        </row>
        <row r="3411">
          <cell r="J3411" t="str">
            <v>S/L</v>
          </cell>
          <cell r="R3411" t="str">
            <v xml:space="preserve"> </v>
          </cell>
        </row>
        <row r="3412">
          <cell r="J3412" t="str">
            <v>S/L</v>
          </cell>
          <cell r="R3412" t="str">
            <v xml:space="preserve"> </v>
          </cell>
        </row>
        <row r="3413">
          <cell r="J3413" t="str">
            <v>S/L</v>
          </cell>
          <cell r="R3413" t="str">
            <v xml:space="preserve"> </v>
          </cell>
        </row>
        <row r="3414">
          <cell r="J3414" t="str">
            <v>S/L</v>
          </cell>
          <cell r="R3414" t="str">
            <v xml:space="preserve"> </v>
          </cell>
        </row>
        <row r="3415">
          <cell r="J3415" t="str">
            <v>S/L</v>
          </cell>
          <cell r="R3415" t="str">
            <v xml:space="preserve"> </v>
          </cell>
        </row>
        <row r="3416">
          <cell r="J3416" t="str">
            <v>S/L</v>
          </cell>
          <cell r="R3416" t="str">
            <v xml:space="preserve"> </v>
          </cell>
        </row>
        <row r="3417">
          <cell r="J3417" t="str">
            <v>S/L</v>
          </cell>
          <cell r="R3417" t="str">
            <v xml:space="preserve"> </v>
          </cell>
        </row>
        <row r="3418">
          <cell r="J3418" t="str">
            <v>S/L</v>
          </cell>
          <cell r="R3418" t="str">
            <v xml:space="preserve"> </v>
          </cell>
        </row>
        <row r="3419">
          <cell r="J3419" t="str">
            <v>S/L</v>
          </cell>
          <cell r="R3419" t="str">
            <v xml:space="preserve"> </v>
          </cell>
        </row>
        <row r="3420">
          <cell r="J3420" t="str">
            <v>S/L</v>
          </cell>
          <cell r="R3420" t="str">
            <v xml:space="preserve"> </v>
          </cell>
        </row>
        <row r="3421">
          <cell r="J3421" t="str">
            <v>S/L</v>
          </cell>
          <cell r="R3421" t="str">
            <v xml:space="preserve"> </v>
          </cell>
        </row>
        <row r="3422">
          <cell r="J3422" t="str">
            <v>S/L</v>
          </cell>
          <cell r="R3422" t="str">
            <v xml:space="preserve"> </v>
          </cell>
        </row>
        <row r="3423">
          <cell r="J3423" t="str">
            <v>S/L</v>
          </cell>
          <cell r="R3423" t="str">
            <v xml:space="preserve"> </v>
          </cell>
        </row>
        <row r="3424">
          <cell r="J3424" t="str">
            <v>S/L</v>
          </cell>
          <cell r="R3424" t="str">
            <v xml:space="preserve"> </v>
          </cell>
        </row>
        <row r="3425">
          <cell r="J3425" t="str">
            <v>S/L</v>
          </cell>
          <cell r="R3425" t="str">
            <v xml:space="preserve"> </v>
          </cell>
        </row>
        <row r="3426">
          <cell r="J3426" t="str">
            <v>S/L</v>
          </cell>
          <cell r="R3426" t="str">
            <v xml:space="preserve"> </v>
          </cell>
        </row>
        <row r="3427">
          <cell r="J3427" t="str">
            <v>S/L</v>
          </cell>
          <cell r="R3427" t="str">
            <v xml:space="preserve"> </v>
          </cell>
        </row>
        <row r="3428">
          <cell r="J3428" t="str">
            <v>S/L</v>
          </cell>
          <cell r="R3428" t="str">
            <v xml:space="preserve"> </v>
          </cell>
        </row>
        <row r="3429">
          <cell r="J3429" t="str">
            <v>S/L</v>
          </cell>
          <cell r="R3429" t="str">
            <v xml:space="preserve"> </v>
          </cell>
        </row>
        <row r="3430">
          <cell r="J3430" t="str">
            <v>S/L</v>
          </cell>
          <cell r="R3430" t="str">
            <v xml:space="preserve"> </v>
          </cell>
        </row>
        <row r="3431">
          <cell r="J3431" t="str">
            <v>S/L</v>
          </cell>
          <cell r="R3431" t="str">
            <v xml:space="preserve"> </v>
          </cell>
        </row>
        <row r="3432">
          <cell r="J3432" t="str">
            <v>S/L</v>
          </cell>
          <cell r="R3432" t="str">
            <v xml:space="preserve"> </v>
          </cell>
        </row>
        <row r="3433">
          <cell r="J3433" t="str">
            <v>S/L</v>
          </cell>
          <cell r="R3433" t="str">
            <v xml:space="preserve"> </v>
          </cell>
        </row>
        <row r="3434">
          <cell r="J3434" t="str">
            <v>S/L</v>
          </cell>
          <cell r="R3434" t="str">
            <v xml:space="preserve"> </v>
          </cell>
        </row>
        <row r="3435">
          <cell r="J3435" t="str">
            <v>S/L</v>
          </cell>
          <cell r="R3435" t="str">
            <v xml:space="preserve"> </v>
          </cell>
        </row>
        <row r="3436">
          <cell r="J3436" t="str">
            <v>S/L</v>
          </cell>
          <cell r="R3436" t="str">
            <v xml:space="preserve"> </v>
          </cell>
        </row>
        <row r="3437">
          <cell r="J3437" t="str">
            <v>S/L</v>
          </cell>
          <cell r="R3437" t="str">
            <v xml:space="preserve"> </v>
          </cell>
        </row>
        <row r="3438">
          <cell r="J3438" t="str">
            <v>S/L</v>
          </cell>
          <cell r="R3438" t="str">
            <v xml:space="preserve"> </v>
          </cell>
        </row>
        <row r="3439">
          <cell r="J3439" t="str">
            <v>S/L</v>
          </cell>
          <cell r="R3439" t="str">
            <v xml:space="preserve"> </v>
          </cell>
        </row>
        <row r="3440">
          <cell r="J3440" t="str">
            <v>S/L</v>
          </cell>
          <cell r="R3440" t="str">
            <v xml:space="preserve"> </v>
          </cell>
        </row>
        <row r="3441">
          <cell r="J3441" t="str">
            <v>S/L</v>
          </cell>
          <cell r="R3441" t="str">
            <v xml:space="preserve"> </v>
          </cell>
        </row>
        <row r="3442">
          <cell r="J3442" t="str">
            <v>S/L</v>
          </cell>
          <cell r="R3442" t="str">
            <v xml:space="preserve"> </v>
          </cell>
        </row>
        <row r="3443">
          <cell r="J3443" t="str">
            <v>S/L</v>
          </cell>
          <cell r="R3443" t="str">
            <v xml:space="preserve"> </v>
          </cell>
        </row>
        <row r="3444">
          <cell r="J3444" t="str">
            <v>S/L</v>
          </cell>
          <cell r="R3444" t="str">
            <v xml:space="preserve"> </v>
          </cell>
        </row>
        <row r="3445">
          <cell r="J3445" t="str">
            <v>S/L</v>
          </cell>
          <cell r="R3445" t="str">
            <v xml:space="preserve"> </v>
          </cell>
        </row>
        <row r="3446">
          <cell r="J3446" t="str">
            <v>S/L</v>
          </cell>
          <cell r="R3446" t="str">
            <v xml:space="preserve"> </v>
          </cell>
        </row>
        <row r="3447">
          <cell r="J3447" t="str">
            <v>S/L</v>
          </cell>
          <cell r="R3447" t="str">
            <v xml:space="preserve"> </v>
          </cell>
        </row>
        <row r="3448">
          <cell r="J3448" t="str">
            <v>S/L</v>
          </cell>
          <cell r="R3448" t="str">
            <v xml:space="preserve"> </v>
          </cell>
        </row>
        <row r="3449">
          <cell r="J3449" t="str">
            <v>S/L</v>
          </cell>
          <cell r="R3449" t="str">
            <v xml:space="preserve"> </v>
          </cell>
        </row>
        <row r="3450">
          <cell r="J3450" t="str">
            <v>S/L</v>
          </cell>
          <cell r="R3450" t="str">
            <v xml:space="preserve"> </v>
          </cell>
        </row>
        <row r="3451">
          <cell r="J3451" t="str">
            <v>S/L</v>
          </cell>
          <cell r="R3451" t="str">
            <v xml:space="preserve"> </v>
          </cell>
        </row>
        <row r="3452">
          <cell r="J3452" t="str">
            <v>S/L</v>
          </cell>
          <cell r="R3452" t="str">
            <v xml:space="preserve"> </v>
          </cell>
        </row>
        <row r="3453">
          <cell r="J3453" t="str">
            <v>S/L</v>
          </cell>
          <cell r="R3453" t="str">
            <v xml:space="preserve"> </v>
          </cell>
        </row>
        <row r="3454">
          <cell r="J3454" t="str">
            <v>S/L</v>
          </cell>
          <cell r="R3454" t="str">
            <v xml:space="preserve"> </v>
          </cell>
        </row>
        <row r="3455">
          <cell r="J3455" t="str">
            <v>S/L</v>
          </cell>
          <cell r="R3455" t="str">
            <v xml:space="preserve"> </v>
          </cell>
        </row>
        <row r="3456">
          <cell r="J3456" t="str">
            <v>S/L</v>
          </cell>
          <cell r="R3456" t="str">
            <v xml:space="preserve"> </v>
          </cell>
        </row>
        <row r="3457">
          <cell r="J3457" t="str">
            <v>S/L</v>
          </cell>
          <cell r="R3457" t="str">
            <v xml:space="preserve"> </v>
          </cell>
        </row>
        <row r="3458">
          <cell r="J3458" t="str">
            <v>S/L</v>
          </cell>
          <cell r="R3458" t="str">
            <v xml:space="preserve"> </v>
          </cell>
        </row>
        <row r="3459">
          <cell r="J3459" t="str">
            <v>S/L</v>
          </cell>
          <cell r="R3459" t="str">
            <v xml:space="preserve"> </v>
          </cell>
        </row>
        <row r="3460">
          <cell r="J3460" t="str">
            <v>S/L</v>
          </cell>
          <cell r="R3460" t="str">
            <v xml:space="preserve"> </v>
          </cell>
        </row>
        <row r="3461">
          <cell r="J3461" t="str">
            <v>S/L</v>
          </cell>
          <cell r="R3461" t="str">
            <v xml:space="preserve"> </v>
          </cell>
        </row>
        <row r="3462">
          <cell r="J3462" t="str">
            <v>S/L</v>
          </cell>
          <cell r="R3462" t="str">
            <v xml:space="preserve"> </v>
          </cell>
        </row>
        <row r="3463">
          <cell r="J3463" t="str">
            <v>S/L</v>
          </cell>
          <cell r="R3463" t="str">
            <v xml:space="preserve"> </v>
          </cell>
        </row>
        <row r="3464">
          <cell r="J3464" t="str">
            <v>S/L</v>
          </cell>
          <cell r="R3464" t="str">
            <v xml:space="preserve"> </v>
          </cell>
        </row>
        <row r="3465">
          <cell r="J3465" t="str">
            <v>S/L</v>
          </cell>
          <cell r="R3465" t="str">
            <v xml:space="preserve"> </v>
          </cell>
        </row>
        <row r="3466">
          <cell r="J3466" t="str">
            <v>S/L</v>
          </cell>
          <cell r="R3466" t="str">
            <v xml:space="preserve"> </v>
          </cell>
        </row>
        <row r="3467">
          <cell r="J3467" t="str">
            <v>S/L</v>
          </cell>
          <cell r="R3467" t="str">
            <v xml:space="preserve"> </v>
          </cell>
        </row>
        <row r="3468">
          <cell r="J3468" t="str">
            <v>S/L</v>
          </cell>
          <cell r="R3468" t="str">
            <v xml:space="preserve"> </v>
          </cell>
        </row>
        <row r="3469">
          <cell r="J3469" t="str">
            <v>S/L</v>
          </cell>
          <cell r="R3469" t="str">
            <v xml:space="preserve"> </v>
          </cell>
        </row>
        <row r="3470">
          <cell r="J3470" t="str">
            <v>S/L</v>
          </cell>
          <cell r="R3470" t="str">
            <v xml:space="preserve"> </v>
          </cell>
        </row>
        <row r="3471">
          <cell r="J3471" t="str">
            <v>S/L</v>
          </cell>
          <cell r="R3471" t="str">
            <v xml:space="preserve"> </v>
          </cell>
        </row>
        <row r="3472">
          <cell r="J3472" t="str">
            <v>S/L</v>
          </cell>
          <cell r="R3472" t="str">
            <v xml:space="preserve"> </v>
          </cell>
        </row>
        <row r="3473">
          <cell r="J3473" t="str">
            <v>S/L</v>
          </cell>
          <cell r="R3473" t="str">
            <v xml:space="preserve"> </v>
          </cell>
        </row>
        <row r="3474">
          <cell r="J3474" t="str">
            <v>S/L</v>
          </cell>
          <cell r="R3474" t="str">
            <v xml:space="preserve"> </v>
          </cell>
        </row>
        <row r="3475">
          <cell r="J3475" t="str">
            <v>S/L</v>
          </cell>
          <cell r="R3475" t="str">
            <v xml:space="preserve"> </v>
          </cell>
        </row>
        <row r="3476">
          <cell r="J3476" t="str">
            <v>S/L</v>
          </cell>
          <cell r="R3476" t="str">
            <v xml:space="preserve"> </v>
          </cell>
        </row>
        <row r="3477">
          <cell r="J3477" t="str">
            <v>S/L</v>
          </cell>
          <cell r="R3477" t="str">
            <v xml:space="preserve"> </v>
          </cell>
        </row>
        <row r="3478">
          <cell r="J3478" t="str">
            <v>S/L</v>
          </cell>
          <cell r="R3478" t="str">
            <v xml:space="preserve"> </v>
          </cell>
        </row>
        <row r="3479">
          <cell r="J3479" t="str">
            <v>S/L</v>
          </cell>
          <cell r="R3479" t="str">
            <v xml:space="preserve"> </v>
          </cell>
        </row>
        <row r="3480">
          <cell r="J3480" t="str">
            <v>S/L</v>
          </cell>
          <cell r="R3480" t="str">
            <v xml:space="preserve"> </v>
          </cell>
        </row>
        <row r="3481">
          <cell r="J3481" t="str">
            <v>S/L</v>
          </cell>
          <cell r="R3481" t="str">
            <v xml:space="preserve"> </v>
          </cell>
        </row>
        <row r="3482">
          <cell r="J3482" t="str">
            <v>S/L</v>
          </cell>
          <cell r="R3482" t="str">
            <v xml:space="preserve"> </v>
          </cell>
        </row>
        <row r="3483">
          <cell r="J3483" t="str">
            <v>S/L</v>
          </cell>
          <cell r="R3483" t="str">
            <v xml:space="preserve"> </v>
          </cell>
        </row>
        <row r="3484">
          <cell r="J3484" t="str">
            <v>S/L</v>
          </cell>
          <cell r="R3484" t="str">
            <v xml:space="preserve"> </v>
          </cell>
        </row>
        <row r="3485">
          <cell r="J3485" t="str">
            <v>S/L</v>
          </cell>
          <cell r="R3485" t="str">
            <v xml:space="preserve"> </v>
          </cell>
        </row>
        <row r="3486">
          <cell r="J3486" t="str">
            <v>S/L</v>
          </cell>
          <cell r="R3486" t="str">
            <v xml:space="preserve"> </v>
          </cell>
        </row>
        <row r="3487">
          <cell r="J3487" t="str">
            <v>S/L</v>
          </cell>
          <cell r="R3487" t="str">
            <v xml:space="preserve"> </v>
          </cell>
        </row>
        <row r="3488">
          <cell r="J3488" t="str">
            <v>S/L</v>
          </cell>
          <cell r="R3488" t="str">
            <v xml:space="preserve"> </v>
          </cell>
        </row>
        <row r="3489">
          <cell r="J3489" t="str">
            <v>S/L</v>
          </cell>
          <cell r="R3489" t="str">
            <v xml:space="preserve"> </v>
          </cell>
        </row>
        <row r="3490">
          <cell r="J3490" t="str">
            <v>S/L</v>
          </cell>
          <cell r="R3490" t="str">
            <v xml:space="preserve"> </v>
          </cell>
        </row>
        <row r="3491">
          <cell r="J3491" t="str">
            <v>S/L</v>
          </cell>
          <cell r="R3491" t="str">
            <v xml:space="preserve"> </v>
          </cell>
        </row>
        <row r="3492">
          <cell r="J3492" t="str">
            <v>S/L</v>
          </cell>
          <cell r="R3492" t="str">
            <v xml:space="preserve"> </v>
          </cell>
        </row>
        <row r="3493">
          <cell r="J3493" t="str">
            <v>S/L</v>
          </cell>
          <cell r="R3493" t="str">
            <v xml:space="preserve"> </v>
          </cell>
        </row>
        <row r="3494">
          <cell r="J3494" t="str">
            <v>S/L</v>
          </cell>
          <cell r="R3494" t="str">
            <v xml:space="preserve"> </v>
          </cell>
        </row>
        <row r="3495">
          <cell r="J3495" t="str">
            <v>S/L</v>
          </cell>
          <cell r="R3495" t="str">
            <v xml:space="preserve"> </v>
          </cell>
        </row>
        <row r="3496">
          <cell r="J3496" t="str">
            <v>S/L</v>
          </cell>
          <cell r="R3496" t="str">
            <v xml:space="preserve"> </v>
          </cell>
        </row>
        <row r="3497">
          <cell r="J3497" t="str">
            <v>S/L</v>
          </cell>
          <cell r="R3497" t="str">
            <v xml:space="preserve"> </v>
          </cell>
        </row>
        <row r="3498">
          <cell r="J3498" t="str">
            <v>S/L</v>
          </cell>
          <cell r="R3498" t="str">
            <v xml:space="preserve"> </v>
          </cell>
        </row>
        <row r="3499">
          <cell r="J3499" t="str">
            <v>S/L</v>
          </cell>
          <cell r="R3499" t="str">
            <v xml:space="preserve"> </v>
          </cell>
        </row>
        <row r="3500">
          <cell r="J3500" t="str">
            <v>S/L</v>
          </cell>
          <cell r="R3500" t="str">
            <v xml:space="preserve"> </v>
          </cell>
        </row>
        <row r="3501">
          <cell r="J3501" t="str">
            <v>S/L</v>
          </cell>
          <cell r="R3501" t="str">
            <v xml:space="preserve"> </v>
          </cell>
        </row>
        <row r="3502">
          <cell r="J3502" t="str">
            <v>S/L</v>
          </cell>
          <cell r="R3502" t="str">
            <v xml:space="preserve"> </v>
          </cell>
        </row>
        <row r="3503">
          <cell r="J3503" t="str">
            <v>S/L</v>
          </cell>
          <cell r="R3503" t="str">
            <v xml:space="preserve"> </v>
          </cell>
        </row>
        <row r="3504">
          <cell r="J3504" t="str">
            <v>S/L</v>
          </cell>
          <cell r="R3504" t="str">
            <v xml:space="preserve"> </v>
          </cell>
        </row>
        <row r="3505">
          <cell r="J3505" t="str">
            <v>S/L</v>
          </cell>
          <cell r="R3505" t="str">
            <v xml:space="preserve"> </v>
          </cell>
        </row>
        <row r="3506">
          <cell r="J3506" t="str">
            <v>S/L</v>
          </cell>
          <cell r="R3506" t="str">
            <v xml:space="preserve"> </v>
          </cell>
        </row>
        <row r="3507">
          <cell r="J3507" t="str">
            <v>S/L</v>
          </cell>
          <cell r="R3507" t="str">
            <v xml:space="preserve"> </v>
          </cell>
        </row>
        <row r="3508">
          <cell r="J3508" t="str">
            <v>S/L</v>
          </cell>
          <cell r="R3508" t="str">
            <v xml:space="preserve"> </v>
          </cell>
        </row>
        <row r="3509">
          <cell r="J3509" t="str">
            <v>S/L</v>
          </cell>
          <cell r="R3509" t="str">
            <v xml:space="preserve"> </v>
          </cell>
        </row>
        <row r="3510">
          <cell r="J3510" t="str">
            <v>S/L</v>
          </cell>
          <cell r="R3510" t="str">
            <v xml:space="preserve"> </v>
          </cell>
        </row>
        <row r="3511">
          <cell r="J3511" t="str">
            <v>S/L</v>
          </cell>
          <cell r="R3511" t="str">
            <v xml:space="preserve"> </v>
          </cell>
        </row>
        <row r="3512">
          <cell r="J3512" t="str">
            <v>S/L</v>
          </cell>
          <cell r="R3512" t="str">
            <v xml:space="preserve"> </v>
          </cell>
        </row>
        <row r="3513">
          <cell r="J3513" t="str">
            <v>S/L</v>
          </cell>
          <cell r="R3513" t="str">
            <v xml:space="preserve"> </v>
          </cell>
        </row>
        <row r="3514">
          <cell r="J3514" t="str">
            <v>S/L</v>
          </cell>
          <cell r="R3514" t="str">
            <v xml:space="preserve"> </v>
          </cell>
        </row>
        <row r="3515">
          <cell r="J3515" t="str">
            <v>S/L</v>
          </cell>
          <cell r="R3515" t="str">
            <v xml:space="preserve"> </v>
          </cell>
        </row>
        <row r="3516">
          <cell r="J3516" t="str">
            <v>S/L</v>
          </cell>
          <cell r="R3516" t="str">
            <v xml:space="preserve"> </v>
          </cell>
        </row>
        <row r="3517">
          <cell r="J3517" t="str">
            <v>S/L</v>
          </cell>
          <cell r="R3517" t="str">
            <v xml:space="preserve"> </v>
          </cell>
        </row>
        <row r="3518">
          <cell r="J3518" t="str">
            <v>S/L</v>
          </cell>
          <cell r="R3518" t="str">
            <v xml:space="preserve"> </v>
          </cell>
        </row>
        <row r="3519">
          <cell r="J3519" t="str">
            <v>S/L</v>
          </cell>
          <cell r="R3519" t="str">
            <v xml:space="preserve"> </v>
          </cell>
        </row>
        <row r="3520">
          <cell r="J3520" t="str">
            <v>S/L</v>
          </cell>
          <cell r="R3520" t="str">
            <v xml:space="preserve"> </v>
          </cell>
        </row>
        <row r="3521">
          <cell r="J3521" t="str">
            <v>S/L</v>
          </cell>
          <cell r="R3521" t="str">
            <v xml:space="preserve"> </v>
          </cell>
        </row>
        <row r="3522">
          <cell r="J3522" t="str">
            <v>S/L</v>
          </cell>
          <cell r="R3522" t="str">
            <v xml:space="preserve"> </v>
          </cell>
        </row>
        <row r="3523">
          <cell r="J3523" t="str">
            <v>S/L</v>
          </cell>
          <cell r="R3523" t="str">
            <v xml:space="preserve"> </v>
          </cell>
        </row>
        <row r="3524">
          <cell r="J3524" t="str">
            <v>S/L</v>
          </cell>
          <cell r="R3524" t="str">
            <v xml:space="preserve"> </v>
          </cell>
        </row>
        <row r="3525">
          <cell r="J3525" t="str">
            <v>S/L</v>
          </cell>
          <cell r="R3525" t="str">
            <v xml:space="preserve"> </v>
          </cell>
        </row>
        <row r="3526">
          <cell r="J3526" t="str">
            <v>S/L</v>
          </cell>
          <cell r="R3526" t="str">
            <v xml:space="preserve"> </v>
          </cell>
        </row>
        <row r="3527">
          <cell r="J3527" t="str">
            <v>S/L</v>
          </cell>
          <cell r="R3527" t="str">
            <v xml:space="preserve"> </v>
          </cell>
        </row>
        <row r="3528">
          <cell r="J3528" t="str">
            <v>S/L</v>
          </cell>
          <cell r="R3528" t="str">
            <v xml:space="preserve"> </v>
          </cell>
        </row>
        <row r="3529">
          <cell r="J3529" t="str">
            <v>S/L</v>
          </cell>
          <cell r="R3529" t="str">
            <v xml:space="preserve"> </v>
          </cell>
        </row>
        <row r="3530">
          <cell r="J3530" t="str">
            <v>S/L</v>
          </cell>
          <cell r="R3530" t="str">
            <v xml:space="preserve"> </v>
          </cell>
        </row>
        <row r="3531">
          <cell r="J3531" t="str">
            <v>S/L</v>
          </cell>
          <cell r="R3531" t="str">
            <v xml:space="preserve"> </v>
          </cell>
        </row>
        <row r="3532">
          <cell r="J3532" t="str">
            <v>S/L</v>
          </cell>
          <cell r="R3532" t="str">
            <v xml:space="preserve"> </v>
          </cell>
        </row>
        <row r="3533">
          <cell r="J3533" t="str">
            <v>S/L</v>
          </cell>
          <cell r="R3533" t="str">
            <v xml:space="preserve"> </v>
          </cell>
        </row>
        <row r="3534">
          <cell r="J3534" t="str">
            <v>S/L</v>
          </cell>
          <cell r="R3534" t="str">
            <v xml:space="preserve"> </v>
          </cell>
        </row>
        <row r="3535">
          <cell r="J3535" t="str">
            <v>S/L</v>
          </cell>
          <cell r="R3535" t="str">
            <v xml:space="preserve"> </v>
          </cell>
        </row>
        <row r="3536">
          <cell r="J3536" t="str">
            <v>S/L</v>
          </cell>
          <cell r="R3536" t="str">
            <v xml:space="preserve"> </v>
          </cell>
        </row>
        <row r="3537">
          <cell r="J3537" t="str">
            <v>S/L</v>
          </cell>
          <cell r="R3537" t="str">
            <v xml:space="preserve"> </v>
          </cell>
        </row>
        <row r="3538">
          <cell r="J3538" t="str">
            <v>S/L</v>
          </cell>
          <cell r="R3538" t="str">
            <v xml:space="preserve"> </v>
          </cell>
        </row>
        <row r="3539">
          <cell r="J3539" t="str">
            <v>S/L</v>
          </cell>
          <cell r="R3539" t="str">
            <v xml:space="preserve"> </v>
          </cell>
        </row>
        <row r="3540">
          <cell r="J3540" t="str">
            <v>S/L</v>
          </cell>
          <cell r="R3540" t="str">
            <v xml:space="preserve"> </v>
          </cell>
        </row>
        <row r="3541">
          <cell r="J3541" t="str">
            <v>S/L</v>
          </cell>
          <cell r="R3541" t="str">
            <v xml:space="preserve"> </v>
          </cell>
        </row>
        <row r="3542">
          <cell r="J3542" t="str">
            <v>S/L</v>
          </cell>
          <cell r="R3542" t="str">
            <v xml:space="preserve"> </v>
          </cell>
        </row>
        <row r="3543">
          <cell r="J3543" t="str">
            <v>S/L</v>
          </cell>
          <cell r="R3543" t="str">
            <v xml:space="preserve"> </v>
          </cell>
        </row>
        <row r="3544">
          <cell r="J3544" t="str">
            <v>S/L</v>
          </cell>
          <cell r="R3544" t="str">
            <v xml:space="preserve"> </v>
          </cell>
        </row>
        <row r="3545">
          <cell r="J3545" t="str">
            <v>S/L</v>
          </cell>
          <cell r="R3545" t="str">
            <v xml:space="preserve"> </v>
          </cell>
        </row>
        <row r="3546">
          <cell r="J3546" t="str">
            <v>S/L</v>
          </cell>
          <cell r="R3546" t="str">
            <v xml:space="preserve"> </v>
          </cell>
        </row>
        <row r="3547">
          <cell r="J3547" t="str">
            <v>S/L</v>
          </cell>
          <cell r="R3547" t="str">
            <v xml:space="preserve"> </v>
          </cell>
        </row>
        <row r="3548">
          <cell r="J3548" t="str">
            <v>S/L</v>
          </cell>
          <cell r="R3548" t="str">
            <v xml:space="preserve"> </v>
          </cell>
        </row>
        <row r="3549">
          <cell r="J3549" t="str">
            <v>S/L</v>
          </cell>
          <cell r="R3549" t="str">
            <v xml:space="preserve"> </v>
          </cell>
        </row>
        <row r="3550">
          <cell r="J3550" t="str">
            <v>S/L</v>
          </cell>
          <cell r="R3550" t="str">
            <v xml:space="preserve"> </v>
          </cell>
        </row>
        <row r="3551">
          <cell r="J3551" t="str">
            <v>S/L</v>
          </cell>
          <cell r="R3551" t="str">
            <v xml:space="preserve"> </v>
          </cell>
        </row>
        <row r="3552">
          <cell r="J3552" t="str">
            <v>S/L</v>
          </cell>
          <cell r="R3552" t="str">
            <v xml:space="preserve"> </v>
          </cell>
        </row>
        <row r="3553">
          <cell r="J3553" t="str">
            <v>S/L</v>
          </cell>
          <cell r="R3553" t="str">
            <v xml:space="preserve"> </v>
          </cell>
        </row>
        <row r="3554">
          <cell r="J3554" t="str">
            <v>S/L</v>
          </cell>
          <cell r="R3554" t="str">
            <v xml:space="preserve"> </v>
          </cell>
        </row>
        <row r="3555">
          <cell r="J3555" t="str">
            <v>S/L</v>
          </cell>
          <cell r="R3555" t="str">
            <v xml:space="preserve"> </v>
          </cell>
        </row>
        <row r="3556">
          <cell r="J3556" t="str">
            <v>S/L</v>
          </cell>
          <cell r="R3556" t="str">
            <v xml:space="preserve"> </v>
          </cell>
        </row>
        <row r="3557">
          <cell r="J3557" t="str">
            <v>S/L</v>
          </cell>
          <cell r="R3557" t="str">
            <v xml:space="preserve"> </v>
          </cell>
        </row>
        <row r="3558">
          <cell r="J3558" t="str">
            <v>S/L</v>
          </cell>
          <cell r="R3558" t="str">
            <v xml:space="preserve"> </v>
          </cell>
        </row>
        <row r="3559">
          <cell r="J3559" t="str">
            <v>S/L</v>
          </cell>
          <cell r="R3559" t="str">
            <v xml:space="preserve"> </v>
          </cell>
        </row>
        <row r="3560">
          <cell r="J3560" t="str">
            <v>S/L</v>
          </cell>
          <cell r="R3560" t="str">
            <v xml:space="preserve"> </v>
          </cell>
        </row>
        <row r="3561">
          <cell r="J3561" t="str">
            <v>S/L</v>
          </cell>
          <cell r="R3561" t="str">
            <v xml:space="preserve"> </v>
          </cell>
        </row>
        <row r="3562">
          <cell r="J3562" t="str">
            <v>S/L</v>
          </cell>
          <cell r="R3562" t="str">
            <v xml:space="preserve"> </v>
          </cell>
        </row>
        <row r="3563">
          <cell r="J3563" t="str">
            <v>S/L</v>
          </cell>
          <cell r="R3563" t="str">
            <v xml:space="preserve"> </v>
          </cell>
        </row>
        <row r="3564">
          <cell r="J3564" t="str">
            <v>S/L</v>
          </cell>
          <cell r="R3564" t="str">
            <v xml:space="preserve"> </v>
          </cell>
        </row>
        <row r="3565">
          <cell r="J3565" t="str">
            <v>S/L</v>
          </cell>
          <cell r="R3565" t="str">
            <v xml:space="preserve"> </v>
          </cell>
        </row>
        <row r="3566">
          <cell r="J3566" t="str">
            <v>S/L</v>
          </cell>
          <cell r="R3566" t="str">
            <v xml:space="preserve"> </v>
          </cell>
        </row>
        <row r="3567">
          <cell r="J3567" t="str">
            <v>S/L</v>
          </cell>
          <cell r="R3567" t="str">
            <v xml:space="preserve"> </v>
          </cell>
        </row>
        <row r="3568">
          <cell r="J3568" t="str">
            <v>S/L</v>
          </cell>
          <cell r="R3568" t="str">
            <v xml:space="preserve"> </v>
          </cell>
        </row>
        <row r="3569">
          <cell r="J3569" t="str">
            <v>S/L</v>
          </cell>
          <cell r="R3569" t="str">
            <v xml:space="preserve"> </v>
          </cell>
        </row>
        <row r="3570">
          <cell r="J3570" t="str">
            <v>S/L</v>
          </cell>
          <cell r="R3570" t="str">
            <v xml:space="preserve"> </v>
          </cell>
        </row>
        <row r="3571">
          <cell r="J3571" t="str">
            <v>S/L</v>
          </cell>
          <cell r="R3571" t="str">
            <v xml:space="preserve"> </v>
          </cell>
        </row>
        <row r="3572">
          <cell r="J3572" t="str">
            <v>S/L</v>
          </cell>
          <cell r="R3572" t="str">
            <v xml:space="preserve"> </v>
          </cell>
        </row>
        <row r="3573">
          <cell r="J3573" t="str">
            <v>S/L</v>
          </cell>
          <cell r="R3573" t="str">
            <v xml:space="preserve"> </v>
          </cell>
        </row>
        <row r="3574">
          <cell r="J3574" t="str">
            <v>S/L</v>
          </cell>
          <cell r="R3574" t="str">
            <v xml:space="preserve"> </v>
          </cell>
        </row>
        <row r="3575">
          <cell r="J3575" t="str">
            <v>S/L</v>
          </cell>
          <cell r="R3575" t="str">
            <v xml:space="preserve"> </v>
          </cell>
        </row>
        <row r="3576">
          <cell r="J3576" t="str">
            <v>S/L</v>
          </cell>
          <cell r="R3576" t="str">
            <v xml:space="preserve"> </v>
          </cell>
        </row>
        <row r="3577">
          <cell r="J3577" t="str">
            <v>S/L</v>
          </cell>
          <cell r="R3577" t="str">
            <v xml:space="preserve"> </v>
          </cell>
        </row>
        <row r="3578">
          <cell r="J3578" t="str">
            <v>S/L</v>
          </cell>
          <cell r="R3578" t="str">
            <v xml:space="preserve"> </v>
          </cell>
        </row>
        <row r="3579">
          <cell r="J3579" t="str">
            <v>S/L</v>
          </cell>
          <cell r="R3579" t="str">
            <v xml:space="preserve"> </v>
          </cell>
        </row>
        <row r="3580">
          <cell r="J3580" t="str">
            <v>S/L</v>
          </cell>
          <cell r="R3580" t="str">
            <v xml:space="preserve"> </v>
          </cell>
        </row>
        <row r="3581">
          <cell r="J3581" t="str">
            <v>S/L</v>
          </cell>
          <cell r="R3581" t="str">
            <v xml:space="preserve"> </v>
          </cell>
        </row>
        <row r="3582">
          <cell r="J3582" t="str">
            <v>S/L</v>
          </cell>
          <cell r="R3582" t="str">
            <v xml:space="preserve"> </v>
          </cell>
        </row>
        <row r="3583">
          <cell r="J3583" t="str">
            <v>S/L</v>
          </cell>
          <cell r="R3583" t="str">
            <v xml:space="preserve"> </v>
          </cell>
        </row>
        <row r="3584">
          <cell r="J3584" t="str">
            <v>S/L</v>
          </cell>
          <cell r="R3584" t="str">
            <v xml:space="preserve"> </v>
          </cell>
        </row>
        <row r="3585">
          <cell r="J3585" t="str">
            <v>S/L</v>
          </cell>
          <cell r="R3585" t="str">
            <v xml:space="preserve"> </v>
          </cell>
        </row>
        <row r="3586">
          <cell r="J3586" t="str">
            <v>S/L</v>
          </cell>
          <cell r="R3586" t="str">
            <v xml:space="preserve"> </v>
          </cell>
        </row>
        <row r="3587">
          <cell r="J3587" t="str">
            <v>S/L</v>
          </cell>
          <cell r="R3587" t="str">
            <v xml:space="preserve"> </v>
          </cell>
        </row>
        <row r="3588">
          <cell r="J3588" t="str">
            <v>S/L</v>
          </cell>
          <cell r="R3588" t="str">
            <v xml:space="preserve"> </v>
          </cell>
        </row>
        <row r="3589">
          <cell r="J3589" t="str">
            <v>S/L</v>
          </cell>
          <cell r="R3589" t="str">
            <v xml:space="preserve"> </v>
          </cell>
        </row>
        <row r="3590">
          <cell r="J3590" t="str">
            <v>S/L</v>
          </cell>
          <cell r="R3590" t="str">
            <v xml:space="preserve"> </v>
          </cell>
        </row>
        <row r="3591">
          <cell r="J3591" t="str">
            <v>S/L</v>
          </cell>
          <cell r="R3591" t="str">
            <v xml:space="preserve"> </v>
          </cell>
        </row>
        <row r="3592">
          <cell r="J3592" t="str">
            <v>S/L</v>
          </cell>
          <cell r="R3592" t="str">
            <v xml:space="preserve"> </v>
          </cell>
        </row>
        <row r="3593">
          <cell r="J3593" t="str">
            <v>S/L</v>
          </cell>
          <cell r="R3593" t="str">
            <v xml:space="preserve"> </v>
          </cell>
        </row>
        <row r="3594">
          <cell r="J3594" t="str">
            <v>S/L</v>
          </cell>
          <cell r="R3594" t="str">
            <v xml:space="preserve"> </v>
          </cell>
        </row>
        <row r="3595">
          <cell r="J3595" t="str">
            <v>S/L</v>
          </cell>
          <cell r="R3595" t="str">
            <v xml:space="preserve"> </v>
          </cell>
        </row>
        <row r="3596">
          <cell r="J3596" t="str">
            <v>S/L</v>
          </cell>
          <cell r="R3596" t="str">
            <v xml:space="preserve"> </v>
          </cell>
        </row>
        <row r="3597">
          <cell r="J3597" t="str">
            <v>S/L</v>
          </cell>
          <cell r="R3597" t="str">
            <v xml:space="preserve"> </v>
          </cell>
        </row>
        <row r="3598">
          <cell r="J3598" t="str">
            <v>S/L</v>
          </cell>
          <cell r="R3598" t="str">
            <v xml:space="preserve"> </v>
          </cell>
        </row>
        <row r="3599">
          <cell r="J3599" t="str">
            <v>S/L</v>
          </cell>
          <cell r="R3599" t="str">
            <v xml:space="preserve"> </v>
          </cell>
        </row>
        <row r="3600">
          <cell r="J3600" t="str">
            <v>S/L</v>
          </cell>
          <cell r="R3600" t="str">
            <v xml:space="preserve"> </v>
          </cell>
        </row>
        <row r="3601">
          <cell r="J3601" t="str">
            <v>S/L</v>
          </cell>
          <cell r="R3601" t="str">
            <v xml:space="preserve"> </v>
          </cell>
        </row>
        <row r="3602">
          <cell r="J3602" t="str">
            <v>S/L</v>
          </cell>
          <cell r="R3602" t="str">
            <v xml:space="preserve"> </v>
          </cell>
        </row>
        <row r="3603">
          <cell r="J3603" t="str">
            <v>S/L</v>
          </cell>
          <cell r="R3603" t="str">
            <v xml:space="preserve"> </v>
          </cell>
        </row>
        <row r="3604">
          <cell r="J3604" t="str">
            <v>S/L</v>
          </cell>
          <cell r="R3604" t="str">
            <v xml:space="preserve"> </v>
          </cell>
        </row>
        <row r="3605">
          <cell r="J3605" t="str">
            <v>S/L</v>
          </cell>
          <cell r="R3605" t="str">
            <v xml:space="preserve"> </v>
          </cell>
        </row>
        <row r="3606">
          <cell r="J3606" t="str">
            <v>S/L</v>
          </cell>
          <cell r="R3606" t="str">
            <v xml:space="preserve"> </v>
          </cell>
        </row>
        <row r="3607">
          <cell r="J3607" t="str">
            <v>S/L</v>
          </cell>
          <cell r="R3607" t="str">
            <v xml:space="preserve"> </v>
          </cell>
        </row>
        <row r="3608">
          <cell r="J3608" t="str">
            <v>S/L</v>
          </cell>
          <cell r="R3608" t="str">
            <v xml:space="preserve"> </v>
          </cell>
        </row>
        <row r="3609">
          <cell r="J3609" t="str">
            <v>S/L</v>
          </cell>
          <cell r="R3609" t="str">
            <v xml:space="preserve"> </v>
          </cell>
        </row>
        <row r="3610">
          <cell r="J3610" t="str">
            <v>S/L</v>
          </cell>
          <cell r="R3610" t="str">
            <v xml:space="preserve"> </v>
          </cell>
        </row>
        <row r="3611">
          <cell r="J3611" t="str">
            <v>S/L</v>
          </cell>
          <cell r="R3611" t="str">
            <v xml:space="preserve"> </v>
          </cell>
        </row>
        <row r="3612">
          <cell r="J3612" t="str">
            <v>S/L</v>
          </cell>
          <cell r="R3612" t="str">
            <v xml:space="preserve"> </v>
          </cell>
        </row>
        <row r="3613">
          <cell r="J3613" t="str">
            <v>S/L</v>
          </cell>
          <cell r="R3613" t="str">
            <v xml:space="preserve"> </v>
          </cell>
        </row>
        <row r="3614">
          <cell r="J3614" t="str">
            <v>S/L</v>
          </cell>
          <cell r="R3614" t="str">
            <v xml:space="preserve"> </v>
          </cell>
        </row>
        <row r="3615">
          <cell r="J3615" t="str">
            <v>S/L</v>
          </cell>
          <cell r="R3615" t="str">
            <v xml:space="preserve"> </v>
          </cell>
        </row>
        <row r="3616">
          <cell r="J3616" t="str">
            <v>S/L</v>
          </cell>
          <cell r="R3616" t="str">
            <v xml:space="preserve"> </v>
          </cell>
        </row>
        <row r="3617">
          <cell r="J3617" t="str">
            <v>S/L</v>
          </cell>
          <cell r="R3617" t="str">
            <v xml:space="preserve"> </v>
          </cell>
        </row>
        <row r="3618">
          <cell r="J3618" t="str">
            <v>S/L</v>
          </cell>
          <cell r="R3618" t="str">
            <v xml:space="preserve"> </v>
          </cell>
        </row>
        <row r="3619">
          <cell r="J3619" t="str">
            <v>S/L</v>
          </cell>
          <cell r="R3619" t="str">
            <v xml:space="preserve"> </v>
          </cell>
        </row>
        <row r="3620">
          <cell r="J3620" t="str">
            <v>S/L</v>
          </cell>
          <cell r="R3620" t="str">
            <v xml:space="preserve"> </v>
          </cell>
        </row>
        <row r="3621">
          <cell r="J3621" t="str">
            <v>S/L</v>
          </cell>
          <cell r="R3621" t="str">
            <v xml:space="preserve"> </v>
          </cell>
        </row>
        <row r="3622">
          <cell r="J3622" t="str">
            <v>S/L</v>
          </cell>
          <cell r="R3622" t="str">
            <v xml:space="preserve"> </v>
          </cell>
        </row>
        <row r="3623">
          <cell r="J3623" t="str">
            <v>S/L</v>
          </cell>
          <cell r="R3623" t="str">
            <v xml:space="preserve"> </v>
          </cell>
        </row>
        <row r="3624">
          <cell r="J3624" t="str">
            <v>S/L</v>
          </cell>
          <cell r="R3624" t="str">
            <v xml:space="preserve"> </v>
          </cell>
        </row>
        <row r="3625">
          <cell r="J3625" t="str">
            <v>S/L</v>
          </cell>
          <cell r="R3625" t="str">
            <v xml:space="preserve"> </v>
          </cell>
        </row>
        <row r="3626">
          <cell r="J3626" t="str">
            <v>S/L</v>
          </cell>
          <cell r="R3626" t="str">
            <v xml:space="preserve"> </v>
          </cell>
        </row>
        <row r="3627">
          <cell r="J3627" t="str">
            <v>S/L</v>
          </cell>
          <cell r="R3627" t="str">
            <v xml:space="preserve"> </v>
          </cell>
        </row>
        <row r="3628">
          <cell r="J3628" t="str">
            <v>S/L</v>
          </cell>
          <cell r="R3628" t="str">
            <v xml:space="preserve"> </v>
          </cell>
        </row>
        <row r="3629">
          <cell r="J3629" t="str">
            <v>S/L</v>
          </cell>
          <cell r="R3629" t="str">
            <v xml:space="preserve"> </v>
          </cell>
        </row>
        <row r="3630">
          <cell r="J3630" t="str">
            <v>S/L</v>
          </cell>
          <cell r="R3630" t="str">
            <v xml:space="preserve"> </v>
          </cell>
        </row>
        <row r="3631">
          <cell r="J3631" t="str">
            <v>S/L</v>
          </cell>
          <cell r="R3631" t="str">
            <v xml:space="preserve"> </v>
          </cell>
        </row>
        <row r="3632">
          <cell r="J3632" t="str">
            <v>S/L</v>
          </cell>
          <cell r="R3632" t="str">
            <v xml:space="preserve"> </v>
          </cell>
        </row>
        <row r="3633">
          <cell r="J3633" t="str">
            <v>S/L</v>
          </cell>
          <cell r="R3633" t="str">
            <v xml:space="preserve"> </v>
          </cell>
        </row>
        <row r="3634">
          <cell r="J3634" t="str">
            <v>S/L</v>
          </cell>
          <cell r="R3634" t="str">
            <v xml:space="preserve"> </v>
          </cell>
        </row>
        <row r="3635">
          <cell r="J3635" t="str">
            <v>S/L</v>
          </cell>
          <cell r="R3635" t="str">
            <v xml:space="preserve"> </v>
          </cell>
        </row>
        <row r="3636">
          <cell r="J3636" t="str">
            <v>S/L</v>
          </cell>
          <cell r="R3636" t="str">
            <v xml:space="preserve"> </v>
          </cell>
        </row>
        <row r="3637">
          <cell r="J3637" t="str">
            <v>S/L</v>
          </cell>
          <cell r="R3637" t="str">
            <v xml:space="preserve"> </v>
          </cell>
        </row>
        <row r="3638">
          <cell r="J3638" t="str">
            <v>S/L</v>
          </cell>
          <cell r="R3638" t="str">
            <v xml:space="preserve"> </v>
          </cell>
        </row>
        <row r="3639">
          <cell r="J3639" t="str">
            <v>S/L</v>
          </cell>
          <cell r="R3639" t="str">
            <v xml:space="preserve"> </v>
          </cell>
        </row>
        <row r="3640">
          <cell r="J3640" t="str">
            <v>S/L</v>
          </cell>
          <cell r="R3640" t="str">
            <v xml:space="preserve"> </v>
          </cell>
        </row>
        <row r="3641">
          <cell r="J3641" t="str">
            <v>S/L</v>
          </cell>
          <cell r="R3641" t="str">
            <v xml:space="preserve"> </v>
          </cell>
        </row>
        <row r="3642">
          <cell r="J3642" t="str">
            <v>S/L</v>
          </cell>
          <cell r="R3642" t="str">
            <v xml:space="preserve"> </v>
          </cell>
        </row>
        <row r="3643">
          <cell r="J3643" t="str">
            <v>S/L</v>
          </cell>
          <cell r="R3643" t="str">
            <v xml:space="preserve"> </v>
          </cell>
        </row>
        <row r="3644">
          <cell r="J3644" t="str">
            <v>S/L</v>
          </cell>
          <cell r="R3644" t="str">
            <v xml:space="preserve"> </v>
          </cell>
        </row>
        <row r="3645">
          <cell r="J3645" t="str">
            <v>S/L</v>
          </cell>
          <cell r="R3645" t="str">
            <v xml:space="preserve"> </v>
          </cell>
        </row>
        <row r="3646">
          <cell r="J3646" t="str">
            <v>S/L</v>
          </cell>
          <cell r="R3646" t="str">
            <v xml:space="preserve"> </v>
          </cell>
        </row>
        <row r="3647">
          <cell r="J3647" t="str">
            <v>S/L</v>
          </cell>
          <cell r="R3647" t="str">
            <v xml:space="preserve"> </v>
          </cell>
        </row>
        <row r="3648">
          <cell r="J3648" t="str">
            <v>S/L</v>
          </cell>
          <cell r="R3648" t="str">
            <v xml:space="preserve"> </v>
          </cell>
        </row>
        <row r="3649">
          <cell r="J3649" t="str">
            <v>S/L</v>
          </cell>
          <cell r="R3649" t="str">
            <v xml:space="preserve"> </v>
          </cell>
        </row>
        <row r="3650">
          <cell r="J3650" t="str">
            <v>S/L</v>
          </cell>
          <cell r="R3650" t="str">
            <v xml:space="preserve"> </v>
          </cell>
        </row>
        <row r="3651">
          <cell r="J3651" t="str">
            <v>S/L</v>
          </cell>
          <cell r="R3651" t="str">
            <v xml:space="preserve"> </v>
          </cell>
        </row>
        <row r="3652">
          <cell r="J3652" t="str">
            <v>S/L</v>
          </cell>
          <cell r="R3652" t="str">
            <v xml:space="preserve"> </v>
          </cell>
        </row>
        <row r="3653">
          <cell r="J3653" t="str">
            <v>S/L</v>
          </cell>
          <cell r="R3653" t="str">
            <v xml:space="preserve"> </v>
          </cell>
        </row>
        <row r="3654">
          <cell r="J3654" t="str">
            <v>S/L</v>
          </cell>
          <cell r="R3654" t="str">
            <v xml:space="preserve"> </v>
          </cell>
        </row>
        <row r="3655">
          <cell r="J3655" t="str">
            <v>S/L</v>
          </cell>
          <cell r="R3655" t="str">
            <v xml:space="preserve"> </v>
          </cell>
        </row>
        <row r="3656">
          <cell r="J3656" t="str">
            <v>S/L</v>
          </cell>
          <cell r="R3656" t="str">
            <v xml:space="preserve"> </v>
          </cell>
        </row>
        <row r="3657">
          <cell r="J3657" t="str">
            <v>S/L</v>
          </cell>
          <cell r="R3657" t="str">
            <v xml:space="preserve"> </v>
          </cell>
        </row>
        <row r="3658">
          <cell r="J3658" t="str">
            <v>S/L</v>
          </cell>
          <cell r="R3658" t="str">
            <v xml:space="preserve"> </v>
          </cell>
        </row>
        <row r="3659">
          <cell r="J3659" t="str">
            <v>S/L</v>
          </cell>
          <cell r="R3659" t="str">
            <v xml:space="preserve"> </v>
          </cell>
        </row>
        <row r="3660">
          <cell r="J3660" t="str">
            <v>S/L</v>
          </cell>
          <cell r="R3660" t="str">
            <v xml:space="preserve"> </v>
          </cell>
        </row>
        <row r="3661">
          <cell r="J3661" t="str">
            <v>S/L</v>
          </cell>
          <cell r="R3661" t="str">
            <v xml:space="preserve"> </v>
          </cell>
        </row>
        <row r="3662">
          <cell r="J3662" t="str">
            <v>S/L</v>
          </cell>
          <cell r="R3662" t="str">
            <v xml:space="preserve"> </v>
          </cell>
        </row>
        <row r="3663">
          <cell r="J3663" t="str">
            <v>S/L</v>
          </cell>
          <cell r="R3663" t="str">
            <v xml:space="preserve"> </v>
          </cell>
        </row>
        <row r="3664">
          <cell r="J3664" t="str">
            <v>S/L</v>
          </cell>
          <cell r="R3664" t="str">
            <v xml:space="preserve"> </v>
          </cell>
        </row>
        <row r="3665">
          <cell r="J3665" t="str">
            <v>S/L</v>
          </cell>
          <cell r="R3665" t="str">
            <v xml:space="preserve"> </v>
          </cell>
        </row>
        <row r="3666">
          <cell r="J3666" t="str">
            <v>S/L</v>
          </cell>
          <cell r="R3666" t="str">
            <v xml:space="preserve"> </v>
          </cell>
        </row>
        <row r="3667">
          <cell r="J3667" t="str">
            <v>S/L</v>
          </cell>
          <cell r="R3667" t="str">
            <v xml:space="preserve"> </v>
          </cell>
        </row>
        <row r="3668">
          <cell r="J3668" t="str">
            <v>S/L</v>
          </cell>
          <cell r="R3668" t="str">
            <v xml:space="preserve"> </v>
          </cell>
        </row>
        <row r="3669">
          <cell r="J3669" t="str">
            <v>S/L</v>
          </cell>
          <cell r="R3669" t="str">
            <v xml:space="preserve"> </v>
          </cell>
        </row>
        <row r="3670">
          <cell r="J3670" t="str">
            <v>S/L</v>
          </cell>
          <cell r="R3670" t="str">
            <v xml:space="preserve"> </v>
          </cell>
        </row>
        <row r="3671">
          <cell r="J3671" t="str">
            <v>S/L</v>
          </cell>
          <cell r="R3671" t="str">
            <v xml:space="preserve"> </v>
          </cell>
        </row>
        <row r="3672">
          <cell r="J3672" t="str">
            <v>S/L</v>
          </cell>
          <cell r="R3672" t="str">
            <v xml:space="preserve"> </v>
          </cell>
        </row>
        <row r="3673">
          <cell r="J3673" t="str">
            <v>S/L</v>
          </cell>
          <cell r="R3673" t="str">
            <v xml:space="preserve"> </v>
          </cell>
        </row>
        <row r="3674">
          <cell r="J3674" t="str">
            <v>S/L</v>
          </cell>
          <cell r="R3674" t="str">
            <v xml:space="preserve"> </v>
          </cell>
        </row>
        <row r="3675">
          <cell r="J3675" t="str">
            <v>S/L</v>
          </cell>
          <cell r="R3675" t="str">
            <v xml:space="preserve"> </v>
          </cell>
        </row>
        <row r="3676">
          <cell r="J3676" t="str">
            <v>S/L</v>
          </cell>
          <cell r="R3676" t="str">
            <v xml:space="preserve"> </v>
          </cell>
        </row>
        <row r="3677">
          <cell r="J3677" t="str">
            <v>S/L</v>
          </cell>
          <cell r="R3677" t="str">
            <v xml:space="preserve"> </v>
          </cell>
        </row>
        <row r="3678">
          <cell r="J3678" t="str">
            <v>S/L</v>
          </cell>
          <cell r="R3678" t="str">
            <v xml:space="preserve"> </v>
          </cell>
        </row>
        <row r="3679">
          <cell r="J3679" t="str">
            <v>S/L</v>
          </cell>
          <cell r="R3679" t="str">
            <v xml:space="preserve"> </v>
          </cell>
        </row>
        <row r="3680">
          <cell r="J3680" t="str">
            <v>S/L</v>
          </cell>
          <cell r="R3680" t="str">
            <v xml:space="preserve"> </v>
          </cell>
        </row>
        <row r="3681">
          <cell r="J3681" t="str">
            <v>S/L</v>
          </cell>
          <cell r="R3681" t="str">
            <v xml:space="preserve"> </v>
          </cell>
        </row>
        <row r="3682">
          <cell r="J3682" t="str">
            <v>S/L</v>
          </cell>
          <cell r="R3682" t="str">
            <v xml:space="preserve"> </v>
          </cell>
        </row>
        <row r="3683">
          <cell r="J3683" t="str">
            <v>S/L</v>
          </cell>
          <cell r="R3683" t="str">
            <v xml:space="preserve"> </v>
          </cell>
        </row>
        <row r="3684">
          <cell r="J3684" t="str">
            <v>S/L</v>
          </cell>
          <cell r="R3684" t="str">
            <v xml:space="preserve"> </v>
          </cell>
        </row>
        <row r="3685">
          <cell r="J3685" t="str">
            <v>S/L</v>
          </cell>
          <cell r="R3685" t="str">
            <v xml:space="preserve"> </v>
          </cell>
        </row>
        <row r="3686">
          <cell r="J3686" t="str">
            <v>S/L</v>
          </cell>
          <cell r="R3686" t="str">
            <v xml:space="preserve"> </v>
          </cell>
        </row>
        <row r="3687">
          <cell r="J3687" t="str">
            <v>S/L</v>
          </cell>
          <cell r="R3687" t="str">
            <v xml:space="preserve"> </v>
          </cell>
        </row>
        <row r="3688">
          <cell r="J3688" t="str">
            <v>S/L</v>
          </cell>
          <cell r="R3688" t="str">
            <v xml:space="preserve"> </v>
          </cell>
        </row>
        <row r="3689">
          <cell r="J3689" t="str">
            <v>S/L</v>
          </cell>
          <cell r="R3689" t="str">
            <v xml:space="preserve"> </v>
          </cell>
        </row>
        <row r="3690">
          <cell r="J3690" t="str">
            <v>S/L</v>
          </cell>
          <cell r="R3690" t="str">
            <v xml:space="preserve"> </v>
          </cell>
        </row>
        <row r="3691">
          <cell r="J3691" t="str">
            <v>S/L</v>
          </cell>
          <cell r="R3691" t="str">
            <v xml:space="preserve"> </v>
          </cell>
        </row>
        <row r="3692">
          <cell r="J3692" t="str">
            <v>S/L</v>
          </cell>
          <cell r="R3692" t="str">
            <v xml:space="preserve"> </v>
          </cell>
        </row>
        <row r="3693">
          <cell r="J3693" t="str">
            <v>S/L</v>
          </cell>
          <cell r="R3693" t="str">
            <v xml:space="preserve"> </v>
          </cell>
        </row>
        <row r="3694">
          <cell r="J3694" t="str">
            <v>S/L</v>
          </cell>
          <cell r="R3694" t="str">
            <v xml:space="preserve"> </v>
          </cell>
        </row>
        <row r="3695">
          <cell r="J3695" t="str">
            <v>S/L</v>
          </cell>
          <cell r="R3695" t="str">
            <v xml:space="preserve"> </v>
          </cell>
        </row>
        <row r="3696">
          <cell r="J3696" t="str">
            <v>S/L</v>
          </cell>
          <cell r="R3696" t="str">
            <v xml:space="preserve"> </v>
          </cell>
        </row>
        <row r="3697">
          <cell r="J3697" t="str">
            <v>S/L</v>
          </cell>
          <cell r="R3697" t="str">
            <v xml:space="preserve"> </v>
          </cell>
        </row>
        <row r="3698">
          <cell r="J3698" t="str">
            <v>S/L</v>
          </cell>
          <cell r="R3698" t="str">
            <v xml:space="preserve"> </v>
          </cell>
        </row>
        <row r="3699">
          <cell r="J3699" t="str">
            <v>S/L</v>
          </cell>
          <cell r="R3699" t="str">
            <v xml:space="preserve"> </v>
          </cell>
        </row>
        <row r="3700">
          <cell r="J3700" t="str">
            <v>S/L</v>
          </cell>
          <cell r="R3700" t="str">
            <v xml:space="preserve"> </v>
          </cell>
        </row>
        <row r="3701">
          <cell r="J3701" t="str">
            <v>S/L</v>
          </cell>
          <cell r="R3701" t="str">
            <v xml:space="preserve"> </v>
          </cell>
        </row>
        <row r="3702">
          <cell r="J3702" t="str">
            <v>S/L</v>
          </cell>
          <cell r="R3702" t="str">
            <v xml:space="preserve"> </v>
          </cell>
        </row>
        <row r="3703">
          <cell r="J3703" t="str">
            <v>S/L</v>
          </cell>
          <cell r="R3703" t="str">
            <v xml:space="preserve"> </v>
          </cell>
        </row>
        <row r="3704">
          <cell r="J3704" t="str">
            <v>S/L</v>
          </cell>
          <cell r="R3704" t="str">
            <v xml:space="preserve"> </v>
          </cell>
        </row>
        <row r="3705">
          <cell r="J3705" t="str">
            <v>S/L</v>
          </cell>
          <cell r="R3705" t="str">
            <v xml:space="preserve"> </v>
          </cell>
        </row>
        <row r="3706">
          <cell r="J3706" t="str">
            <v>S/L</v>
          </cell>
          <cell r="R3706" t="str">
            <v xml:space="preserve"> </v>
          </cell>
        </row>
        <row r="3707">
          <cell r="J3707" t="str">
            <v>S/L</v>
          </cell>
          <cell r="R3707" t="str">
            <v xml:space="preserve"> </v>
          </cell>
        </row>
        <row r="3708">
          <cell r="J3708" t="str">
            <v>S/L</v>
          </cell>
          <cell r="R3708" t="str">
            <v xml:space="preserve"> </v>
          </cell>
        </row>
        <row r="3709">
          <cell r="J3709" t="str">
            <v>S/L</v>
          </cell>
          <cell r="R3709" t="str">
            <v xml:space="preserve"> </v>
          </cell>
        </row>
        <row r="3710">
          <cell r="J3710" t="str">
            <v>S/L</v>
          </cell>
          <cell r="R3710" t="str">
            <v xml:space="preserve"> </v>
          </cell>
        </row>
        <row r="3711">
          <cell r="J3711" t="str">
            <v>S/L</v>
          </cell>
          <cell r="R3711" t="str">
            <v xml:space="preserve"> </v>
          </cell>
        </row>
        <row r="3712">
          <cell r="J3712" t="str">
            <v>S/L</v>
          </cell>
          <cell r="R3712" t="str">
            <v xml:space="preserve"> </v>
          </cell>
        </row>
        <row r="3713">
          <cell r="J3713" t="str">
            <v>S/L</v>
          </cell>
          <cell r="R3713" t="str">
            <v xml:space="preserve"> </v>
          </cell>
        </row>
        <row r="3714">
          <cell r="J3714" t="str">
            <v>S/L</v>
          </cell>
          <cell r="R3714" t="str">
            <v xml:space="preserve"> </v>
          </cell>
        </row>
        <row r="3715">
          <cell r="J3715" t="str">
            <v>S/L</v>
          </cell>
          <cell r="R3715" t="str">
            <v xml:space="preserve"> </v>
          </cell>
        </row>
        <row r="3716">
          <cell r="J3716" t="str">
            <v>S/L</v>
          </cell>
          <cell r="R3716" t="str">
            <v xml:space="preserve"> </v>
          </cell>
        </row>
        <row r="3717">
          <cell r="J3717" t="str">
            <v>S/L</v>
          </cell>
          <cell r="R3717" t="str">
            <v xml:space="preserve"> </v>
          </cell>
        </row>
        <row r="3718">
          <cell r="J3718" t="str">
            <v>S/L</v>
          </cell>
          <cell r="R3718" t="str">
            <v xml:space="preserve"> </v>
          </cell>
        </row>
        <row r="3719">
          <cell r="J3719" t="str">
            <v>S/L</v>
          </cell>
          <cell r="R3719" t="str">
            <v xml:space="preserve"> </v>
          </cell>
        </row>
        <row r="3720">
          <cell r="J3720" t="str">
            <v>S/L</v>
          </cell>
          <cell r="R3720" t="str">
            <v xml:space="preserve"> </v>
          </cell>
        </row>
        <row r="3721">
          <cell r="J3721" t="str">
            <v>S/L</v>
          </cell>
          <cell r="R3721" t="str">
            <v xml:space="preserve"> </v>
          </cell>
        </row>
        <row r="3722">
          <cell r="J3722" t="str">
            <v>S/L</v>
          </cell>
          <cell r="R3722" t="str">
            <v xml:space="preserve"> </v>
          </cell>
        </row>
        <row r="3723">
          <cell r="J3723" t="str">
            <v>S/L</v>
          </cell>
          <cell r="R3723" t="str">
            <v xml:space="preserve"> </v>
          </cell>
        </row>
        <row r="3724">
          <cell r="J3724" t="str">
            <v>S/L</v>
          </cell>
          <cell r="R3724" t="str">
            <v xml:space="preserve"> </v>
          </cell>
        </row>
        <row r="3725">
          <cell r="J3725" t="str">
            <v>S/L</v>
          </cell>
          <cell r="R3725" t="str">
            <v xml:space="preserve"> </v>
          </cell>
        </row>
        <row r="3726">
          <cell r="J3726" t="str">
            <v>S/L</v>
          </cell>
          <cell r="R3726" t="str">
            <v xml:space="preserve"> </v>
          </cell>
        </row>
        <row r="3727">
          <cell r="J3727" t="str">
            <v>S/L</v>
          </cell>
          <cell r="R3727" t="str">
            <v xml:space="preserve"> </v>
          </cell>
        </row>
        <row r="3728">
          <cell r="J3728" t="str">
            <v>S/L</v>
          </cell>
          <cell r="R3728" t="str">
            <v xml:space="preserve"> </v>
          </cell>
        </row>
        <row r="3729">
          <cell r="J3729" t="str">
            <v>S/L</v>
          </cell>
          <cell r="R3729" t="str">
            <v xml:space="preserve"> </v>
          </cell>
        </row>
        <row r="3730">
          <cell r="J3730" t="str">
            <v>S/L</v>
          </cell>
          <cell r="R3730" t="str">
            <v xml:space="preserve"> </v>
          </cell>
        </row>
        <row r="3731">
          <cell r="J3731" t="str">
            <v>S/L</v>
          </cell>
          <cell r="R3731" t="str">
            <v xml:space="preserve"> </v>
          </cell>
        </row>
        <row r="3732">
          <cell r="J3732" t="str">
            <v>S/L</v>
          </cell>
          <cell r="R3732" t="str">
            <v xml:space="preserve"> </v>
          </cell>
        </row>
        <row r="3733">
          <cell r="J3733" t="str">
            <v>S/L</v>
          </cell>
          <cell r="R3733" t="str">
            <v xml:space="preserve"> </v>
          </cell>
        </row>
        <row r="3734">
          <cell r="J3734" t="str">
            <v>S/L</v>
          </cell>
          <cell r="R3734" t="str">
            <v xml:space="preserve"> </v>
          </cell>
        </row>
        <row r="3735">
          <cell r="J3735" t="str">
            <v>S/L</v>
          </cell>
          <cell r="R3735" t="str">
            <v xml:space="preserve"> </v>
          </cell>
        </row>
        <row r="3736">
          <cell r="J3736" t="str">
            <v>S/L</v>
          </cell>
          <cell r="R3736" t="str">
            <v xml:space="preserve"> </v>
          </cell>
        </row>
        <row r="3737">
          <cell r="J3737" t="str">
            <v>S/L</v>
          </cell>
          <cell r="R3737" t="str">
            <v xml:space="preserve"> </v>
          </cell>
        </row>
        <row r="3738">
          <cell r="J3738" t="str">
            <v>S/L</v>
          </cell>
          <cell r="R3738" t="str">
            <v xml:space="preserve"> </v>
          </cell>
        </row>
        <row r="3739">
          <cell r="J3739" t="str">
            <v>S/L</v>
          </cell>
          <cell r="R3739" t="str">
            <v xml:space="preserve"> </v>
          </cell>
        </row>
        <row r="3740">
          <cell r="J3740" t="str">
            <v>S/L</v>
          </cell>
          <cell r="R3740" t="str">
            <v xml:space="preserve"> </v>
          </cell>
        </row>
        <row r="3741">
          <cell r="J3741" t="str">
            <v>S/L</v>
          </cell>
          <cell r="R3741" t="str">
            <v xml:space="preserve"> </v>
          </cell>
        </row>
        <row r="3742">
          <cell r="J3742" t="str">
            <v>S/L</v>
          </cell>
          <cell r="R3742" t="str">
            <v xml:space="preserve"> </v>
          </cell>
        </row>
        <row r="3743">
          <cell r="J3743" t="str">
            <v>S/L</v>
          </cell>
          <cell r="R3743" t="str">
            <v xml:space="preserve"> </v>
          </cell>
        </row>
        <row r="3744">
          <cell r="J3744" t="str">
            <v>S/L</v>
          </cell>
          <cell r="R3744" t="str">
            <v xml:space="preserve"> </v>
          </cell>
        </row>
        <row r="3745">
          <cell r="J3745" t="str">
            <v>S/L</v>
          </cell>
          <cell r="R3745" t="str">
            <v xml:space="preserve"> </v>
          </cell>
        </row>
        <row r="3746">
          <cell r="J3746" t="str">
            <v>S/L</v>
          </cell>
          <cell r="R3746" t="str">
            <v xml:space="preserve"> </v>
          </cell>
        </row>
        <row r="3747">
          <cell r="J3747" t="str">
            <v>S/L</v>
          </cell>
          <cell r="R3747" t="str">
            <v xml:space="preserve"> </v>
          </cell>
        </row>
        <row r="3748">
          <cell r="J3748" t="str">
            <v>S/L</v>
          </cell>
          <cell r="R3748" t="str">
            <v xml:space="preserve"> </v>
          </cell>
        </row>
        <row r="3749">
          <cell r="J3749" t="str">
            <v>S/L</v>
          </cell>
          <cell r="R3749" t="str">
            <v xml:space="preserve"> </v>
          </cell>
        </row>
        <row r="3750">
          <cell r="J3750" t="str">
            <v>S/L</v>
          </cell>
          <cell r="R3750" t="str">
            <v xml:space="preserve"> </v>
          </cell>
        </row>
        <row r="3751">
          <cell r="J3751" t="str">
            <v>S/L</v>
          </cell>
          <cell r="R3751" t="str">
            <v xml:space="preserve"> </v>
          </cell>
        </row>
        <row r="3752">
          <cell r="J3752" t="str">
            <v>S/L</v>
          </cell>
          <cell r="R3752" t="str">
            <v xml:space="preserve"> </v>
          </cell>
        </row>
        <row r="3753">
          <cell r="J3753" t="str">
            <v>S/L</v>
          </cell>
          <cell r="R3753" t="str">
            <v xml:space="preserve"> </v>
          </cell>
        </row>
        <row r="3754">
          <cell r="J3754" t="str">
            <v>S/L</v>
          </cell>
          <cell r="R3754" t="str">
            <v xml:space="preserve"> </v>
          </cell>
        </row>
        <row r="3755">
          <cell r="J3755" t="str">
            <v>S/L</v>
          </cell>
          <cell r="R3755" t="str">
            <v xml:space="preserve"> </v>
          </cell>
        </row>
        <row r="3756">
          <cell r="J3756" t="str">
            <v>S/L</v>
          </cell>
          <cell r="R3756" t="str">
            <v xml:space="preserve"> </v>
          </cell>
        </row>
        <row r="3757">
          <cell r="J3757" t="str">
            <v>S/L</v>
          </cell>
          <cell r="R3757" t="str">
            <v xml:space="preserve"> </v>
          </cell>
        </row>
        <row r="3758">
          <cell r="J3758" t="str">
            <v>S/L</v>
          </cell>
          <cell r="R3758" t="str">
            <v xml:space="preserve"> </v>
          </cell>
        </row>
        <row r="3759">
          <cell r="J3759" t="str">
            <v>S/L</v>
          </cell>
          <cell r="R3759" t="str">
            <v xml:space="preserve"> </v>
          </cell>
        </row>
        <row r="3760">
          <cell r="J3760" t="str">
            <v>S/L</v>
          </cell>
          <cell r="R3760" t="str">
            <v xml:space="preserve"> </v>
          </cell>
        </row>
        <row r="3761">
          <cell r="J3761" t="str">
            <v>S/L</v>
          </cell>
          <cell r="R3761" t="str">
            <v xml:space="preserve"> </v>
          </cell>
        </row>
        <row r="3762">
          <cell r="J3762" t="str">
            <v>S/L</v>
          </cell>
          <cell r="R3762" t="str">
            <v xml:space="preserve"> </v>
          </cell>
        </row>
        <row r="3763">
          <cell r="J3763" t="str">
            <v>S/L</v>
          </cell>
          <cell r="R3763" t="str">
            <v xml:space="preserve"> </v>
          </cell>
        </row>
        <row r="3764">
          <cell r="J3764" t="str">
            <v>S/L</v>
          </cell>
          <cell r="R3764" t="str">
            <v xml:space="preserve"> </v>
          </cell>
        </row>
        <row r="3765">
          <cell r="J3765" t="str">
            <v>S/L</v>
          </cell>
          <cell r="R3765" t="str">
            <v xml:space="preserve"> </v>
          </cell>
        </row>
        <row r="3766">
          <cell r="J3766" t="str">
            <v>S/L</v>
          </cell>
          <cell r="R3766" t="str">
            <v xml:space="preserve"> </v>
          </cell>
        </row>
        <row r="3767">
          <cell r="J3767" t="str">
            <v>S/L</v>
          </cell>
          <cell r="R3767" t="str">
            <v xml:space="preserve"> </v>
          </cell>
        </row>
        <row r="3768">
          <cell r="J3768" t="str">
            <v>S/L</v>
          </cell>
          <cell r="R3768" t="str">
            <v xml:space="preserve"> </v>
          </cell>
        </row>
        <row r="3769">
          <cell r="J3769" t="str">
            <v>S/L</v>
          </cell>
          <cell r="R3769" t="str">
            <v xml:space="preserve"> </v>
          </cell>
        </row>
        <row r="3770">
          <cell r="J3770" t="str">
            <v>S/L</v>
          </cell>
          <cell r="R3770" t="str">
            <v xml:space="preserve"> </v>
          </cell>
        </row>
        <row r="3771">
          <cell r="J3771" t="str">
            <v>S/L</v>
          </cell>
          <cell r="R3771" t="str">
            <v xml:space="preserve"> </v>
          </cell>
        </row>
        <row r="3772">
          <cell r="J3772" t="str">
            <v>S/L</v>
          </cell>
          <cell r="R3772" t="str">
            <v xml:space="preserve"> </v>
          </cell>
        </row>
        <row r="3773">
          <cell r="J3773" t="str">
            <v>S/L</v>
          </cell>
          <cell r="R3773" t="str">
            <v xml:space="preserve"> </v>
          </cell>
        </row>
        <row r="3774">
          <cell r="J3774" t="str">
            <v>S/L</v>
          </cell>
          <cell r="R3774" t="str">
            <v xml:space="preserve"> </v>
          </cell>
        </row>
        <row r="3775">
          <cell r="J3775" t="str">
            <v>S/L</v>
          </cell>
          <cell r="R3775" t="str">
            <v xml:space="preserve"> </v>
          </cell>
        </row>
        <row r="3776">
          <cell r="J3776" t="str">
            <v>S/L</v>
          </cell>
          <cell r="R3776" t="str">
            <v xml:space="preserve"> </v>
          </cell>
        </row>
        <row r="3777">
          <cell r="J3777" t="str">
            <v>S/L</v>
          </cell>
          <cell r="R3777" t="str">
            <v xml:space="preserve"> </v>
          </cell>
        </row>
        <row r="3778">
          <cell r="J3778" t="str">
            <v>S/L</v>
          </cell>
          <cell r="R3778" t="str">
            <v xml:space="preserve"> </v>
          </cell>
        </row>
        <row r="3779">
          <cell r="J3779" t="str">
            <v>S/L</v>
          </cell>
          <cell r="R3779" t="str">
            <v xml:space="preserve"> </v>
          </cell>
        </row>
        <row r="3780">
          <cell r="J3780" t="str">
            <v>S/L</v>
          </cell>
          <cell r="R3780" t="str">
            <v xml:space="preserve"> </v>
          </cell>
        </row>
        <row r="3781">
          <cell r="J3781" t="str">
            <v>S/L</v>
          </cell>
          <cell r="R3781" t="str">
            <v xml:space="preserve"> </v>
          </cell>
        </row>
        <row r="3782">
          <cell r="J3782" t="str">
            <v>S/L</v>
          </cell>
          <cell r="R3782" t="str">
            <v xml:space="preserve"> </v>
          </cell>
        </row>
        <row r="3783">
          <cell r="J3783" t="str">
            <v>S/L</v>
          </cell>
          <cell r="R3783" t="str">
            <v xml:space="preserve"> </v>
          </cell>
        </row>
        <row r="3784">
          <cell r="J3784" t="str">
            <v>S/L</v>
          </cell>
          <cell r="R3784" t="str">
            <v xml:space="preserve"> </v>
          </cell>
        </row>
        <row r="3785">
          <cell r="J3785" t="str">
            <v>S/L</v>
          </cell>
          <cell r="R3785" t="str">
            <v xml:space="preserve"> </v>
          </cell>
        </row>
        <row r="3786">
          <cell r="J3786" t="str">
            <v>S/L</v>
          </cell>
          <cell r="R3786" t="str">
            <v xml:space="preserve"> </v>
          </cell>
        </row>
        <row r="3787">
          <cell r="J3787" t="str">
            <v>S/L</v>
          </cell>
          <cell r="R3787" t="str">
            <v xml:space="preserve"> </v>
          </cell>
        </row>
        <row r="3788">
          <cell r="J3788" t="str">
            <v>S/L</v>
          </cell>
          <cell r="R3788" t="str">
            <v xml:space="preserve"> </v>
          </cell>
        </row>
        <row r="3789">
          <cell r="J3789" t="str">
            <v>S/L</v>
          </cell>
          <cell r="R3789" t="str">
            <v xml:space="preserve"> </v>
          </cell>
        </row>
        <row r="3790">
          <cell r="J3790" t="str">
            <v>S/L</v>
          </cell>
          <cell r="R3790" t="str">
            <v xml:space="preserve"> </v>
          </cell>
        </row>
        <row r="3791">
          <cell r="J3791" t="str">
            <v>S/L</v>
          </cell>
          <cell r="R3791" t="str">
            <v xml:space="preserve"> </v>
          </cell>
        </row>
        <row r="3792">
          <cell r="J3792" t="str">
            <v>S/L</v>
          </cell>
          <cell r="R3792" t="str">
            <v xml:space="preserve"> </v>
          </cell>
        </row>
        <row r="3793">
          <cell r="J3793" t="str">
            <v>S/L</v>
          </cell>
          <cell r="R3793" t="str">
            <v xml:space="preserve"> </v>
          </cell>
        </row>
        <row r="3794">
          <cell r="J3794" t="str">
            <v>S/L</v>
          </cell>
          <cell r="R3794" t="str">
            <v xml:space="preserve"> </v>
          </cell>
        </row>
        <row r="3795">
          <cell r="J3795" t="str">
            <v>S/L</v>
          </cell>
          <cell r="R3795" t="str">
            <v xml:space="preserve"> </v>
          </cell>
        </row>
        <row r="3796">
          <cell r="J3796" t="str">
            <v>S/L</v>
          </cell>
          <cell r="R3796" t="str">
            <v xml:space="preserve"> </v>
          </cell>
        </row>
        <row r="3797">
          <cell r="J3797" t="str">
            <v>S/L</v>
          </cell>
          <cell r="R3797" t="str">
            <v xml:space="preserve"> </v>
          </cell>
        </row>
        <row r="3798">
          <cell r="J3798" t="str">
            <v>S/L</v>
          </cell>
          <cell r="R3798" t="str">
            <v xml:space="preserve"> </v>
          </cell>
        </row>
        <row r="3799">
          <cell r="J3799" t="str">
            <v>S/L</v>
          </cell>
          <cell r="R3799" t="str">
            <v xml:space="preserve"> </v>
          </cell>
        </row>
        <row r="3800">
          <cell r="J3800" t="str">
            <v>S/L</v>
          </cell>
          <cell r="R3800" t="str">
            <v xml:space="preserve"> </v>
          </cell>
        </row>
        <row r="3801">
          <cell r="J3801" t="str">
            <v>S/L</v>
          </cell>
          <cell r="R3801" t="str">
            <v xml:space="preserve"> </v>
          </cell>
        </row>
        <row r="3802">
          <cell r="J3802" t="str">
            <v>S/L</v>
          </cell>
          <cell r="R3802" t="str">
            <v xml:space="preserve"> </v>
          </cell>
        </row>
        <row r="3803">
          <cell r="J3803" t="str">
            <v>S/L</v>
          </cell>
          <cell r="R3803" t="str">
            <v xml:space="preserve"> </v>
          </cell>
        </row>
        <row r="3804">
          <cell r="J3804" t="str">
            <v>S/L</v>
          </cell>
          <cell r="R3804" t="str">
            <v xml:space="preserve"> </v>
          </cell>
        </row>
        <row r="3805">
          <cell r="J3805" t="str">
            <v>S/L</v>
          </cell>
          <cell r="R3805" t="str">
            <v xml:space="preserve"> </v>
          </cell>
        </row>
        <row r="3806">
          <cell r="J3806" t="str">
            <v>S/L</v>
          </cell>
          <cell r="R3806" t="str">
            <v xml:space="preserve"> </v>
          </cell>
        </row>
        <row r="3807">
          <cell r="J3807" t="str">
            <v>S/L</v>
          </cell>
          <cell r="R3807" t="str">
            <v xml:space="preserve"> </v>
          </cell>
        </row>
        <row r="3808">
          <cell r="J3808" t="str">
            <v>S/L</v>
          </cell>
          <cell r="R3808" t="str">
            <v xml:space="preserve"> </v>
          </cell>
        </row>
        <row r="3809">
          <cell r="J3809" t="str">
            <v>S/L</v>
          </cell>
          <cell r="R3809" t="str">
            <v xml:space="preserve"> </v>
          </cell>
        </row>
        <row r="3810">
          <cell r="J3810" t="str">
            <v>S/L</v>
          </cell>
          <cell r="R3810" t="str">
            <v xml:space="preserve"> </v>
          </cell>
        </row>
        <row r="3811">
          <cell r="J3811" t="str">
            <v>S/L</v>
          </cell>
          <cell r="R3811" t="str">
            <v xml:space="preserve"> </v>
          </cell>
        </row>
        <row r="3812">
          <cell r="J3812" t="str">
            <v>S/L</v>
          </cell>
          <cell r="R3812" t="str">
            <v xml:space="preserve"> </v>
          </cell>
        </row>
        <row r="3813">
          <cell r="J3813" t="str">
            <v>S/L</v>
          </cell>
          <cell r="R3813" t="str">
            <v xml:space="preserve"> </v>
          </cell>
        </row>
        <row r="3814">
          <cell r="J3814" t="str">
            <v>S/L</v>
          </cell>
          <cell r="R3814" t="str">
            <v xml:space="preserve"> </v>
          </cell>
        </row>
        <row r="3815">
          <cell r="J3815" t="str">
            <v>S/L</v>
          </cell>
          <cell r="R3815" t="str">
            <v xml:space="preserve"> </v>
          </cell>
        </row>
        <row r="3816">
          <cell r="J3816" t="str">
            <v>S/L</v>
          </cell>
          <cell r="R3816" t="str">
            <v xml:space="preserve"> </v>
          </cell>
        </row>
        <row r="3817">
          <cell r="J3817" t="str">
            <v>S/L</v>
          </cell>
          <cell r="R3817" t="str">
            <v xml:space="preserve"> </v>
          </cell>
        </row>
        <row r="3818">
          <cell r="J3818" t="str">
            <v>S/L</v>
          </cell>
          <cell r="R3818" t="str">
            <v xml:space="preserve"> </v>
          </cell>
        </row>
        <row r="3819">
          <cell r="J3819" t="str">
            <v>S/L</v>
          </cell>
          <cell r="R3819" t="str">
            <v xml:space="preserve"> </v>
          </cell>
        </row>
        <row r="3820">
          <cell r="J3820" t="str">
            <v>S/L</v>
          </cell>
          <cell r="R3820" t="str">
            <v xml:space="preserve"> </v>
          </cell>
        </row>
        <row r="3821">
          <cell r="J3821" t="str">
            <v>S/L</v>
          </cell>
          <cell r="R3821" t="str">
            <v xml:space="preserve"> </v>
          </cell>
        </row>
        <row r="3822">
          <cell r="J3822" t="str">
            <v>S/L</v>
          </cell>
          <cell r="R3822" t="str">
            <v xml:space="preserve"> </v>
          </cell>
        </row>
        <row r="3823">
          <cell r="J3823" t="str">
            <v>S/L</v>
          </cell>
          <cell r="R3823" t="str">
            <v xml:space="preserve"> </v>
          </cell>
        </row>
        <row r="3824">
          <cell r="J3824" t="str">
            <v>S/L</v>
          </cell>
          <cell r="R3824" t="str">
            <v xml:space="preserve"> </v>
          </cell>
        </row>
        <row r="3825">
          <cell r="J3825" t="str">
            <v>S/L</v>
          </cell>
          <cell r="R3825" t="str">
            <v xml:space="preserve"> </v>
          </cell>
        </row>
        <row r="3826">
          <cell r="J3826" t="str">
            <v>S/L</v>
          </cell>
          <cell r="R3826" t="str">
            <v xml:space="preserve"> </v>
          </cell>
        </row>
        <row r="3827">
          <cell r="J3827" t="str">
            <v>S/L</v>
          </cell>
          <cell r="R3827" t="str">
            <v xml:space="preserve"> </v>
          </cell>
        </row>
        <row r="3828">
          <cell r="J3828" t="str">
            <v>S/L</v>
          </cell>
          <cell r="R3828" t="str">
            <v xml:space="preserve"> </v>
          </cell>
        </row>
        <row r="3829">
          <cell r="J3829" t="str">
            <v>S/L</v>
          </cell>
          <cell r="R3829" t="str">
            <v xml:space="preserve"> </v>
          </cell>
        </row>
        <row r="3830">
          <cell r="J3830" t="str">
            <v>S/L</v>
          </cell>
          <cell r="R3830" t="str">
            <v xml:space="preserve"> </v>
          </cell>
        </row>
        <row r="3831">
          <cell r="J3831" t="str">
            <v>S/L</v>
          </cell>
          <cell r="R3831" t="str">
            <v xml:space="preserve"> </v>
          </cell>
        </row>
        <row r="3832">
          <cell r="J3832" t="str">
            <v>S/L</v>
          </cell>
          <cell r="R3832" t="str">
            <v xml:space="preserve"> </v>
          </cell>
        </row>
        <row r="3833">
          <cell r="J3833" t="str">
            <v>S/L</v>
          </cell>
          <cell r="R3833" t="str">
            <v xml:space="preserve"> </v>
          </cell>
        </row>
        <row r="3834">
          <cell r="J3834" t="str">
            <v>S/L</v>
          </cell>
          <cell r="R3834" t="str">
            <v xml:space="preserve"> </v>
          </cell>
        </row>
        <row r="3835">
          <cell r="J3835" t="str">
            <v>S/L</v>
          </cell>
          <cell r="R3835" t="str">
            <v xml:space="preserve"> </v>
          </cell>
        </row>
        <row r="3836">
          <cell r="J3836" t="str">
            <v>S/L</v>
          </cell>
          <cell r="R3836" t="str">
            <v xml:space="preserve"> </v>
          </cell>
        </row>
        <row r="3837">
          <cell r="J3837" t="str">
            <v>S/L</v>
          </cell>
          <cell r="R3837" t="str">
            <v xml:space="preserve"> </v>
          </cell>
        </row>
        <row r="3838">
          <cell r="J3838" t="str">
            <v>S/L</v>
          </cell>
          <cell r="R3838" t="str">
            <v xml:space="preserve"> </v>
          </cell>
        </row>
        <row r="3839">
          <cell r="J3839" t="str">
            <v>S/L</v>
          </cell>
          <cell r="R3839" t="str">
            <v xml:space="preserve"> </v>
          </cell>
        </row>
        <row r="3840">
          <cell r="J3840" t="str">
            <v>S/L</v>
          </cell>
          <cell r="R3840" t="str">
            <v xml:space="preserve"> </v>
          </cell>
        </row>
        <row r="3841">
          <cell r="J3841" t="str">
            <v>S/L</v>
          </cell>
          <cell r="R3841" t="str">
            <v xml:space="preserve"> </v>
          </cell>
        </row>
        <row r="3842">
          <cell r="J3842" t="str">
            <v>S/L</v>
          </cell>
          <cell r="R3842" t="str">
            <v xml:space="preserve"> </v>
          </cell>
        </row>
        <row r="3843">
          <cell r="J3843" t="str">
            <v>S/L</v>
          </cell>
          <cell r="R3843" t="str">
            <v xml:space="preserve"> </v>
          </cell>
        </row>
        <row r="3844">
          <cell r="J3844" t="str">
            <v>S/L</v>
          </cell>
          <cell r="R3844" t="str">
            <v xml:space="preserve"> </v>
          </cell>
        </row>
        <row r="3845">
          <cell r="J3845" t="str">
            <v>S/L</v>
          </cell>
          <cell r="R3845" t="str">
            <v xml:space="preserve"> </v>
          </cell>
        </row>
        <row r="3846">
          <cell r="J3846" t="str">
            <v>S/L</v>
          </cell>
          <cell r="R3846" t="str">
            <v xml:space="preserve"> </v>
          </cell>
        </row>
        <row r="3847">
          <cell r="J3847" t="str">
            <v>S/L</v>
          </cell>
          <cell r="R3847" t="str">
            <v xml:space="preserve"> </v>
          </cell>
        </row>
        <row r="3848">
          <cell r="J3848" t="str">
            <v>S/L</v>
          </cell>
          <cell r="R3848" t="str">
            <v xml:space="preserve"> </v>
          </cell>
        </row>
        <row r="3849">
          <cell r="J3849" t="str">
            <v>S/L</v>
          </cell>
          <cell r="R3849" t="str">
            <v xml:space="preserve"> </v>
          </cell>
        </row>
        <row r="3850">
          <cell r="J3850" t="str">
            <v>S/L</v>
          </cell>
          <cell r="R3850" t="str">
            <v xml:space="preserve"> </v>
          </cell>
        </row>
        <row r="3851">
          <cell r="J3851" t="str">
            <v>S/L</v>
          </cell>
          <cell r="R3851" t="str">
            <v xml:space="preserve"> </v>
          </cell>
        </row>
        <row r="3852">
          <cell r="J3852" t="str">
            <v>S/L</v>
          </cell>
          <cell r="R3852" t="str">
            <v xml:space="preserve"> </v>
          </cell>
        </row>
        <row r="3853">
          <cell r="J3853" t="str">
            <v>S/L</v>
          </cell>
          <cell r="R3853" t="str">
            <v xml:space="preserve"> </v>
          </cell>
        </row>
        <row r="3854">
          <cell r="J3854" t="str">
            <v>S/L</v>
          </cell>
          <cell r="R3854" t="str">
            <v xml:space="preserve"> </v>
          </cell>
        </row>
        <row r="3855">
          <cell r="J3855" t="str">
            <v>S/L</v>
          </cell>
          <cell r="R3855" t="str">
            <v xml:space="preserve"> </v>
          </cell>
        </row>
        <row r="3856">
          <cell r="J3856" t="str">
            <v>S/L</v>
          </cell>
          <cell r="R3856" t="str">
            <v xml:space="preserve"> </v>
          </cell>
        </row>
        <row r="3857">
          <cell r="J3857" t="str">
            <v>S/L</v>
          </cell>
          <cell r="R3857" t="str">
            <v xml:space="preserve"> </v>
          </cell>
        </row>
        <row r="3858">
          <cell r="J3858" t="str">
            <v>S/L</v>
          </cell>
          <cell r="R3858" t="str">
            <v xml:space="preserve"> </v>
          </cell>
        </row>
        <row r="3859">
          <cell r="J3859" t="str">
            <v>S/L</v>
          </cell>
          <cell r="R3859" t="str">
            <v xml:space="preserve"> </v>
          </cell>
        </row>
        <row r="3860">
          <cell r="J3860" t="str">
            <v>S/L</v>
          </cell>
          <cell r="R3860" t="str">
            <v xml:space="preserve"> </v>
          </cell>
        </row>
        <row r="3861">
          <cell r="J3861" t="str">
            <v>S/L</v>
          </cell>
          <cell r="R3861" t="str">
            <v xml:space="preserve"> </v>
          </cell>
        </row>
        <row r="3862">
          <cell r="J3862" t="str">
            <v>S/L</v>
          </cell>
          <cell r="R3862" t="str">
            <v xml:space="preserve"> </v>
          </cell>
        </row>
        <row r="3863">
          <cell r="J3863" t="str">
            <v>S/L</v>
          </cell>
          <cell r="R3863" t="str">
            <v xml:space="preserve"> </v>
          </cell>
        </row>
        <row r="3864">
          <cell r="J3864" t="str">
            <v>S/L</v>
          </cell>
          <cell r="R3864" t="str">
            <v xml:space="preserve"> </v>
          </cell>
        </row>
        <row r="3865">
          <cell r="J3865" t="str">
            <v>S/L</v>
          </cell>
          <cell r="R3865" t="str">
            <v xml:space="preserve"> </v>
          </cell>
        </row>
        <row r="3866">
          <cell r="J3866" t="str">
            <v>S/L</v>
          </cell>
          <cell r="R3866" t="str">
            <v xml:space="preserve"> </v>
          </cell>
        </row>
        <row r="3867">
          <cell r="J3867" t="str">
            <v>S/L</v>
          </cell>
          <cell r="R3867" t="str">
            <v xml:space="preserve"> </v>
          </cell>
        </row>
        <row r="3868">
          <cell r="J3868" t="str">
            <v>S/L</v>
          </cell>
          <cell r="R3868" t="str">
            <v xml:space="preserve"> </v>
          </cell>
        </row>
        <row r="3869">
          <cell r="J3869" t="str">
            <v>S/L</v>
          </cell>
          <cell r="R3869" t="str">
            <v xml:space="preserve"> </v>
          </cell>
        </row>
        <row r="3870">
          <cell r="J3870" t="str">
            <v>S/L</v>
          </cell>
          <cell r="R3870" t="str">
            <v xml:space="preserve"> </v>
          </cell>
        </row>
        <row r="3871">
          <cell r="J3871" t="str">
            <v>S/L</v>
          </cell>
          <cell r="R3871" t="str">
            <v xml:space="preserve"> </v>
          </cell>
        </row>
        <row r="3872">
          <cell r="J3872" t="str">
            <v>S/L</v>
          </cell>
          <cell r="R3872" t="str">
            <v xml:space="preserve"> </v>
          </cell>
        </row>
        <row r="3873">
          <cell r="J3873" t="str">
            <v>S/L</v>
          </cell>
          <cell r="R3873" t="str">
            <v xml:space="preserve"> </v>
          </cell>
        </row>
        <row r="3874">
          <cell r="J3874" t="str">
            <v>S/L</v>
          </cell>
          <cell r="R3874" t="str">
            <v xml:space="preserve"> </v>
          </cell>
        </row>
        <row r="3875">
          <cell r="J3875" t="str">
            <v>S/L</v>
          </cell>
          <cell r="R3875" t="str">
            <v xml:space="preserve"> </v>
          </cell>
        </row>
        <row r="3876">
          <cell r="J3876" t="str">
            <v>S/L</v>
          </cell>
          <cell r="R3876" t="str">
            <v xml:space="preserve"> </v>
          </cell>
        </row>
        <row r="3877">
          <cell r="J3877" t="str">
            <v>S/L</v>
          </cell>
          <cell r="R3877" t="str">
            <v xml:space="preserve"> </v>
          </cell>
        </row>
        <row r="3878">
          <cell r="J3878" t="str">
            <v>S/L</v>
          </cell>
          <cell r="R3878" t="str">
            <v xml:space="preserve"> </v>
          </cell>
        </row>
        <row r="3879">
          <cell r="J3879" t="str">
            <v>S/L</v>
          </cell>
          <cell r="R3879" t="str">
            <v xml:space="preserve"> </v>
          </cell>
        </row>
        <row r="3880">
          <cell r="J3880" t="str">
            <v>S/L</v>
          </cell>
          <cell r="R3880" t="str">
            <v xml:space="preserve"> </v>
          </cell>
        </row>
        <row r="3881">
          <cell r="J3881" t="str">
            <v>S/L</v>
          </cell>
          <cell r="R3881" t="str">
            <v xml:space="preserve"> </v>
          </cell>
        </row>
        <row r="3882">
          <cell r="J3882" t="str">
            <v>S/L</v>
          </cell>
          <cell r="R3882" t="str">
            <v xml:space="preserve"> </v>
          </cell>
        </row>
        <row r="3883">
          <cell r="J3883" t="str">
            <v>S/L</v>
          </cell>
          <cell r="R3883" t="str">
            <v xml:space="preserve"> </v>
          </cell>
        </row>
        <row r="3884">
          <cell r="J3884" t="str">
            <v>S/L</v>
          </cell>
          <cell r="R3884" t="str">
            <v xml:space="preserve"> </v>
          </cell>
        </row>
        <row r="3885">
          <cell r="J3885" t="str">
            <v>S/L</v>
          </cell>
          <cell r="R3885" t="str">
            <v xml:space="preserve"> </v>
          </cell>
        </row>
        <row r="3886">
          <cell r="J3886" t="str">
            <v>S/L</v>
          </cell>
          <cell r="R3886" t="str">
            <v xml:space="preserve"> </v>
          </cell>
        </row>
        <row r="3887">
          <cell r="J3887" t="str">
            <v>S/L</v>
          </cell>
          <cell r="R3887" t="str">
            <v xml:space="preserve"> </v>
          </cell>
        </row>
        <row r="3888">
          <cell r="J3888" t="str">
            <v>S/L</v>
          </cell>
          <cell r="R3888" t="str">
            <v xml:space="preserve"> </v>
          </cell>
        </row>
        <row r="3889">
          <cell r="J3889" t="str">
            <v>S/L</v>
          </cell>
          <cell r="R3889" t="str">
            <v xml:space="preserve"> </v>
          </cell>
        </row>
        <row r="3890">
          <cell r="J3890" t="str">
            <v>S/L</v>
          </cell>
          <cell r="R3890" t="str">
            <v xml:space="preserve"> </v>
          </cell>
        </row>
        <row r="3891">
          <cell r="J3891" t="str">
            <v>S/L</v>
          </cell>
          <cell r="R3891" t="str">
            <v xml:space="preserve"> </v>
          </cell>
        </row>
        <row r="3892">
          <cell r="J3892" t="str">
            <v>S/L</v>
          </cell>
          <cell r="R3892" t="str">
            <v xml:space="preserve"> </v>
          </cell>
        </row>
        <row r="3893">
          <cell r="J3893" t="str">
            <v>S/L</v>
          </cell>
          <cell r="R3893" t="str">
            <v xml:space="preserve"> </v>
          </cell>
        </row>
        <row r="3894">
          <cell r="J3894" t="str">
            <v>S/L</v>
          </cell>
          <cell r="R3894" t="str">
            <v xml:space="preserve"> </v>
          </cell>
        </row>
        <row r="3895">
          <cell r="J3895" t="str">
            <v>S/L</v>
          </cell>
          <cell r="R3895" t="str">
            <v xml:space="preserve"> </v>
          </cell>
        </row>
        <row r="3896">
          <cell r="J3896" t="str">
            <v>S/L</v>
          </cell>
          <cell r="R3896" t="str">
            <v xml:space="preserve"> </v>
          </cell>
        </row>
        <row r="3897">
          <cell r="J3897" t="str">
            <v>S/L</v>
          </cell>
          <cell r="R3897" t="str">
            <v xml:space="preserve"> </v>
          </cell>
        </row>
        <row r="3898">
          <cell r="J3898" t="str">
            <v>S/L</v>
          </cell>
          <cell r="R3898" t="str">
            <v xml:space="preserve"> </v>
          </cell>
        </row>
        <row r="3899">
          <cell r="J3899" t="str">
            <v>S/L</v>
          </cell>
          <cell r="R3899" t="str">
            <v xml:space="preserve"> </v>
          </cell>
        </row>
        <row r="3900">
          <cell r="J3900" t="str">
            <v>S/L</v>
          </cell>
          <cell r="R3900" t="str">
            <v xml:space="preserve"> </v>
          </cell>
        </row>
        <row r="3901">
          <cell r="J3901" t="str">
            <v>S/L</v>
          </cell>
          <cell r="R3901" t="str">
            <v xml:space="preserve"> </v>
          </cell>
        </row>
        <row r="3902">
          <cell r="J3902" t="str">
            <v>S/L</v>
          </cell>
          <cell r="R3902" t="str">
            <v xml:space="preserve"> </v>
          </cell>
        </row>
        <row r="3903">
          <cell r="J3903" t="str">
            <v>S/L</v>
          </cell>
          <cell r="R3903" t="str">
            <v xml:space="preserve"> </v>
          </cell>
        </row>
        <row r="3904">
          <cell r="J3904" t="str">
            <v>S/L</v>
          </cell>
          <cell r="R3904" t="str">
            <v xml:space="preserve"> </v>
          </cell>
        </row>
        <row r="3905">
          <cell r="J3905" t="str">
            <v>S/L</v>
          </cell>
          <cell r="R3905" t="str">
            <v xml:space="preserve"> </v>
          </cell>
        </row>
        <row r="3906">
          <cell r="J3906" t="str">
            <v>S/L</v>
          </cell>
          <cell r="R3906" t="str">
            <v xml:space="preserve"> </v>
          </cell>
        </row>
        <row r="3907">
          <cell r="J3907" t="str">
            <v>S/L</v>
          </cell>
          <cell r="R3907" t="str">
            <v xml:space="preserve"> </v>
          </cell>
        </row>
        <row r="3908">
          <cell r="J3908" t="str">
            <v>S/L</v>
          </cell>
          <cell r="R3908" t="str">
            <v xml:space="preserve"> </v>
          </cell>
        </row>
        <row r="3909">
          <cell r="J3909" t="str">
            <v>S/L</v>
          </cell>
          <cell r="R3909" t="str">
            <v xml:space="preserve"> </v>
          </cell>
        </row>
        <row r="3910">
          <cell r="J3910" t="str">
            <v>S/L</v>
          </cell>
          <cell r="R3910" t="str">
            <v xml:space="preserve"> </v>
          </cell>
        </row>
        <row r="3911">
          <cell r="J3911" t="str">
            <v>S/L</v>
          </cell>
          <cell r="R3911" t="str">
            <v xml:space="preserve"> </v>
          </cell>
        </row>
        <row r="3912">
          <cell r="J3912" t="str">
            <v>S/L</v>
          </cell>
          <cell r="R3912" t="str">
            <v xml:space="preserve"> </v>
          </cell>
        </row>
        <row r="3913">
          <cell r="J3913" t="str">
            <v>S/L</v>
          </cell>
          <cell r="R3913" t="str">
            <v xml:space="preserve"> </v>
          </cell>
        </row>
        <row r="3914">
          <cell r="J3914" t="str">
            <v>S/L</v>
          </cell>
          <cell r="R3914" t="str">
            <v xml:space="preserve"> </v>
          </cell>
        </row>
        <row r="3915">
          <cell r="J3915" t="str">
            <v>S/L</v>
          </cell>
          <cell r="R3915" t="str">
            <v xml:space="preserve"> </v>
          </cell>
        </row>
        <row r="3916">
          <cell r="J3916" t="str">
            <v>S/L</v>
          </cell>
          <cell r="R3916" t="str">
            <v xml:space="preserve"> </v>
          </cell>
        </row>
        <row r="3917">
          <cell r="J3917" t="str">
            <v>S/L</v>
          </cell>
          <cell r="R3917" t="str">
            <v xml:space="preserve"> </v>
          </cell>
        </row>
        <row r="3918">
          <cell r="J3918" t="str">
            <v>S/L</v>
          </cell>
          <cell r="R3918" t="str">
            <v xml:space="preserve"> </v>
          </cell>
        </row>
        <row r="3919">
          <cell r="J3919" t="str">
            <v>S/L</v>
          </cell>
          <cell r="R3919" t="str">
            <v xml:space="preserve"> </v>
          </cell>
        </row>
        <row r="3920">
          <cell r="J3920" t="str">
            <v>S/L</v>
          </cell>
          <cell r="R3920" t="str">
            <v xml:space="preserve"> </v>
          </cell>
        </row>
        <row r="3921">
          <cell r="J3921" t="str">
            <v>S/L</v>
          </cell>
          <cell r="R3921" t="str">
            <v xml:space="preserve"> </v>
          </cell>
        </row>
        <row r="3922">
          <cell r="J3922" t="str">
            <v>S/L</v>
          </cell>
          <cell r="R3922" t="str">
            <v xml:space="preserve"> </v>
          </cell>
        </row>
        <row r="3923">
          <cell r="J3923" t="str">
            <v>S/L</v>
          </cell>
          <cell r="R3923" t="str">
            <v xml:space="preserve"> </v>
          </cell>
        </row>
        <row r="3924">
          <cell r="J3924" t="str">
            <v>S/L</v>
          </cell>
          <cell r="R3924" t="str">
            <v xml:space="preserve"> </v>
          </cell>
        </row>
        <row r="3925">
          <cell r="J3925" t="str">
            <v>S/L</v>
          </cell>
          <cell r="R3925" t="str">
            <v xml:space="preserve"> </v>
          </cell>
        </row>
        <row r="3926">
          <cell r="J3926" t="str">
            <v>S/L</v>
          </cell>
          <cell r="R3926" t="str">
            <v xml:space="preserve"> </v>
          </cell>
        </row>
        <row r="3927">
          <cell r="J3927" t="str">
            <v>S/L</v>
          </cell>
          <cell r="R3927" t="str">
            <v xml:space="preserve"> </v>
          </cell>
        </row>
        <row r="3928">
          <cell r="J3928" t="str">
            <v>S/L</v>
          </cell>
          <cell r="R3928" t="str">
            <v xml:space="preserve"> </v>
          </cell>
        </row>
        <row r="3929">
          <cell r="J3929" t="str">
            <v>S/L</v>
          </cell>
          <cell r="R3929" t="str">
            <v xml:space="preserve"> </v>
          </cell>
        </row>
        <row r="3930">
          <cell r="J3930" t="str">
            <v>S/L</v>
          </cell>
          <cell r="R3930" t="str">
            <v xml:space="preserve"> </v>
          </cell>
        </row>
        <row r="3931">
          <cell r="J3931" t="str">
            <v>S/L</v>
          </cell>
          <cell r="R3931" t="str">
            <v xml:space="preserve"> </v>
          </cell>
        </row>
        <row r="3932">
          <cell r="J3932" t="str">
            <v>S/L</v>
          </cell>
          <cell r="R3932" t="str">
            <v xml:space="preserve"> </v>
          </cell>
        </row>
        <row r="3933">
          <cell r="J3933" t="str">
            <v>S/L</v>
          </cell>
          <cell r="R3933" t="str">
            <v xml:space="preserve"> </v>
          </cell>
        </row>
        <row r="3934">
          <cell r="J3934" t="str">
            <v>S/L</v>
          </cell>
          <cell r="R3934" t="str">
            <v xml:space="preserve"> </v>
          </cell>
        </row>
        <row r="3935">
          <cell r="J3935" t="str">
            <v>S/L</v>
          </cell>
          <cell r="R3935" t="str">
            <v xml:space="preserve"> </v>
          </cell>
        </row>
        <row r="3936">
          <cell r="J3936" t="str">
            <v>S/L</v>
          </cell>
          <cell r="R3936" t="str">
            <v xml:space="preserve"> </v>
          </cell>
        </row>
        <row r="3937">
          <cell r="J3937" t="str">
            <v>S/L</v>
          </cell>
          <cell r="R3937" t="str">
            <v xml:space="preserve"> </v>
          </cell>
        </row>
        <row r="3938">
          <cell r="J3938" t="str">
            <v>S/L</v>
          </cell>
          <cell r="R3938" t="str">
            <v xml:space="preserve"> </v>
          </cell>
        </row>
        <row r="3939">
          <cell r="J3939" t="str">
            <v>S/L</v>
          </cell>
          <cell r="R3939" t="str">
            <v xml:space="preserve"> </v>
          </cell>
        </row>
        <row r="3940">
          <cell r="J3940" t="str">
            <v>S/L</v>
          </cell>
          <cell r="R3940" t="str">
            <v xml:space="preserve"> </v>
          </cell>
        </row>
        <row r="3941">
          <cell r="J3941" t="str">
            <v>S/L</v>
          </cell>
          <cell r="R3941" t="str">
            <v xml:space="preserve"> </v>
          </cell>
        </row>
        <row r="3942">
          <cell r="J3942" t="str">
            <v>S/L</v>
          </cell>
          <cell r="R3942" t="str">
            <v xml:space="preserve"> </v>
          </cell>
        </row>
        <row r="3943">
          <cell r="J3943" t="str">
            <v>S/L</v>
          </cell>
          <cell r="R3943" t="str">
            <v xml:space="preserve"> </v>
          </cell>
        </row>
        <row r="3944">
          <cell r="J3944" t="str">
            <v>S/L</v>
          </cell>
          <cell r="R3944" t="str">
            <v xml:space="preserve"> </v>
          </cell>
        </row>
        <row r="3945">
          <cell r="J3945" t="str">
            <v>S/L</v>
          </cell>
          <cell r="R3945" t="str">
            <v xml:space="preserve"> </v>
          </cell>
        </row>
        <row r="3946">
          <cell r="J3946" t="str">
            <v>S/L</v>
          </cell>
          <cell r="R3946" t="str">
            <v xml:space="preserve"> </v>
          </cell>
        </row>
        <row r="3947">
          <cell r="J3947" t="str">
            <v>S/L</v>
          </cell>
          <cell r="R3947" t="str">
            <v xml:space="preserve"> </v>
          </cell>
        </row>
        <row r="3948">
          <cell r="J3948" t="str">
            <v>S/L</v>
          </cell>
          <cell r="R3948" t="str">
            <v xml:space="preserve"> </v>
          </cell>
        </row>
        <row r="3949">
          <cell r="J3949" t="str">
            <v>S/L</v>
          </cell>
          <cell r="R3949" t="str">
            <v xml:space="preserve"> </v>
          </cell>
        </row>
        <row r="3950">
          <cell r="J3950" t="str">
            <v>S/L</v>
          </cell>
          <cell r="R3950" t="str">
            <v xml:space="preserve"> </v>
          </cell>
        </row>
        <row r="3951">
          <cell r="J3951" t="str">
            <v>S/L</v>
          </cell>
          <cell r="R3951" t="str">
            <v xml:space="preserve"> </v>
          </cell>
        </row>
        <row r="3952">
          <cell r="J3952" t="str">
            <v>S/L</v>
          </cell>
          <cell r="R3952" t="str">
            <v xml:space="preserve"> </v>
          </cell>
        </row>
        <row r="3953">
          <cell r="J3953" t="str">
            <v>S/L</v>
          </cell>
          <cell r="R3953" t="str">
            <v xml:space="preserve"> </v>
          </cell>
        </row>
        <row r="3954">
          <cell r="J3954" t="str">
            <v>S/L</v>
          </cell>
          <cell r="R3954" t="str">
            <v xml:space="preserve"> </v>
          </cell>
        </row>
        <row r="3955">
          <cell r="J3955" t="str">
            <v>S/L</v>
          </cell>
          <cell r="R3955" t="str">
            <v xml:space="preserve"> </v>
          </cell>
        </row>
        <row r="3956">
          <cell r="J3956" t="str">
            <v>S/L</v>
          </cell>
          <cell r="R3956" t="str">
            <v xml:space="preserve"> </v>
          </cell>
        </row>
        <row r="3957">
          <cell r="J3957" t="str">
            <v>S/L</v>
          </cell>
          <cell r="R3957" t="str">
            <v xml:space="preserve"> </v>
          </cell>
        </row>
        <row r="3958">
          <cell r="J3958" t="str">
            <v>S/L</v>
          </cell>
          <cell r="R3958" t="str">
            <v xml:space="preserve"> </v>
          </cell>
        </row>
        <row r="3959">
          <cell r="J3959" t="str">
            <v>S/L</v>
          </cell>
          <cell r="R3959" t="str">
            <v xml:space="preserve"> </v>
          </cell>
        </row>
        <row r="3960">
          <cell r="J3960" t="str">
            <v>S/L</v>
          </cell>
          <cell r="R3960" t="str">
            <v xml:space="preserve"> </v>
          </cell>
        </row>
        <row r="3961">
          <cell r="J3961" t="str">
            <v>S/L</v>
          </cell>
          <cell r="R3961" t="str">
            <v xml:space="preserve"> </v>
          </cell>
        </row>
        <row r="3962">
          <cell r="J3962" t="str">
            <v>S/L</v>
          </cell>
          <cell r="R3962" t="str">
            <v xml:space="preserve"> </v>
          </cell>
        </row>
        <row r="3963">
          <cell r="J3963" t="str">
            <v>S/L</v>
          </cell>
          <cell r="R3963" t="str">
            <v xml:space="preserve"> </v>
          </cell>
        </row>
        <row r="3964">
          <cell r="J3964" t="str">
            <v>S/L</v>
          </cell>
          <cell r="R3964" t="str">
            <v xml:space="preserve"> </v>
          </cell>
        </row>
        <row r="3965">
          <cell r="J3965" t="str">
            <v>S/L</v>
          </cell>
          <cell r="R3965" t="str">
            <v xml:space="preserve"> </v>
          </cell>
        </row>
        <row r="3966">
          <cell r="J3966" t="str">
            <v>S/L</v>
          </cell>
          <cell r="R3966" t="str">
            <v xml:space="preserve"> </v>
          </cell>
        </row>
        <row r="3967">
          <cell r="J3967" t="str">
            <v>S/L</v>
          </cell>
          <cell r="R3967" t="str">
            <v xml:space="preserve"> </v>
          </cell>
        </row>
        <row r="3968">
          <cell r="J3968" t="str">
            <v>S/L</v>
          </cell>
          <cell r="R3968" t="str">
            <v xml:space="preserve"> </v>
          </cell>
        </row>
        <row r="3969">
          <cell r="J3969" t="str">
            <v>S/L</v>
          </cell>
          <cell r="R3969" t="str">
            <v xml:space="preserve"> </v>
          </cell>
        </row>
        <row r="3970">
          <cell r="J3970" t="str">
            <v>S/L</v>
          </cell>
          <cell r="R3970" t="str">
            <v xml:space="preserve"> </v>
          </cell>
        </row>
        <row r="3971">
          <cell r="J3971" t="str">
            <v>S/L</v>
          </cell>
          <cell r="R3971" t="str">
            <v xml:space="preserve"> </v>
          </cell>
        </row>
        <row r="3972">
          <cell r="J3972" t="str">
            <v>S/L</v>
          </cell>
          <cell r="R3972" t="str">
            <v xml:space="preserve"> </v>
          </cell>
        </row>
        <row r="3973">
          <cell r="J3973" t="str">
            <v>S/L</v>
          </cell>
          <cell r="R3973" t="str">
            <v xml:space="preserve"> </v>
          </cell>
        </row>
        <row r="3974">
          <cell r="J3974" t="str">
            <v>S/L</v>
          </cell>
          <cell r="R3974" t="str">
            <v xml:space="preserve"> </v>
          </cell>
        </row>
        <row r="3975">
          <cell r="J3975" t="str">
            <v>S/L</v>
          </cell>
          <cell r="R3975" t="str">
            <v xml:space="preserve"> </v>
          </cell>
        </row>
        <row r="3976">
          <cell r="J3976" t="str">
            <v>S/L</v>
          </cell>
          <cell r="R3976" t="str">
            <v xml:space="preserve"> </v>
          </cell>
        </row>
        <row r="3977">
          <cell r="J3977" t="str">
            <v>S/L</v>
          </cell>
          <cell r="R3977" t="str">
            <v xml:space="preserve"> </v>
          </cell>
        </row>
        <row r="3978">
          <cell r="J3978" t="str">
            <v>S/L</v>
          </cell>
          <cell r="R3978" t="str">
            <v xml:space="preserve"> </v>
          </cell>
        </row>
        <row r="3979">
          <cell r="J3979" t="str">
            <v>S/L</v>
          </cell>
          <cell r="R3979" t="str">
            <v xml:space="preserve"> </v>
          </cell>
        </row>
        <row r="3980">
          <cell r="J3980" t="str">
            <v>S/L</v>
          </cell>
          <cell r="R3980" t="str">
            <v xml:space="preserve"> </v>
          </cell>
        </row>
        <row r="3981">
          <cell r="J3981" t="str">
            <v>S/L</v>
          </cell>
          <cell r="R3981" t="str">
            <v xml:space="preserve"> </v>
          </cell>
        </row>
        <row r="3982">
          <cell r="J3982" t="str">
            <v>S/L</v>
          </cell>
          <cell r="R3982" t="str">
            <v xml:space="preserve"> </v>
          </cell>
        </row>
        <row r="3983">
          <cell r="J3983" t="str">
            <v>S/L</v>
          </cell>
          <cell r="R3983" t="str">
            <v xml:space="preserve"> </v>
          </cell>
        </row>
        <row r="3984">
          <cell r="J3984" t="str">
            <v>S/L</v>
          </cell>
          <cell r="R3984" t="str">
            <v xml:space="preserve"> </v>
          </cell>
        </row>
        <row r="3985">
          <cell r="J3985" t="str">
            <v>S/L</v>
          </cell>
          <cell r="R3985" t="str">
            <v xml:space="preserve"> </v>
          </cell>
        </row>
        <row r="3986">
          <cell r="J3986" t="str">
            <v>S/L</v>
          </cell>
          <cell r="R3986" t="str">
            <v xml:space="preserve"> </v>
          </cell>
        </row>
        <row r="3987">
          <cell r="J3987" t="str">
            <v>S/L</v>
          </cell>
          <cell r="R3987" t="str">
            <v xml:space="preserve"> </v>
          </cell>
        </row>
        <row r="3988">
          <cell r="J3988" t="str">
            <v>S/L</v>
          </cell>
          <cell r="R3988" t="str">
            <v xml:space="preserve"> </v>
          </cell>
        </row>
        <row r="3989">
          <cell r="J3989" t="str">
            <v>S/L</v>
          </cell>
          <cell r="R3989" t="str">
            <v xml:space="preserve"> </v>
          </cell>
        </row>
        <row r="3990">
          <cell r="J3990" t="str">
            <v>S/L</v>
          </cell>
          <cell r="R3990" t="str">
            <v xml:space="preserve"> </v>
          </cell>
        </row>
        <row r="3991">
          <cell r="J3991" t="str">
            <v>S/L</v>
          </cell>
          <cell r="R3991" t="str">
            <v xml:space="preserve"> </v>
          </cell>
        </row>
        <row r="3992">
          <cell r="J3992" t="str">
            <v>S/L</v>
          </cell>
          <cell r="R3992" t="str">
            <v xml:space="preserve"> </v>
          </cell>
        </row>
        <row r="3993">
          <cell r="J3993" t="str">
            <v>S/L</v>
          </cell>
          <cell r="R3993" t="str">
            <v xml:space="preserve"> </v>
          </cell>
        </row>
        <row r="3994">
          <cell r="J3994" t="str">
            <v>S/L</v>
          </cell>
          <cell r="R3994" t="str">
            <v xml:space="preserve"> </v>
          </cell>
        </row>
        <row r="3995">
          <cell r="J3995" t="str">
            <v>S/L</v>
          </cell>
          <cell r="R3995" t="str">
            <v xml:space="preserve"> </v>
          </cell>
        </row>
        <row r="3996">
          <cell r="J3996" t="str">
            <v>S/L</v>
          </cell>
          <cell r="R3996" t="str">
            <v xml:space="preserve"> </v>
          </cell>
        </row>
        <row r="3997">
          <cell r="J3997" t="str">
            <v>S/L</v>
          </cell>
          <cell r="R3997" t="str">
            <v xml:space="preserve"> </v>
          </cell>
        </row>
        <row r="3998">
          <cell r="J3998" t="str">
            <v>S/L</v>
          </cell>
          <cell r="R3998" t="str">
            <v xml:space="preserve"> </v>
          </cell>
        </row>
        <row r="3999">
          <cell r="J3999" t="str">
            <v>S/L</v>
          </cell>
          <cell r="R3999" t="str">
            <v xml:space="preserve"> </v>
          </cell>
        </row>
        <row r="4000">
          <cell r="J4000" t="str">
            <v>S/L</v>
          </cell>
          <cell r="R4000" t="str">
            <v xml:space="preserve"> </v>
          </cell>
        </row>
        <row r="4001">
          <cell r="J4001" t="str">
            <v>S/L</v>
          </cell>
          <cell r="R4001" t="str">
            <v xml:space="preserve"> </v>
          </cell>
        </row>
        <row r="4002">
          <cell r="J4002" t="str">
            <v>S/L</v>
          </cell>
          <cell r="R4002" t="str">
            <v xml:space="preserve"> </v>
          </cell>
        </row>
        <row r="4003">
          <cell r="J4003" t="str">
            <v>S/L</v>
          </cell>
          <cell r="R4003" t="str">
            <v xml:space="preserve"> </v>
          </cell>
        </row>
        <row r="4004">
          <cell r="J4004" t="str">
            <v>S/L</v>
          </cell>
          <cell r="R4004" t="str">
            <v xml:space="preserve"> </v>
          </cell>
        </row>
        <row r="4005">
          <cell r="J4005" t="str">
            <v>S/L</v>
          </cell>
          <cell r="R4005" t="str">
            <v xml:space="preserve"> </v>
          </cell>
        </row>
        <row r="4006">
          <cell r="J4006" t="str">
            <v>S/L</v>
          </cell>
          <cell r="R4006" t="str">
            <v xml:space="preserve"> </v>
          </cell>
        </row>
        <row r="4007">
          <cell r="J4007" t="str">
            <v>S/L</v>
          </cell>
          <cell r="R4007" t="str">
            <v xml:space="preserve"> </v>
          </cell>
        </row>
        <row r="4008">
          <cell r="J4008" t="str">
            <v>S/L</v>
          </cell>
          <cell r="R4008" t="str">
            <v xml:space="preserve"> </v>
          </cell>
        </row>
        <row r="4009">
          <cell r="J4009" t="str">
            <v>S/L</v>
          </cell>
          <cell r="R4009" t="str">
            <v xml:space="preserve"> </v>
          </cell>
        </row>
        <row r="4010">
          <cell r="J4010" t="str">
            <v>S/L</v>
          </cell>
          <cell r="R4010" t="str">
            <v xml:space="preserve"> </v>
          </cell>
        </row>
        <row r="4011">
          <cell r="J4011" t="str">
            <v>S/L</v>
          </cell>
          <cell r="R4011" t="str">
            <v xml:space="preserve"> </v>
          </cell>
        </row>
        <row r="4012">
          <cell r="J4012" t="str">
            <v>S/L</v>
          </cell>
          <cell r="R4012" t="str">
            <v xml:space="preserve"> </v>
          </cell>
        </row>
        <row r="4013">
          <cell r="J4013" t="str">
            <v>S/L</v>
          </cell>
          <cell r="R4013" t="str">
            <v xml:space="preserve"> </v>
          </cell>
        </row>
        <row r="4014">
          <cell r="J4014" t="str">
            <v>S/L</v>
          </cell>
          <cell r="R4014" t="str">
            <v xml:space="preserve"> </v>
          </cell>
        </row>
        <row r="4015">
          <cell r="J4015" t="str">
            <v>S/L</v>
          </cell>
          <cell r="R4015" t="str">
            <v xml:space="preserve"> </v>
          </cell>
        </row>
        <row r="4016">
          <cell r="J4016" t="str">
            <v>S/L</v>
          </cell>
          <cell r="R4016" t="str">
            <v xml:space="preserve"> </v>
          </cell>
        </row>
        <row r="4017">
          <cell r="J4017" t="str">
            <v>S/L</v>
          </cell>
          <cell r="R4017" t="str">
            <v xml:space="preserve"> </v>
          </cell>
        </row>
        <row r="4018">
          <cell r="J4018" t="str">
            <v>S/L</v>
          </cell>
          <cell r="R4018" t="str">
            <v xml:space="preserve"> </v>
          </cell>
        </row>
        <row r="4019">
          <cell r="J4019" t="str">
            <v>S/L</v>
          </cell>
          <cell r="R4019" t="str">
            <v xml:space="preserve"> </v>
          </cell>
        </row>
        <row r="4020">
          <cell r="J4020" t="str">
            <v>S/L</v>
          </cell>
          <cell r="R4020" t="str">
            <v xml:space="preserve"> </v>
          </cell>
        </row>
        <row r="4021">
          <cell r="J4021" t="str">
            <v>S/L</v>
          </cell>
          <cell r="R4021" t="str">
            <v xml:space="preserve"> </v>
          </cell>
        </row>
        <row r="4022">
          <cell r="J4022" t="str">
            <v>S/L</v>
          </cell>
          <cell r="R4022" t="str">
            <v xml:space="preserve"> </v>
          </cell>
        </row>
        <row r="4023">
          <cell r="J4023" t="str">
            <v>S/L</v>
          </cell>
          <cell r="R4023" t="str">
            <v xml:space="preserve"> </v>
          </cell>
        </row>
        <row r="4024">
          <cell r="J4024" t="str">
            <v>S/L</v>
          </cell>
          <cell r="R4024" t="str">
            <v xml:space="preserve"> </v>
          </cell>
        </row>
        <row r="4025">
          <cell r="J4025" t="str">
            <v>S/L</v>
          </cell>
          <cell r="R4025" t="str">
            <v xml:space="preserve"> </v>
          </cell>
        </row>
        <row r="4026">
          <cell r="J4026" t="str">
            <v>S/L</v>
          </cell>
          <cell r="R4026" t="str">
            <v xml:space="preserve"> </v>
          </cell>
        </row>
        <row r="4027">
          <cell r="J4027" t="str">
            <v>S/L</v>
          </cell>
          <cell r="R4027" t="str">
            <v xml:space="preserve"> </v>
          </cell>
        </row>
        <row r="4028">
          <cell r="J4028" t="str">
            <v>S/L</v>
          </cell>
          <cell r="R4028" t="str">
            <v xml:space="preserve"> </v>
          </cell>
        </row>
        <row r="4029">
          <cell r="J4029" t="str">
            <v>S/L</v>
          </cell>
          <cell r="R4029" t="str">
            <v xml:space="preserve"> </v>
          </cell>
        </row>
        <row r="4030">
          <cell r="J4030" t="str">
            <v>S/L</v>
          </cell>
          <cell r="R4030" t="str">
            <v xml:space="preserve"> </v>
          </cell>
        </row>
        <row r="4031">
          <cell r="J4031" t="str">
            <v>S/L</v>
          </cell>
          <cell r="R4031" t="str">
            <v xml:space="preserve"> </v>
          </cell>
        </row>
        <row r="4032">
          <cell r="J4032" t="str">
            <v>S/L</v>
          </cell>
          <cell r="R4032" t="str">
            <v xml:space="preserve"> </v>
          </cell>
        </row>
        <row r="4033">
          <cell r="J4033" t="str">
            <v>S/L</v>
          </cell>
          <cell r="R4033" t="str">
            <v xml:space="preserve"> </v>
          </cell>
        </row>
        <row r="4034">
          <cell r="J4034" t="str">
            <v>S/L</v>
          </cell>
          <cell r="R4034" t="str">
            <v xml:space="preserve"> </v>
          </cell>
        </row>
        <row r="4035">
          <cell r="J4035" t="str">
            <v>S/L</v>
          </cell>
          <cell r="R4035" t="str">
            <v xml:space="preserve"> </v>
          </cell>
        </row>
        <row r="4036">
          <cell r="J4036" t="str">
            <v>S/L</v>
          </cell>
          <cell r="R4036" t="str">
            <v xml:space="preserve"> </v>
          </cell>
        </row>
        <row r="4037">
          <cell r="J4037" t="str">
            <v>S/L</v>
          </cell>
          <cell r="R4037" t="str">
            <v xml:space="preserve"> </v>
          </cell>
        </row>
        <row r="4038">
          <cell r="J4038" t="str">
            <v>S/L</v>
          </cell>
          <cell r="R4038" t="str">
            <v xml:space="preserve"> </v>
          </cell>
        </row>
        <row r="4039">
          <cell r="J4039" t="str">
            <v>S/L</v>
          </cell>
          <cell r="R4039" t="str">
            <v xml:space="preserve"> </v>
          </cell>
        </row>
        <row r="4040">
          <cell r="J4040" t="str">
            <v>S/L</v>
          </cell>
          <cell r="R4040" t="str">
            <v xml:space="preserve"> </v>
          </cell>
        </row>
        <row r="4041">
          <cell r="J4041" t="str">
            <v>S/L</v>
          </cell>
          <cell r="R4041" t="str">
            <v xml:space="preserve"> </v>
          </cell>
        </row>
        <row r="4042">
          <cell r="J4042" t="str">
            <v>S/L</v>
          </cell>
          <cell r="R4042" t="str">
            <v xml:space="preserve"> </v>
          </cell>
        </row>
        <row r="4043">
          <cell r="J4043" t="str">
            <v>S/L</v>
          </cell>
          <cell r="R4043" t="str">
            <v xml:space="preserve"> </v>
          </cell>
        </row>
        <row r="4044">
          <cell r="J4044" t="str">
            <v>S/L</v>
          </cell>
          <cell r="R4044" t="str">
            <v xml:space="preserve"> </v>
          </cell>
        </row>
        <row r="4045">
          <cell r="J4045" t="str">
            <v>S/L</v>
          </cell>
          <cell r="R4045" t="str">
            <v xml:space="preserve"> </v>
          </cell>
        </row>
        <row r="4046">
          <cell r="J4046" t="str">
            <v>S/L</v>
          </cell>
          <cell r="R4046" t="str">
            <v xml:space="preserve"> </v>
          </cell>
        </row>
        <row r="4047">
          <cell r="J4047" t="str">
            <v>S/L</v>
          </cell>
          <cell r="R4047" t="str">
            <v xml:space="preserve"> </v>
          </cell>
        </row>
        <row r="4048">
          <cell r="J4048" t="str">
            <v>S/L</v>
          </cell>
          <cell r="R4048" t="str">
            <v xml:space="preserve"> </v>
          </cell>
        </row>
        <row r="4049">
          <cell r="J4049" t="str">
            <v>S/L</v>
          </cell>
          <cell r="R4049" t="str">
            <v xml:space="preserve"> </v>
          </cell>
        </row>
        <row r="4050">
          <cell r="J4050" t="str">
            <v>S/L</v>
          </cell>
          <cell r="R4050" t="str">
            <v xml:space="preserve"> </v>
          </cell>
        </row>
        <row r="4051">
          <cell r="J4051" t="str">
            <v>S/L</v>
          </cell>
          <cell r="R4051" t="str">
            <v xml:space="preserve"> </v>
          </cell>
        </row>
        <row r="4052">
          <cell r="J4052" t="str">
            <v>S/L</v>
          </cell>
          <cell r="R4052" t="str">
            <v xml:space="preserve"> </v>
          </cell>
        </row>
        <row r="4053">
          <cell r="J4053" t="str">
            <v>S/L</v>
          </cell>
          <cell r="R4053" t="str">
            <v xml:space="preserve"> </v>
          </cell>
        </row>
        <row r="4054">
          <cell r="J4054" t="str">
            <v>S/L</v>
          </cell>
          <cell r="R4054" t="str">
            <v xml:space="preserve"> </v>
          </cell>
        </row>
        <row r="4055">
          <cell r="J4055" t="str">
            <v>S/L</v>
          </cell>
          <cell r="R4055" t="str">
            <v xml:space="preserve"> </v>
          </cell>
        </row>
        <row r="4056">
          <cell r="J4056" t="str">
            <v>S/L</v>
          </cell>
          <cell r="R4056" t="str">
            <v xml:space="preserve"> </v>
          </cell>
        </row>
        <row r="4057">
          <cell r="J4057" t="str">
            <v>S/L</v>
          </cell>
          <cell r="R4057" t="str">
            <v xml:space="preserve"> </v>
          </cell>
        </row>
        <row r="4058">
          <cell r="J4058" t="str">
            <v>S/L</v>
          </cell>
          <cell r="R4058" t="str">
            <v xml:space="preserve"> </v>
          </cell>
        </row>
        <row r="4059">
          <cell r="J4059" t="str">
            <v>S/L</v>
          </cell>
          <cell r="R4059" t="str">
            <v xml:space="preserve"> </v>
          </cell>
        </row>
        <row r="4060">
          <cell r="J4060" t="str">
            <v>S/L</v>
          </cell>
          <cell r="R4060" t="str">
            <v xml:space="preserve"> </v>
          </cell>
        </row>
        <row r="4061">
          <cell r="J4061" t="str">
            <v>S/L</v>
          </cell>
          <cell r="R4061" t="str">
            <v xml:space="preserve"> </v>
          </cell>
        </row>
        <row r="4062">
          <cell r="J4062" t="str">
            <v>S/L</v>
          </cell>
          <cell r="R4062" t="str">
            <v xml:space="preserve"> </v>
          </cell>
        </row>
        <row r="4063">
          <cell r="J4063" t="str">
            <v>S/L</v>
          </cell>
          <cell r="R4063" t="str">
            <v xml:space="preserve"> </v>
          </cell>
        </row>
        <row r="4064">
          <cell r="J4064" t="str">
            <v>S/L</v>
          </cell>
          <cell r="R4064" t="str">
            <v xml:space="preserve"> </v>
          </cell>
        </row>
        <row r="4065">
          <cell r="J4065" t="str">
            <v>S/L</v>
          </cell>
          <cell r="R4065" t="str">
            <v xml:space="preserve"> </v>
          </cell>
        </row>
        <row r="4066">
          <cell r="J4066" t="str">
            <v>S/L</v>
          </cell>
          <cell r="R4066" t="str">
            <v xml:space="preserve"> </v>
          </cell>
        </row>
        <row r="4067">
          <cell r="J4067" t="str">
            <v>S/L</v>
          </cell>
          <cell r="R4067" t="str">
            <v xml:space="preserve"> </v>
          </cell>
        </row>
        <row r="4068">
          <cell r="J4068" t="str">
            <v>S/L</v>
          </cell>
          <cell r="R4068" t="str">
            <v xml:space="preserve"> </v>
          </cell>
        </row>
        <row r="4069">
          <cell r="J4069" t="str">
            <v>S/L</v>
          </cell>
          <cell r="R4069" t="str">
            <v xml:space="preserve"> </v>
          </cell>
        </row>
        <row r="4070">
          <cell r="J4070" t="str">
            <v>S/L</v>
          </cell>
          <cell r="R4070" t="str">
            <v xml:space="preserve"> </v>
          </cell>
        </row>
        <row r="4071">
          <cell r="J4071" t="str">
            <v>S/L</v>
          </cell>
          <cell r="R4071" t="str">
            <v xml:space="preserve"> </v>
          </cell>
        </row>
        <row r="4072">
          <cell r="J4072" t="str">
            <v>S/L</v>
          </cell>
          <cell r="R4072" t="str">
            <v xml:space="preserve"> </v>
          </cell>
        </row>
        <row r="4073">
          <cell r="J4073" t="str">
            <v>S/L</v>
          </cell>
          <cell r="R4073" t="str">
            <v xml:space="preserve"> </v>
          </cell>
        </row>
        <row r="4074">
          <cell r="J4074" t="str">
            <v>S/L</v>
          </cell>
          <cell r="R4074" t="str">
            <v xml:space="preserve"> </v>
          </cell>
        </row>
        <row r="4075">
          <cell r="J4075" t="str">
            <v>S/L</v>
          </cell>
          <cell r="R4075" t="str">
            <v xml:space="preserve"> </v>
          </cell>
        </row>
        <row r="4076">
          <cell r="J4076" t="str">
            <v>S/L</v>
          </cell>
          <cell r="R4076" t="str">
            <v xml:space="preserve"> </v>
          </cell>
        </row>
        <row r="4077">
          <cell r="J4077" t="str">
            <v>S/L</v>
          </cell>
          <cell r="R4077" t="str">
            <v xml:space="preserve"> </v>
          </cell>
        </row>
        <row r="4078">
          <cell r="J4078" t="str">
            <v>S/L</v>
          </cell>
          <cell r="R4078" t="str">
            <v xml:space="preserve"> </v>
          </cell>
        </row>
        <row r="4079">
          <cell r="J4079" t="str">
            <v>S/L</v>
          </cell>
          <cell r="R4079" t="str">
            <v xml:space="preserve"> </v>
          </cell>
        </row>
        <row r="4080">
          <cell r="J4080" t="str">
            <v>S/L</v>
          </cell>
          <cell r="R4080" t="str">
            <v xml:space="preserve"> </v>
          </cell>
        </row>
        <row r="4081">
          <cell r="J4081" t="str">
            <v>S/L</v>
          </cell>
          <cell r="R4081" t="str">
            <v xml:space="preserve"> </v>
          </cell>
        </row>
        <row r="4082">
          <cell r="J4082" t="str">
            <v>S/L</v>
          </cell>
          <cell r="R4082" t="str">
            <v xml:space="preserve"> </v>
          </cell>
        </row>
        <row r="4083">
          <cell r="J4083" t="str">
            <v>S/L</v>
          </cell>
          <cell r="R4083" t="str">
            <v xml:space="preserve"> </v>
          </cell>
        </row>
        <row r="4084">
          <cell r="J4084" t="str">
            <v>S/L</v>
          </cell>
          <cell r="R4084" t="str">
            <v xml:space="preserve"> </v>
          </cell>
        </row>
        <row r="4085">
          <cell r="J4085" t="str">
            <v>S/L</v>
          </cell>
          <cell r="R4085" t="str">
            <v xml:space="preserve"> </v>
          </cell>
        </row>
        <row r="4086">
          <cell r="J4086" t="str">
            <v>S/L</v>
          </cell>
          <cell r="R4086" t="str">
            <v xml:space="preserve"> </v>
          </cell>
        </row>
        <row r="4087">
          <cell r="J4087" t="str">
            <v>S/L</v>
          </cell>
          <cell r="R4087" t="str">
            <v xml:space="preserve"> </v>
          </cell>
        </row>
        <row r="4088">
          <cell r="J4088" t="str">
            <v>S/L</v>
          </cell>
          <cell r="R4088" t="str">
            <v xml:space="preserve"> </v>
          </cell>
        </row>
        <row r="4089">
          <cell r="J4089" t="str">
            <v>S/L</v>
          </cell>
          <cell r="R4089" t="str">
            <v xml:space="preserve"> </v>
          </cell>
        </row>
        <row r="4090">
          <cell r="J4090" t="str">
            <v>S/L</v>
          </cell>
          <cell r="R4090" t="str">
            <v xml:space="preserve"> </v>
          </cell>
        </row>
        <row r="4091">
          <cell r="J4091" t="str">
            <v>S/L</v>
          </cell>
          <cell r="R4091" t="str">
            <v xml:space="preserve"> </v>
          </cell>
        </row>
        <row r="4092">
          <cell r="J4092" t="str">
            <v>S/L</v>
          </cell>
          <cell r="R4092" t="str">
            <v xml:space="preserve"> </v>
          </cell>
        </row>
        <row r="4093">
          <cell r="J4093" t="str">
            <v>S/L</v>
          </cell>
          <cell r="R4093" t="str">
            <v xml:space="preserve"> </v>
          </cell>
        </row>
        <row r="4094">
          <cell r="J4094" t="str">
            <v>S/L</v>
          </cell>
          <cell r="R4094" t="str">
            <v xml:space="preserve"> </v>
          </cell>
        </row>
        <row r="4095">
          <cell r="J4095" t="str">
            <v>S/L</v>
          </cell>
          <cell r="R4095" t="str">
            <v xml:space="preserve"> </v>
          </cell>
        </row>
        <row r="4096">
          <cell r="J4096" t="str">
            <v>S/L</v>
          </cell>
          <cell r="R4096" t="str">
            <v xml:space="preserve"> </v>
          </cell>
        </row>
        <row r="4097">
          <cell r="J4097" t="str">
            <v>S/L</v>
          </cell>
          <cell r="R4097" t="str">
            <v xml:space="preserve"> </v>
          </cell>
        </row>
        <row r="4098">
          <cell r="J4098" t="str">
            <v>S/L</v>
          </cell>
          <cell r="R4098" t="str">
            <v xml:space="preserve"> </v>
          </cell>
        </row>
        <row r="4099">
          <cell r="J4099" t="str">
            <v>S/L</v>
          </cell>
          <cell r="R4099" t="str">
            <v xml:space="preserve"> </v>
          </cell>
        </row>
        <row r="4100">
          <cell r="J4100" t="str">
            <v>S/L</v>
          </cell>
          <cell r="R4100" t="str">
            <v xml:space="preserve"> </v>
          </cell>
        </row>
        <row r="4101">
          <cell r="J4101" t="str">
            <v>S/L</v>
          </cell>
          <cell r="R4101" t="str">
            <v xml:space="preserve"> </v>
          </cell>
        </row>
        <row r="4102">
          <cell r="J4102" t="str">
            <v>S/L</v>
          </cell>
          <cell r="R4102" t="str">
            <v xml:space="preserve"> </v>
          </cell>
        </row>
        <row r="4103">
          <cell r="J4103" t="str">
            <v>S/L</v>
          </cell>
          <cell r="R4103" t="str">
            <v xml:space="preserve"> </v>
          </cell>
        </row>
        <row r="4104">
          <cell r="J4104" t="str">
            <v>S/L</v>
          </cell>
          <cell r="R4104" t="str">
            <v xml:space="preserve"> </v>
          </cell>
        </row>
        <row r="4105">
          <cell r="J4105" t="str">
            <v>S/L</v>
          </cell>
          <cell r="R4105" t="str">
            <v xml:space="preserve"> </v>
          </cell>
        </row>
        <row r="4106">
          <cell r="J4106" t="str">
            <v>S/L</v>
          </cell>
          <cell r="R4106" t="str">
            <v xml:space="preserve"> </v>
          </cell>
        </row>
        <row r="4107">
          <cell r="J4107" t="str">
            <v>S/L</v>
          </cell>
          <cell r="R4107" t="str">
            <v xml:space="preserve"> </v>
          </cell>
        </row>
        <row r="4108">
          <cell r="J4108" t="str">
            <v>S/L</v>
          </cell>
          <cell r="R4108" t="str">
            <v xml:space="preserve"> </v>
          </cell>
        </row>
        <row r="4109">
          <cell r="J4109" t="str">
            <v>S/L</v>
          </cell>
          <cell r="R4109" t="str">
            <v xml:space="preserve"> </v>
          </cell>
        </row>
        <row r="4110">
          <cell r="J4110" t="str">
            <v>S/L</v>
          </cell>
          <cell r="R4110" t="str">
            <v xml:space="preserve"> </v>
          </cell>
        </row>
        <row r="4111">
          <cell r="J4111" t="str">
            <v>S/L</v>
          </cell>
          <cell r="R4111" t="str">
            <v xml:space="preserve"> </v>
          </cell>
        </row>
        <row r="4112">
          <cell r="J4112" t="str">
            <v>S/L</v>
          </cell>
          <cell r="R4112" t="str">
            <v xml:space="preserve"> </v>
          </cell>
        </row>
        <row r="4113">
          <cell r="J4113" t="str">
            <v>S/L</v>
          </cell>
          <cell r="R4113" t="str">
            <v xml:space="preserve"> </v>
          </cell>
        </row>
        <row r="4114">
          <cell r="J4114" t="str">
            <v>S/L</v>
          </cell>
          <cell r="R4114" t="str">
            <v xml:space="preserve"> </v>
          </cell>
        </row>
        <row r="4115">
          <cell r="J4115" t="str">
            <v>S/L</v>
          </cell>
          <cell r="R4115" t="str">
            <v xml:space="preserve"> </v>
          </cell>
        </row>
        <row r="4116">
          <cell r="J4116" t="str">
            <v>S/L</v>
          </cell>
          <cell r="R4116" t="str">
            <v xml:space="preserve"> </v>
          </cell>
        </row>
        <row r="4117">
          <cell r="J4117" t="str">
            <v>S/L</v>
          </cell>
          <cell r="R4117" t="str">
            <v xml:space="preserve"> </v>
          </cell>
        </row>
        <row r="4118">
          <cell r="J4118" t="str">
            <v>S/L</v>
          </cell>
          <cell r="R4118" t="str">
            <v xml:space="preserve"> </v>
          </cell>
        </row>
        <row r="4119">
          <cell r="J4119" t="str">
            <v>S/L</v>
          </cell>
          <cell r="R4119" t="str">
            <v xml:space="preserve"> </v>
          </cell>
        </row>
        <row r="4120">
          <cell r="J4120" t="str">
            <v>S/L</v>
          </cell>
          <cell r="R4120" t="str">
            <v xml:space="preserve"> </v>
          </cell>
        </row>
        <row r="4121">
          <cell r="J4121" t="str">
            <v>S/L</v>
          </cell>
          <cell r="R4121" t="str">
            <v xml:space="preserve"> </v>
          </cell>
        </row>
        <row r="4122">
          <cell r="J4122" t="str">
            <v>S/L</v>
          </cell>
          <cell r="R4122" t="str">
            <v xml:space="preserve"> </v>
          </cell>
        </row>
        <row r="4123">
          <cell r="J4123" t="str">
            <v>S/L</v>
          </cell>
          <cell r="R4123" t="str">
            <v xml:space="preserve"> </v>
          </cell>
        </row>
        <row r="4124">
          <cell r="J4124" t="str">
            <v>S/L</v>
          </cell>
          <cell r="R4124" t="str">
            <v xml:space="preserve"> </v>
          </cell>
        </row>
        <row r="4125">
          <cell r="J4125" t="str">
            <v>S/L</v>
          </cell>
          <cell r="R4125" t="str">
            <v xml:space="preserve"> </v>
          </cell>
        </row>
        <row r="4126">
          <cell r="J4126" t="str">
            <v>S/L</v>
          </cell>
          <cell r="R4126" t="str">
            <v xml:space="preserve"> </v>
          </cell>
        </row>
        <row r="4127">
          <cell r="J4127" t="str">
            <v>S/L</v>
          </cell>
          <cell r="R4127" t="str">
            <v xml:space="preserve"> </v>
          </cell>
        </row>
        <row r="4128">
          <cell r="J4128" t="str">
            <v>S/L</v>
          </cell>
          <cell r="R4128" t="str">
            <v xml:space="preserve"> </v>
          </cell>
        </row>
        <row r="4129">
          <cell r="J4129" t="str">
            <v>S/L</v>
          </cell>
          <cell r="R4129" t="str">
            <v xml:space="preserve"> </v>
          </cell>
        </row>
        <row r="4130">
          <cell r="J4130" t="str">
            <v>S/L</v>
          </cell>
          <cell r="R4130" t="str">
            <v xml:space="preserve"> </v>
          </cell>
        </row>
        <row r="4131">
          <cell r="J4131" t="str">
            <v>S/L</v>
          </cell>
          <cell r="R4131" t="str">
            <v xml:space="preserve"> </v>
          </cell>
        </row>
        <row r="4132">
          <cell r="J4132" t="str">
            <v>S/L</v>
          </cell>
          <cell r="R4132" t="str">
            <v xml:space="preserve"> </v>
          </cell>
        </row>
        <row r="4133">
          <cell r="J4133" t="str">
            <v>S/L</v>
          </cell>
          <cell r="R4133" t="str">
            <v xml:space="preserve"> </v>
          </cell>
        </row>
        <row r="4134">
          <cell r="J4134" t="str">
            <v>S/L</v>
          </cell>
          <cell r="R4134" t="str">
            <v xml:space="preserve"> </v>
          </cell>
        </row>
        <row r="4135">
          <cell r="J4135" t="str">
            <v>S/L</v>
          </cell>
          <cell r="R4135" t="str">
            <v xml:space="preserve"> </v>
          </cell>
        </row>
        <row r="4136">
          <cell r="J4136" t="str">
            <v>S/L</v>
          </cell>
          <cell r="R4136" t="str">
            <v xml:space="preserve"> </v>
          </cell>
        </row>
        <row r="4137">
          <cell r="J4137" t="str">
            <v>S/L</v>
          </cell>
          <cell r="R4137" t="str">
            <v xml:space="preserve"> </v>
          </cell>
        </row>
        <row r="4138">
          <cell r="J4138" t="str">
            <v>S/L</v>
          </cell>
          <cell r="R4138" t="str">
            <v xml:space="preserve"> </v>
          </cell>
        </row>
        <row r="4139">
          <cell r="J4139" t="str">
            <v>S/L</v>
          </cell>
          <cell r="R4139" t="str">
            <v xml:space="preserve"> </v>
          </cell>
        </row>
        <row r="4140">
          <cell r="J4140" t="str">
            <v>S/L</v>
          </cell>
          <cell r="R4140" t="str">
            <v xml:space="preserve"> </v>
          </cell>
        </row>
        <row r="4141">
          <cell r="J4141" t="str">
            <v>S/L</v>
          </cell>
          <cell r="R4141" t="str">
            <v xml:space="preserve"> </v>
          </cell>
        </row>
        <row r="4142">
          <cell r="J4142" t="str">
            <v>S/L</v>
          </cell>
          <cell r="R4142" t="str">
            <v xml:space="preserve"> </v>
          </cell>
        </row>
        <row r="4143">
          <cell r="J4143" t="str">
            <v>S/L</v>
          </cell>
          <cell r="R4143" t="str">
            <v xml:space="preserve"> </v>
          </cell>
        </row>
        <row r="4144">
          <cell r="J4144" t="str">
            <v>S/L</v>
          </cell>
          <cell r="R4144" t="str">
            <v xml:space="preserve"> </v>
          </cell>
        </row>
        <row r="4145">
          <cell r="J4145" t="str">
            <v>S/L</v>
          </cell>
          <cell r="R4145" t="str">
            <v xml:space="preserve"> </v>
          </cell>
        </row>
        <row r="4146">
          <cell r="J4146" t="str">
            <v>S/L</v>
          </cell>
          <cell r="R4146" t="str">
            <v xml:space="preserve"> </v>
          </cell>
        </row>
        <row r="4147">
          <cell r="J4147" t="str">
            <v>S/L</v>
          </cell>
          <cell r="R4147" t="str">
            <v xml:space="preserve"> </v>
          </cell>
        </row>
        <row r="4148">
          <cell r="J4148" t="str">
            <v>S/L</v>
          </cell>
          <cell r="R4148" t="str">
            <v xml:space="preserve"> </v>
          </cell>
        </row>
        <row r="4149">
          <cell r="J4149" t="str">
            <v>S/L</v>
          </cell>
          <cell r="R4149" t="str">
            <v xml:space="preserve"> </v>
          </cell>
        </row>
        <row r="4150">
          <cell r="J4150" t="str">
            <v>S/L</v>
          </cell>
          <cell r="R4150" t="str">
            <v xml:space="preserve"> </v>
          </cell>
        </row>
        <row r="4151">
          <cell r="J4151" t="str">
            <v>S/L</v>
          </cell>
          <cell r="R4151" t="str">
            <v xml:space="preserve"> </v>
          </cell>
        </row>
        <row r="4152">
          <cell r="J4152" t="str">
            <v>S/L</v>
          </cell>
          <cell r="R4152" t="str">
            <v xml:space="preserve"> </v>
          </cell>
        </row>
        <row r="4153">
          <cell r="J4153" t="str">
            <v>S/L</v>
          </cell>
          <cell r="R4153" t="str">
            <v xml:space="preserve"> </v>
          </cell>
        </row>
        <row r="4154">
          <cell r="J4154" t="str">
            <v>S/L</v>
          </cell>
          <cell r="R4154" t="str">
            <v xml:space="preserve"> </v>
          </cell>
        </row>
        <row r="4155">
          <cell r="J4155" t="str">
            <v>S/L</v>
          </cell>
          <cell r="R4155" t="str">
            <v xml:space="preserve"> </v>
          </cell>
        </row>
        <row r="4156">
          <cell r="J4156" t="str">
            <v>S/L</v>
          </cell>
          <cell r="R4156" t="str">
            <v xml:space="preserve"> </v>
          </cell>
        </row>
        <row r="4157">
          <cell r="J4157" t="str">
            <v>S/L</v>
          </cell>
          <cell r="R4157" t="str">
            <v xml:space="preserve"> </v>
          </cell>
        </row>
        <row r="4158">
          <cell r="J4158" t="str">
            <v>S/L</v>
          </cell>
          <cell r="R4158" t="str">
            <v xml:space="preserve"> </v>
          </cell>
        </row>
        <row r="4159">
          <cell r="J4159" t="str">
            <v>S/L</v>
          </cell>
          <cell r="R4159" t="str">
            <v xml:space="preserve"> </v>
          </cell>
        </row>
        <row r="4160">
          <cell r="J4160" t="str">
            <v>S/L</v>
          </cell>
          <cell r="R4160" t="str">
            <v xml:space="preserve"> </v>
          </cell>
        </row>
        <row r="4161">
          <cell r="J4161" t="str">
            <v>S/L</v>
          </cell>
          <cell r="R4161" t="str">
            <v xml:space="preserve"> </v>
          </cell>
        </row>
        <row r="4162">
          <cell r="J4162" t="str">
            <v>S/L</v>
          </cell>
          <cell r="R4162" t="str">
            <v xml:space="preserve"> </v>
          </cell>
        </row>
        <row r="4163">
          <cell r="J4163" t="str">
            <v>S/L</v>
          </cell>
          <cell r="R4163" t="str">
            <v xml:space="preserve"> </v>
          </cell>
        </row>
        <row r="4164">
          <cell r="J4164" t="str">
            <v>S/L</v>
          </cell>
          <cell r="R4164" t="str">
            <v xml:space="preserve"> </v>
          </cell>
        </row>
        <row r="4165">
          <cell r="J4165" t="str">
            <v>S/L</v>
          </cell>
          <cell r="R4165" t="str">
            <v xml:space="preserve"> </v>
          </cell>
        </row>
        <row r="4166">
          <cell r="J4166" t="str">
            <v>S/L</v>
          </cell>
          <cell r="R4166" t="str">
            <v xml:space="preserve"> </v>
          </cell>
        </row>
        <row r="4167">
          <cell r="J4167" t="str">
            <v>S/L</v>
          </cell>
          <cell r="R4167" t="str">
            <v xml:space="preserve"> </v>
          </cell>
        </row>
        <row r="4168">
          <cell r="J4168" t="str">
            <v>S/L</v>
          </cell>
          <cell r="R4168" t="str">
            <v xml:space="preserve"> </v>
          </cell>
        </row>
        <row r="4169">
          <cell r="J4169" t="str">
            <v>S/L</v>
          </cell>
          <cell r="R4169" t="str">
            <v xml:space="preserve"> </v>
          </cell>
        </row>
        <row r="4170">
          <cell r="J4170" t="str">
            <v>S/L</v>
          </cell>
          <cell r="R4170" t="str">
            <v xml:space="preserve"> </v>
          </cell>
        </row>
        <row r="4171">
          <cell r="J4171" t="str">
            <v>S/L</v>
          </cell>
          <cell r="R4171" t="str">
            <v xml:space="preserve"> </v>
          </cell>
        </row>
        <row r="4172">
          <cell r="J4172" t="str">
            <v>S/L</v>
          </cell>
          <cell r="R4172" t="str">
            <v xml:space="preserve"> </v>
          </cell>
        </row>
        <row r="4173">
          <cell r="J4173" t="str">
            <v>S/L</v>
          </cell>
          <cell r="R4173" t="str">
            <v xml:space="preserve"> </v>
          </cell>
        </row>
        <row r="4174">
          <cell r="J4174" t="str">
            <v>S/L</v>
          </cell>
          <cell r="R4174" t="str">
            <v xml:space="preserve"> </v>
          </cell>
        </row>
        <row r="4175">
          <cell r="J4175" t="str">
            <v>S/L</v>
          </cell>
          <cell r="R4175" t="str">
            <v xml:space="preserve"> </v>
          </cell>
        </row>
        <row r="4176">
          <cell r="J4176" t="str">
            <v>S/L</v>
          </cell>
          <cell r="R4176" t="str">
            <v xml:space="preserve"> </v>
          </cell>
        </row>
        <row r="4177">
          <cell r="J4177" t="str">
            <v>S/L</v>
          </cell>
          <cell r="R4177" t="str">
            <v xml:space="preserve"> </v>
          </cell>
        </row>
        <row r="4178">
          <cell r="J4178" t="str">
            <v>S/L</v>
          </cell>
          <cell r="R4178" t="str">
            <v xml:space="preserve"> </v>
          </cell>
        </row>
        <row r="4179">
          <cell r="J4179" t="str">
            <v>S/L</v>
          </cell>
          <cell r="R4179" t="str">
            <v xml:space="preserve"> </v>
          </cell>
        </row>
        <row r="4180">
          <cell r="J4180" t="str">
            <v>S/L</v>
          </cell>
          <cell r="R4180" t="str">
            <v xml:space="preserve"> </v>
          </cell>
        </row>
        <row r="4181">
          <cell r="J4181" t="str">
            <v>S/L</v>
          </cell>
          <cell r="R4181" t="str">
            <v xml:space="preserve"> </v>
          </cell>
        </row>
        <row r="4182">
          <cell r="J4182" t="str">
            <v>S/L</v>
          </cell>
          <cell r="R4182" t="str">
            <v xml:space="preserve"> </v>
          </cell>
        </row>
        <row r="4183">
          <cell r="J4183" t="str">
            <v>S/L</v>
          </cell>
          <cell r="R4183" t="str">
            <v xml:space="preserve"> </v>
          </cell>
        </row>
        <row r="4184">
          <cell r="J4184" t="str">
            <v>S/L</v>
          </cell>
          <cell r="R4184" t="str">
            <v xml:space="preserve"> </v>
          </cell>
        </row>
        <row r="4185">
          <cell r="J4185" t="str">
            <v>S/L</v>
          </cell>
          <cell r="R4185" t="str">
            <v xml:space="preserve"> </v>
          </cell>
        </row>
        <row r="4186">
          <cell r="J4186" t="str">
            <v>S/L</v>
          </cell>
          <cell r="R4186" t="str">
            <v xml:space="preserve"> </v>
          </cell>
        </row>
        <row r="4187">
          <cell r="J4187" t="str">
            <v>S/L</v>
          </cell>
          <cell r="R4187" t="str">
            <v xml:space="preserve"> </v>
          </cell>
        </row>
        <row r="4188">
          <cell r="J4188" t="str">
            <v>S/L</v>
          </cell>
          <cell r="R4188" t="str">
            <v xml:space="preserve"> </v>
          </cell>
        </row>
        <row r="4189">
          <cell r="J4189" t="str">
            <v>S/L</v>
          </cell>
          <cell r="R4189" t="str">
            <v xml:space="preserve"> </v>
          </cell>
        </row>
        <row r="4190">
          <cell r="J4190" t="str">
            <v>S/L</v>
          </cell>
          <cell r="R4190" t="str">
            <v xml:space="preserve"> </v>
          </cell>
        </row>
        <row r="4191">
          <cell r="J4191" t="str">
            <v>S/L</v>
          </cell>
          <cell r="R4191" t="str">
            <v xml:space="preserve"> </v>
          </cell>
        </row>
        <row r="4192">
          <cell r="J4192" t="str">
            <v>S/L</v>
          </cell>
          <cell r="R4192" t="str">
            <v xml:space="preserve"> </v>
          </cell>
        </row>
        <row r="4193">
          <cell r="J4193" t="str">
            <v>S/L</v>
          </cell>
          <cell r="R4193" t="str">
            <v xml:space="preserve"> </v>
          </cell>
        </row>
        <row r="4194">
          <cell r="J4194" t="str">
            <v>S/L</v>
          </cell>
          <cell r="R4194" t="str">
            <v xml:space="preserve"> </v>
          </cell>
        </row>
        <row r="4195">
          <cell r="J4195" t="str">
            <v>S/L</v>
          </cell>
          <cell r="R4195" t="str">
            <v xml:space="preserve"> </v>
          </cell>
        </row>
        <row r="4196">
          <cell r="J4196" t="str">
            <v>S/L</v>
          </cell>
          <cell r="R4196" t="str">
            <v xml:space="preserve"> </v>
          </cell>
        </row>
        <row r="4197">
          <cell r="J4197" t="str">
            <v>S/L</v>
          </cell>
          <cell r="R4197" t="str">
            <v xml:space="preserve"> </v>
          </cell>
        </row>
        <row r="4198">
          <cell r="J4198" t="str">
            <v>S/L</v>
          </cell>
          <cell r="R4198" t="str">
            <v xml:space="preserve"> </v>
          </cell>
        </row>
        <row r="4199">
          <cell r="J4199" t="str">
            <v>S/L</v>
          </cell>
          <cell r="R4199" t="str">
            <v xml:space="preserve"> </v>
          </cell>
        </row>
        <row r="4200">
          <cell r="J4200" t="str">
            <v>S/L</v>
          </cell>
          <cell r="R4200" t="str">
            <v xml:space="preserve"> </v>
          </cell>
        </row>
        <row r="4201">
          <cell r="J4201" t="str">
            <v>S/L</v>
          </cell>
          <cell r="R4201" t="str">
            <v xml:space="preserve"> </v>
          </cell>
        </row>
        <row r="4202">
          <cell r="J4202" t="str">
            <v>S/L</v>
          </cell>
          <cell r="R4202" t="str">
            <v xml:space="preserve"> </v>
          </cell>
        </row>
        <row r="4203">
          <cell r="J4203" t="str">
            <v>S/L</v>
          </cell>
          <cell r="R4203" t="str">
            <v xml:space="preserve"> </v>
          </cell>
        </row>
        <row r="4204">
          <cell r="J4204" t="str">
            <v>S/L</v>
          </cell>
          <cell r="R4204" t="str">
            <v xml:space="preserve"> </v>
          </cell>
        </row>
        <row r="4205">
          <cell r="J4205" t="str">
            <v>S/L</v>
          </cell>
          <cell r="R4205" t="str">
            <v xml:space="preserve"> </v>
          </cell>
        </row>
        <row r="4206">
          <cell r="J4206" t="str">
            <v>S/L</v>
          </cell>
          <cell r="R4206" t="str">
            <v xml:space="preserve"> </v>
          </cell>
        </row>
        <row r="4207">
          <cell r="J4207" t="str">
            <v>S/L</v>
          </cell>
          <cell r="R4207" t="str">
            <v xml:space="preserve"> </v>
          </cell>
        </row>
        <row r="4208">
          <cell r="J4208" t="str">
            <v>S/L</v>
          </cell>
          <cell r="R4208" t="str">
            <v xml:space="preserve"> </v>
          </cell>
        </row>
        <row r="4209">
          <cell r="J4209" t="str">
            <v>S/L</v>
          </cell>
          <cell r="R4209" t="str">
            <v xml:space="preserve"> </v>
          </cell>
        </row>
        <row r="4210">
          <cell r="J4210" t="str">
            <v>S/L</v>
          </cell>
          <cell r="R4210" t="str">
            <v xml:space="preserve"> </v>
          </cell>
        </row>
        <row r="4211">
          <cell r="J4211" t="str">
            <v>S/L</v>
          </cell>
          <cell r="R4211" t="str">
            <v xml:space="preserve"> </v>
          </cell>
        </row>
        <row r="4212">
          <cell r="J4212" t="str">
            <v>S/L</v>
          </cell>
          <cell r="R4212" t="str">
            <v xml:space="preserve"> </v>
          </cell>
        </row>
        <row r="4213">
          <cell r="J4213" t="str">
            <v>S/L</v>
          </cell>
          <cell r="R4213" t="str">
            <v xml:space="preserve"> </v>
          </cell>
        </row>
        <row r="4214">
          <cell r="J4214" t="str">
            <v>S/L</v>
          </cell>
          <cell r="R4214" t="str">
            <v xml:space="preserve"> </v>
          </cell>
        </row>
        <row r="4215">
          <cell r="J4215" t="str">
            <v>S/L</v>
          </cell>
          <cell r="R4215" t="str">
            <v xml:space="preserve"> </v>
          </cell>
        </row>
        <row r="4216">
          <cell r="J4216" t="str">
            <v>S/L</v>
          </cell>
          <cell r="R4216" t="str">
            <v xml:space="preserve"> </v>
          </cell>
        </row>
        <row r="4217">
          <cell r="J4217" t="str">
            <v>S/L</v>
          </cell>
          <cell r="R4217" t="str">
            <v xml:space="preserve"> </v>
          </cell>
        </row>
        <row r="4218">
          <cell r="J4218" t="str">
            <v>S/L</v>
          </cell>
          <cell r="R4218" t="str">
            <v xml:space="preserve"> </v>
          </cell>
        </row>
        <row r="4219">
          <cell r="J4219" t="str">
            <v>S/L</v>
          </cell>
          <cell r="R4219" t="str">
            <v xml:space="preserve"> </v>
          </cell>
        </row>
        <row r="4220">
          <cell r="J4220" t="str">
            <v>S/L</v>
          </cell>
          <cell r="R4220" t="str">
            <v xml:space="preserve"> </v>
          </cell>
        </row>
        <row r="4221">
          <cell r="J4221" t="str">
            <v>S/L</v>
          </cell>
          <cell r="R4221" t="str">
            <v xml:space="preserve"> </v>
          </cell>
        </row>
        <row r="4222">
          <cell r="J4222" t="str">
            <v>S/L</v>
          </cell>
          <cell r="R4222" t="str">
            <v xml:space="preserve"> </v>
          </cell>
        </row>
        <row r="4223">
          <cell r="J4223" t="str">
            <v>S/L</v>
          </cell>
          <cell r="R4223" t="str">
            <v xml:space="preserve"> </v>
          </cell>
        </row>
        <row r="4224">
          <cell r="J4224" t="str">
            <v>S/L</v>
          </cell>
          <cell r="R4224" t="str">
            <v xml:space="preserve"> </v>
          </cell>
        </row>
        <row r="4225">
          <cell r="J4225" t="str">
            <v>S/L</v>
          </cell>
          <cell r="R4225" t="str">
            <v xml:space="preserve"> </v>
          </cell>
        </row>
        <row r="4226">
          <cell r="J4226" t="str">
            <v>S/L</v>
          </cell>
          <cell r="R4226" t="str">
            <v xml:space="preserve"> </v>
          </cell>
        </row>
        <row r="4227">
          <cell r="J4227" t="str">
            <v>S/L</v>
          </cell>
          <cell r="R4227" t="str">
            <v xml:space="preserve"> </v>
          </cell>
        </row>
        <row r="4228">
          <cell r="J4228" t="str">
            <v>S/L</v>
          </cell>
          <cell r="R4228" t="str">
            <v xml:space="preserve"> </v>
          </cell>
        </row>
        <row r="4229">
          <cell r="J4229" t="str">
            <v>S/L</v>
          </cell>
          <cell r="R4229" t="str">
            <v xml:space="preserve"> </v>
          </cell>
        </row>
        <row r="4230">
          <cell r="J4230" t="str">
            <v>S/L</v>
          </cell>
          <cell r="R4230" t="str">
            <v xml:space="preserve"> </v>
          </cell>
        </row>
        <row r="4231">
          <cell r="J4231" t="str">
            <v>S/L</v>
          </cell>
          <cell r="R4231" t="str">
            <v xml:space="preserve"> </v>
          </cell>
        </row>
        <row r="4232">
          <cell r="J4232" t="str">
            <v>S/L</v>
          </cell>
          <cell r="R4232" t="str">
            <v xml:space="preserve"> </v>
          </cell>
        </row>
        <row r="4233">
          <cell r="J4233" t="str">
            <v>S/L</v>
          </cell>
          <cell r="R4233" t="str">
            <v xml:space="preserve"> </v>
          </cell>
        </row>
        <row r="4234">
          <cell r="J4234" t="str">
            <v>S/L</v>
          </cell>
          <cell r="R4234" t="str">
            <v xml:space="preserve"> </v>
          </cell>
        </row>
        <row r="4235">
          <cell r="J4235" t="str">
            <v>S/L</v>
          </cell>
          <cell r="R4235" t="str">
            <v xml:space="preserve"> </v>
          </cell>
        </row>
        <row r="4236">
          <cell r="J4236" t="str">
            <v>S/L</v>
          </cell>
          <cell r="R4236" t="str">
            <v xml:space="preserve"> </v>
          </cell>
        </row>
        <row r="4237">
          <cell r="J4237" t="str">
            <v>S/L</v>
          </cell>
          <cell r="R4237" t="str">
            <v xml:space="preserve"> </v>
          </cell>
        </row>
        <row r="4238">
          <cell r="J4238" t="str">
            <v>S/L</v>
          </cell>
          <cell r="R4238" t="str">
            <v xml:space="preserve"> </v>
          </cell>
        </row>
        <row r="4239">
          <cell r="J4239" t="str">
            <v>S/L</v>
          </cell>
          <cell r="R4239" t="str">
            <v xml:space="preserve"> </v>
          </cell>
        </row>
        <row r="4240">
          <cell r="J4240" t="str">
            <v>S/L</v>
          </cell>
          <cell r="R4240" t="str">
            <v xml:space="preserve"> </v>
          </cell>
        </row>
        <row r="4241">
          <cell r="J4241" t="str">
            <v>S/L</v>
          </cell>
          <cell r="R4241" t="str">
            <v xml:space="preserve"> </v>
          </cell>
        </row>
        <row r="4242">
          <cell r="J4242" t="str">
            <v>S/L</v>
          </cell>
          <cell r="R4242" t="str">
            <v xml:space="preserve"> </v>
          </cell>
        </row>
        <row r="4243">
          <cell r="J4243" t="str">
            <v>S/L</v>
          </cell>
          <cell r="R4243" t="str">
            <v xml:space="preserve"> </v>
          </cell>
        </row>
        <row r="4244">
          <cell r="J4244" t="str">
            <v>S/L</v>
          </cell>
          <cell r="R4244" t="str">
            <v xml:space="preserve"> </v>
          </cell>
        </row>
        <row r="4245">
          <cell r="J4245" t="str">
            <v>S/L</v>
          </cell>
          <cell r="R4245" t="str">
            <v xml:space="preserve"> </v>
          </cell>
        </row>
        <row r="4246">
          <cell r="J4246" t="str">
            <v>S/L</v>
          </cell>
          <cell r="R4246" t="str">
            <v xml:space="preserve"> </v>
          </cell>
        </row>
        <row r="4247">
          <cell r="J4247" t="str">
            <v>S/L</v>
          </cell>
          <cell r="R4247" t="str">
            <v xml:space="preserve"> </v>
          </cell>
        </row>
        <row r="4248">
          <cell r="J4248" t="str">
            <v>S/L</v>
          </cell>
          <cell r="R4248" t="str">
            <v xml:space="preserve"> </v>
          </cell>
        </row>
        <row r="4249">
          <cell r="J4249" t="str">
            <v>S/L</v>
          </cell>
          <cell r="R4249" t="str">
            <v xml:space="preserve"> </v>
          </cell>
        </row>
        <row r="4250">
          <cell r="J4250" t="str">
            <v>S/L</v>
          </cell>
          <cell r="R4250" t="str">
            <v xml:space="preserve"> </v>
          </cell>
        </row>
        <row r="4251">
          <cell r="J4251" t="str">
            <v>S/L</v>
          </cell>
          <cell r="R4251" t="str">
            <v xml:space="preserve"> </v>
          </cell>
        </row>
        <row r="4252">
          <cell r="J4252" t="str">
            <v>S/L</v>
          </cell>
          <cell r="R4252" t="str">
            <v xml:space="preserve"> </v>
          </cell>
        </row>
        <row r="4253">
          <cell r="J4253" t="str">
            <v>S/L</v>
          </cell>
          <cell r="R4253" t="str">
            <v xml:space="preserve"> </v>
          </cell>
        </row>
        <row r="4254">
          <cell r="J4254" t="str">
            <v>S/L</v>
          </cell>
          <cell r="R4254" t="str">
            <v xml:space="preserve"> </v>
          </cell>
        </row>
        <row r="4255">
          <cell r="J4255" t="str">
            <v>S/L</v>
          </cell>
          <cell r="R4255" t="str">
            <v xml:space="preserve"> </v>
          </cell>
        </row>
        <row r="4256">
          <cell r="J4256" t="str">
            <v>S/L</v>
          </cell>
          <cell r="R4256" t="str">
            <v xml:space="preserve"> </v>
          </cell>
        </row>
        <row r="4257">
          <cell r="J4257" t="str">
            <v>S/L</v>
          </cell>
          <cell r="R4257" t="str">
            <v xml:space="preserve"> </v>
          </cell>
        </row>
        <row r="4258">
          <cell r="J4258" t="str">
            <v>S/L</v>
          </cell>
          <cell r="R4258" t="str">
            <v xml:space="preserve"> </v>
          </cell>
        </row>
        <row r="4259">
          <cell r="J4259" t="str">
            <v>S/L</v>
          </cell>
          <cell r="R4259" t="str">
            <v xml:space="preserve"> </v>
          </cell>
        </row>
        <row r="4260">
          <cell r="J4260" t="str">
            <v>S/L</v>
          </cell>
          <cell r="R4260" t="str">
            <v xml:space="preserve"> </v>
          </cell>
        </row>
        <row r="4261">
          <cell r="J4261" t="str">
            <v>S/L</v>
          </cell>
          <cell r="R4261" t="str">
            <v xml:space="preserve"> </v>
          </cell>
        </row>
        <row r="4262">
          <cell r="J4262" t="str">
            <v>S/L</v>
          </cell>
          <cell r="R4262" t="str">
            <v xml:space="preserve"> </v>
          </cell>
        </row>
        <row r="4263">
          <cell r="J4263" t="str">
            <v>S/L</v>
          </cell>
          <cell r="R4263" t="str">
            <v xml:space="preserve"> </v>
          </cell>
        </row>
        <row r="4264">
          <cell r="J4264" t="str">
            <v>S/L</v>
          </cell>
          <cell r="R4264" t="str">
            <v xml:space="preserve"> </v>
          </cell>
        </row>
        <row r="4265">
          <cell r="J4265" t="str">
            <v>S/L</v>
          </cell>
          <cell r="R4265" t="str">
            <v xml:space="preserve"> </v>
          </cell>
        </row>
        <row r="4266">
          <cell r="J4266" t="str">
            <v>S/L</v>
          </cell>
          <cell r="R4266" t="str">
            <v xml:space="preserve"> </v>
          </cell>
        </row>
        <row r="4267">
          <cell r="J4267" t="str">
            <v>S/L</v>
          </cell>
          <cell r="R4267" t="str">
            <v xml:space="preserve"> </v>
          </cell>
        </row>
        <row r="4268">
          <cell r="J4268" t="str">
            <v>S/L</v>
          </cell>
          <cell r="R4268" t="str">
            <v xml:space="preserve"> </v>
          </cell>
        </row>
        <row r="4269">
          <cell r="J4269" t="str">
            <v>S/L</v>
          </cell>
          <cell r="R4269" t="str">
            <v xml:space="preserve"> </v>
          </cell>
        </row>
        <row r="4270">
          <cell r="J4270" t="str">
            <v>S/L</v>
          </cell>
          <cell r="R4270" t="str">
            <v xml:space="preserve"> </v>
          </cell>
        </row>
        <row r="4271">
          <cell r="J4271" t="str">
            <v>S/L</v>
          </cell>
          <cell r="R4271" t="str">
            <v xml:space="preserve"> </v>
          </cell>
        </row>
        <row r="4272">
          <cell r="J4272" t="str">
            <v>S/L</v>
          </cell>
          <cell r="R4272" t="str">
            <v xml:space="preserve"> </v>
          </cell>
        </row>
        <row r="4273">
          <cell r="J4273" t="str">
            <v>S/L</v>
          </cell>
          <cell r="R4273" t="str">
            <v xml:space="preserve"> </v>
          </cell>
        </row>
        <row r="4274">
          <cell r="J4274" t="str">
            <v>S/L</v>
          </cell>
          <cell r="R4274" t="str">
            <v xml:space="preserve"> </v>
          </cell>
        </row>
        <row r="4275">
          <cell r="J4275" t="str">
            <v>S/L</v>
          </cell>
          <cell r="R4275" t="str">
            <v xml:space="preserve"> </v>
          </cell>
        </row>
        <row r="4276">
          <cell r="J4276" t="str">
            <v>S/L</v>
          </cell>
          <cell r="R4276" t="str">
            <v xml:space="preserve"> </v>
          </cell>
        </row>
        <row r="4277">
          <cell r="J4277" t="str">
            <v>S/L</v>
          </cell>
          <cell r="R4277" t="str">
            <v xml:space="preserve"> </v>
          </cell>
        </row>
        <row r="4278">
          <cell r="J4278" t="str">
            <v>S/L</v>
          </cell>
          <cell r="R4278" t="str">
            <v xml:space="preserve"> </v>
          </cell>
        </row>
        <row r="4279">
          <cell r="J4279" t="str">
            <v>S/L</v>
          </cell>
          <cell r="R4279" t="str">
            <v xml:space="preserve"> </v>
          </cell>
        </row>
        <row r="4280">
          <cell r="J4280" t="str">
            <v>S/L</v>
          </cell>
          <cell r="R4280" t="str">
            <v xml:space="preserve"> </v>
          </cell>
        </row>
        <row r="4281">
          <cell r="J4281" t="str">
            <v>S/L</v>
          </cell>
          <cell r="R4281" t="str">
            <v xml:space="preserve"> </v>
          </cell>
        </row>
        <row r="4282">
          <cell r="J4282" t="str">
            <v>S/L</v>
          </cell>
          <cell r="R4282" t="str">
            <v xml:space="preserve"> </v>
          </cell>
        </row>
        <row r="4283">
          <cell r="J4283" t="str">
            <v>S/L</v>
          </cell>
          <cell r="R4283" t="str">
            <v xml:space="preserve"> </v>
          </cell>
        </row>
        <row r="4284">
          <cell r="J4284" t="str">
            <v>S/L</v>
          </cell>
          <cell r="R4284" t="str">
            <v xml:space="preserve"> </v>
          </cell>
        </row>
        <row r="4285">
          <cell r="J4285" t="str">
            <v>S/L</v>
          </cell>
          <cell r="R4285" t="str">
            <v xml:space="preserve"> </v>
          </cell>
        </row>
        <row r="4286">
          <cell r="J4286" t="str">
            <v>S/L</v>
          </cell>
          <cell r="R4286" t="str">
            <v xml:space="preserve"> </v>
          </cell>
        </row>
        <row r="4287">
          <cell r="J4287" t="str">
            <v>S/L</v>
          </cell>
          <cell r="R4287" t="str">
            <v xml:space="preserve"> </v>
          </cell>
        </row>
        <row r="4288">
          <cell r="J4288" t="str">
            <v>S/L</v>
          </cell>
          <cell r="R4288" t="str">
            <v xml:space="preserve"> </v>
          </cell>
        </row>
        <row r="4289">
          <cell r="J4289" t="str">
            <v>S/L</v>
          </cell>
          <cell r="R4289" t="str">
            <v xml:space="preserve"> </v>
          </cell>
        </row>
        <row r="4290">
          <cell r="J4290" t="str">
            <v>S/L</v>
          </cell>
          <cell r="R4290" t="str">
            <v xml:space="preserve"> </v>
          </cell>
        </row>
        <row r="4291">
          <cell r="J4291" t="str">
            <v>S/L</v>
          </cell>
          <cell r="R4291" t="str">
            <v xml:space="preserve"> </v>
          </cell>
        </row>
        <row r="4292">
          <cell r="J4292" t="str">
            <v>S/L</v>
          </cell>
          <cell r="R4292" t="str">
            <v xml:space="preserve"> </v>
          </cell>
        </row>
        <row r="4293">
          <cell r="J4293" t="str">
            <v>S/L</v>
          </cell>
          <cell r="R4293" t="str">
            <v xml:space="preserve"> </v>
          </cell>
        </row>
        <row r="4294">
          <cell r="J4294" t="str">
            <v>S/L</v>
          </cell>
          <cell r="R4294" t="str">
            <v xml:space="preserve"> </v>
          </cell>
        </row>
        <row r="4295">
          <cell r="J4295" t="str">
            <v>S/L</v>
          </cell>
          <cell r="R4295" t="str">
            <v xml:space="preserve"> </v>
          </cell>
        </row>
        <row r="4296">
          <cell r="J4296" t="str">
            <v>S/L</v>
          </cell>
          <cell r="R4296" t="str">
            <v xml:space="preserve"> </v>
          </cell>
        </row>
        <row r="4297">
          <cell r="J4297" t="str">
            <v>S/L</v>
          </cell>
          <cell r="R4297" t="str">
            <v xml:space="preserve"> </v>
          </cell>
        </row>
        <row r="4298">
          <cell r="J4298" t="str">
            <v>S/L</v>
          </cell>
          <cell r="R4298" t="str">
            <v xml:space="preserve"> </v>
          </cell>
        </row>
        <row r="4299">
          <cell r="J4299" t="str">
            <v>S/L</v>
          </cell>
          <cell r="R4299" t="str">
            <v xml:space="preserve"> </v>
          </cell>
        </row>
        <row r="4300">
          <cell r="J4300" t="str">
            <v>S/L</v>
          </cell>
          <cell r="R4300" t="str">
            <v xml:space="preserve"> </v>
          </cell>
        </row>
        <row r="4301">
          <cell r="J4301" t="str">
            <v>S/L</v>
          </cell>
          <cell r="R4301" t="str">
            <v xml:space="preserve"> </v>
          </cell>
        </row>
        <row r="4302">
          <cell r="J4302" t="str">
            <v>S/L</v>
          </cell>
          <cell r="R4302" t="str">
            <v xml:space="preserve"> </v>
          </cell>
        </row>
        <row r="4303">
          <cell r="J4303" t="str">
            <v>S/L</v>
          </cell>
          <cell r="R4303" t="str">
            <v xml:space="preserve"> </v>
          </cell>
        </row>
        <row r="4304">
          <cell r="J4304" t="str">
            <v>S/L</v>
          </cell>
          <cell r="R4304" t="str">
            <v xml:space="preserve"> </v>
          </cell>
        </row>
        <row r="4305">
          <cell r="J4305" t="str">
            <v>S/L</v>
          </cell>
          <cell r="R4305" t="str">
            <v xml:space="preserve"> </v>
          </cell>
        </row>
        <row r="4306">
          <cell r="J4306" t="str">
            <v>S/L</v>
          </cell>
          <cell r="R4306" t="str">
            <v xml:space="preserve"> </v>
          </cell>
        </row>
        <row r="4307">
          <cell r="J4307" t="str">
            <v>S/L</v>
          </cell>
          <cell r="R4307" t="str">
            <v xml:space="preserve"> </v>
          </cell>
        </row>
        <row r="4308">
          <cell r="J4308" t="str">
            <v>S/L</v>
          </cell>
          <cell r="R4308" t="str">
            <v xml:space="preserve"> </v>
          </cell>
        </row>
        <row r="4309">
          <cell r="J4309" t="str">
            <v>S/L</v>
          </cell>
          <cell r="R4309" t="str">
            <v xml:space="preserve"> </v>
          </cell>
        </row>
        <row r="4310">
          <cell r="J4310" t="str">
            <v>S/L</v>
          </cell>
          <cell r="R4310" t="str">
            <v xml:space="preserve"> </v>
          </cell>
        </row>
        <row r="4311">
          <cell r="J4311" t="str">
            <v>S/L</v>
          </cell>
          <cell r="R4311" t="str">
            <v xml:space="preserve"> </v>
          </cell>
        </row>
        <row r="4312">
          <cell r="J4312" t="str">
            <v>S/L</v>
          </cell>
          <cell r="R4312" t="str">
            <v xml:space="preserve"> </v>
          </cell>
        </row>
        <row r="4313">
          <cell r="J4313" t="str">
            <v>S/L</v>
          </cell>
          <cell r="R4313" t="str">
            <v xml:space="preserve"> </v>
          </cell>
        </row>
        <row r="4314">
          <cell r="J4314" t="str">
            <v>S/L</v>
          </cell>
          <cell r="R4314" t="str">
            <v xml:space="preserve"> </v>
          </cell>
        </row>
        <row r="4315">
          <cell r="J4315" t="str">
            <v>S/L</v>
          </cell>
          <cell r="R4315" t="str">
            <v xml:space="preserve"> </v>
          </cell>
        </row>
        <row r="4316">
          <cell r="J4316" t="str">
            <v>S/L</v>
          </cell>
          <cell r="R4316" t="str">
            <v xml:space="preserve"> </v>
          </cell>
        </row>
        <row r="4317">
          <cell r="J4317" t="str">
            <v>S/L</v>
          </cell>
          <cell r="R4317" t="str">
            <v xml:space="preserve"> </v>
          </cell>
        </row>
        <row r="4318">
          <cell r="J4318" t="str">
            <v>S/L</v>
          </cell>
          <cell r="R4318" t="str">
            <v xml:space="preserve"> </v>
          </cell>
        </row>
        <row r="4319">
          <cell r="J4319" t="str">
            <v>S/L</v>
          </cell>
          <cell r="R4319" t="str">
            <v xml:space="preserve"> </v>
          </cell>
        </row>
        <row r="4320">
          <cell r="J4320" t="str">
            <v>S/L</v>
          </cell>
          <cell r="R4320" t="str">
            <v xml:space="preserve"> </v>
          </cell>
        </row>
        <row r="4321">
          <cell r="J4321" t="str">
            <v>S/L</v>
          </cell>
          <cell r="R4321" t="str">
            <v xml:space="preserve"> </v>
          </cell>
        </row>
        <row r="4322">
          <cell r="J4322" t="str">
            <v>S/L</v>
          </cell>
          <cell r="R4322" t="str">
            <v xml:space="preserve"> </v>
          </cell>
        </row>
        <row r="4323">
          <cell r="J4323" t="str">
            <v>S/L</v>
          </cell>
          <cell r="R4323" t="str">
            <v xml:space="preserve"> </v>
          </cell>
        </row>
        <row r="4324">
          <cell r="J4324" t="str">
            <v>S/L</v>
          </cell>
          <cell r="R4324" t="str">
            <v xml:space="preserve"> </v>
          </cell>
        </row>
        <row r="4325">
          <cell r="J4325" t="str">
            <v>S/L</v>
          </cell>
          <cell r="R4325" t="str">
            <v xml:space="preserve"> </v>
          </cell>
        </row>
        <row r="4326">
          <cell r="J4326" t="str">
            <v>S/L</v>
          </cell>
          <cell r="R4326" t="str">
            <v xml:space="preserve"> </v>
          </cell>
        </row>
        <row r="4327">
          <cell r="J4327" t="str">
            <v>S/L</v>
          </cell>
          <cell r="R4327" t="str">
            <v xml:space="preserve"> </v>
          </cell>
        </row>
        <row r="4328">
          <cell r="J4328" t="str">
            <v>S/L</v>
          </cell>
          <cell r="R4328" t="str">
            <v xml:space="preserve"> </v>
          </cell>
        </row>
        <row r="4329">
          <cell r="J4329" t="str">
            <v>S/L</v>
          </cell>
          <cell r="R4329" t="str">
            <v xml:space="preserve"> </v>
          </cell>
        </row>
        <row r="4330">
          <cell r="J4330" t="str">
            <v>S/L</v>
          </cell>
          <cell r="R4330" t="str">
            <v xml:space="preserve"> </v>
          </cell>
        </row>
        <row r="4331">
          <cell r="J4331" t="str">
            <v>S/L</v>
          </cell>
          <cell r="R4331" t="str">
            <v xml:space="preserve"> </v>
          </cell>
        </row>
        <row r="4332">
          <cell r="J4332" t="str">
            <v>S/L</v>
          </cell>
          <cell r="R4332" t="str">
            <v xml:space="preserve"> </v>
          </cell>
        </row>
        <row r="4333">
          <cell r="J4333" t="str">
            <v>S/L</v>
          </cell>
          <cell r="R4333" t="str">
            <v xml:space="preserve"> </v>
          </cell>
        </row>
        <row r="4334">
          <cell r="J4334" t="str">
            <v>S/L</v>
          </cell>
          <cell r="R4334" t="str">
            <v xml:space="preserve"> </v>
          </cell>
        </row>
        <row r="4335">
          <cell r="J4335" t="str">
            <v>S/L</v>
          </cell>
          <cell r="R4335" t="str">
            <v xml:space="preserve"> </v>
          </cell>
        </row>
        <row r="4336">
          <cell r="J4336" t="str">
            <v>S/L</v>
          </cell>
          <cell r="R4336" t="str">
            <v xml:space="preserve"> </v>
          </cell>
        </row>
        <row r="4337">
          <cell r="J4337" t="str">
            <v>S/L</v>
          </cell>
          <cell r="R4337" t="str">
            <v xml:space="preserve"> </v>
          </cell>
        </row>
        <row r="4338">
          <cell r="J4338" t="str">
            <v>S/L</v>
          </cell>
          <cell r="R4338" t="str">
            <v xml:space="preserve"> </v>
          </cell>
        </row>
        <row r="4339">
          <cell r="J4339" t="str">
            <v>S/L</v>
          </cell>
          <cell r="R4339" t="str">
            <v xml:space="preserve"> </v>
          </cell>
        </row>
        <row r="4340">
          <cell r="J4340" t="str">
            <v>S/L</v>
          </cell>
          <cell r="R4340" t="str">
            <v xml:space="preserve"> </v>
          </cell>
        </row>
        <row r="4341">
          <cell r="J4341" t="str">
            <v>S/L</v>
          </cell>
          <cell r="R4341" t="str">
            <v xml:space="preserve"> </v>
          </cell>
        </row>
        <row r="4342">
          <cell r="J4342" t="str">
            <v>S/L</v>
          </cell>
          <cell r="R4342" t="str">
            <v xml:space="preserve"> </v>
          </cell>
        </row>
        <row r="4343">
          <cell r="J4343" t="str">
            <v>S/L</v>
          </cell>
          <cell r="R4343" t="str">
            <v xml:space="preserve"> </v>
          </cell>
        </row>
        <row r="4344">
          <cell r="J4344" t="str">
            <v>S/L</v>
          </cell>
          <cell r="R4344" t="str">
            <v xml:space="preserve"> </v>
          </cell>
        </row>
        <row r="4345">
          <cell r="J4345" t="str">
            <v>S/L</v>
          </cell>
          <cell r="R4345" t="str">
            <v xml:space="preserve"> </v>
          </cell>
        </row>
        <row r="4346">
          <cell r="J4346" t="str">
            <v>S/L</v>
          </cell>
          <cell r="R4346" t="str">
            <v xml:space="preserve"> </v>
          </cell>
        </row>
        <row r="4347">
          <cell r="J4347" t="str">
            <v>S/L</v>
          </cell>
          <cell r="R4347" t="str">
            <v xml:space="preserve"> </v>
          </cell>
        </row>
        <row r="4348">
          <cell r="J4348" t="str">
            <v>S/L</v>
          </cell>
          <cell r="R4348" t="str">
            <v xml:space="preserve"> </v>
          </cell>
        </row>
        <row r="4349">
          <cell r="J4349" t="str">
            <v>S/L</v>
          </cell>
          <cell r="R4349" t="str">
            <v xml:space="preserve"> </v>
          </cell>
        </row>
        <row r="4350">
          <cell r="J4350" t="str">
            <v>S/L</v>
          </cell>
          <cell r="R4350" t="str">
            <v xml:space="preserve"> </v>
          </cell>
        </row>
        <row r="4351">
          <cell r="J4351" t="str">
            <v>S/L</v>
          </cell>
          <cell r="R4351" t="str">
            <v xml:space="preserve"> </v>
          </cell>
        </row>
        <row r="4352">
          <cell r="J4352" t="str">
            <v>S/L</v>
          </cell>
          <cell r="R4352" t="str">
            <v xml:space="preserve"> </v>
          </cell>
        </row>
        <row r="4353">
          <cell r="J4353" t="str">
            <v>S/L</v>
          </cell>
          <cell r="R4353" t="str">
            <v xml:space="preserve"> </v>
          </cell>
        </row>
        <row r="4354">
          <cell r="J4354" t="str">
            <v>S/L</v>
          </cell>
          <cell r="R4354" t="str">
            <v xml:space="preserve"> </v>
          </cell>
        </row>
        <row r="4355">
          <cell r="J4355" t="str">
            <v>S/L</v>
          </cell>
          <cell r="R4355" t="str">
            <v xml:space="preserve"> </v>
          </cell>
        </row>
        <row r="4356">
          <cell r="J4356" t="str">
            <v>S/L</v>
          </cell>
          <cell r="R4356" t="str">
            <v xml:space="preserve"> </v>
          </cell>
        </row>
        <row r="4357">
          <cell r="J4357" t="str">
            <v>S/L</v>
          </cell>
          <cell r="R4357" t="str">
            <v xml:space="preserve"> </v>
          </cell>
        </row>
        <row r="4358">
          <cell r="J4358" t="str">
            <v>S/L</v>
          </cell>
          <cell r="R4358" t="str">
            <v xml:space="preserve"> </v>
          </cell>
        </row>
        <row r="4359">
          <cell r="J4359" t="str">
            <v>S/L</v>
          </cell>
          <cell r="R4359" t="str">
            <v xml:space="preserve"> </v>
          </cell>
        </row>
        <row r="4360">
          <cell r="J4360" t="str">
            <v>S/L</v>
          </cell>
          <cell r="R4360" t="str">
            <v xml:space="preserve"> </v>
          </cell>
        </row>
        <row r="4361">
          <cell r="J4361" t="str">
            <v>S/L</v>
          </cell>
          <cell r="R4361" t="str">
            <v xml:space="preserve"> </v>
          </cell>
        </row>
        <row r="4362">
          <cell r="J4362" t="str">
            <v>S/L</v>
          </cell>
          <cell r="R4362" t="str">
            <v xml:space="preserve"> </v>
          </cell>
        </row>
        <row r="4363">
          <cell r="J4363" t="str">
            <v>S/L</v>
          </cell>
          <cell r="R4363" t="str">
            <v xml:space="preserve"> </v>
          </cell>
        </row>
        <row r="4364">
          <cell r="J4364" t="str">
            <v>S/L</v>
          </cell>
          <cell r="R4364" t="str">
            <v xml:space="preserve"> </v>
          </cell>
        </row>
        <row r="4365">
          <cell r="J4365" t="str">
            <v>S/L</v>
          </cell>
          <cell r="R4365" t="str">
            <v xml:space="preserve"> </v>
          </cell>
        </row>
        <row r="4366">
          <cell r="J4366" t="str">
            <v>S/L</v>
          </cell>
          <cell r="R4366" t="str">
            <v xml:space="preserve"> </v>
          </cell>
        </row>
        <row r="4367">
          <cell r="J4367" t="str">
            <v>S/L</v>
          </cell>
          <cell r="R4367" t="str">
            <v xml:space="preserve"> </v>
          </cell>
        </row>
        <row r="4368">
          <cell r="J4368" t="str">
            <v>S/L</v>
          </cell>
          <cell r="R4368" t="str">
            <v xml:space="preserve"> </v>
          </cell>
        </row>
        <row r="4369">
          <cell r="J4369" t="str">
            <v>S/L</v>
          </cell>
          <cell r="R4369" t="str">
            <v xml:space="preserve"> </v>
          </cell>
        </row>
        <row r="4370">
          <cell r="J4370" t="str">
            <v>S/L</v>
          </cell>
          <cell r="R4370" t="str">
            <v xml:space="preserve"> </v>
          </cell>
        </row>
        <row r="4371">
          <cell r="J4371" t="str">
            <v>S/L</v>
          </cell>
          <cell r="R4371" t="str">
            <v xml:space="preserve"> </v>
          </cell>
        </row>
        <row r="4372">
          <cell r="J4372" t="str">
            <v>S/L</v>
          </cell>
          <cell r="R4372" t="str">
            <v xml:space="preserve"> </v>
          </cell>
        </row>
        <row r="4373">
          <cell r="J4373" t="str">
            <v>S/L</v>
          </cell>
          <cell r="R4373" t="str">
            <v xml:space="preserve"> </v>
          </cell>
        </row>
        <row r="4374">
          <cell r="J4374" t="str">
            <v>S/L</v>
          </cell>
          <cell r="R4374" t="str">
            <v xml:space="preserve"> </v>
          </cell>
        </row>
        <row r="4375">
          <cell r="J4375" t="str">
            <v>S/L</v>
          </cell>
          <cell r="R4375" t="str">
            <v xml:space="preserve"> </v>
          </cell>
        </row>
        <row r="4376">
          <cell r="J4376" t="str">
            <v>S/L</v>
          </cell>
          <cell r="R4376" t="str">
            <v xml:space="preserve"> </v>
          </cell>
        </row>
        <row r="4377">
          <cell r="J4377" t="str">
            <v>S/L</v>
          </cell>
          <cell r="R4377" t="str">
            <v xml:space="preserve"> </v>
          </cell>
        </row>
        <row r="4378">
          <cell r="J4378" t="str">
            <v>S/L</v>
          </cell>
          <cell r="R4378" t="str">
            <v xml:space="preserve"> </v>
          </cell>
        </row>
        <row r="4379">
          <cell r="J4379" t="str">
            <v>S/L</v>
          </cell>
          <cell r="R4379" t="str">
            <v xml:space="preserve"> </v>
          </cell>
        </row>
        <row r="4380">
          <cell r="J4380" t="str">
            <v>S/L</v>
          </cell>
          <cell r="R4380" t="str">
            <v xml:space="preserve"> </v>
          </cell>
        </row>
        <row r="4381">
          <cell r="J4381" t="str">
            <v>S/L</v>
          </cell>
          <cell r="R4381" t="str">
            <v xml:space="preserve"> </v>
          </cell>
        </row>
        <row r="4382">
          <cell r="J4382" t="str">
            <v>S/L</v>
          </cell>
          <cell r="R4382" t="str">
            <v xml:space="preserve"> </v>
          </cell>
        </row>
        <row r="4383">
          <cell r="J4383" t="str">
            <v>S/L</v>
          </cell>
          <cell r="R4383" t="str">
            <v xml:space="preserve"> </v>
          </cell>
        </row>
        <row r="4384">
          <cell r="J4384" t="str">
            <v>S/L</v>
          </cell>
          <cell r="R4384" t="str">
            <v xml:space="preserve"> </v>
          </cell>
        </row>
        <row r="4385">
          <cell r="J4385" t="str">
            <v>S/L</v>
          </cell>
          <cell r="R4385" t="str">
            <v xml:space="preserve"> </v>
          </cell>
        </row>
        <row r="4386">
          <cell r="J4386" t="str">
            <v>S/L</v>
          </cell>
          <cell r="R4386" t="str">
            <v xml:space="preserve"> </v>
          </cell>
        </row>
        <row r="4387">
          <cell r="J4387" t="str">
            <v>S/L</v>
          </cell>
          <cell r="R4387" t="str">
            <v xml:space="preserve"> </v>
          </cell>
        </row>
        <row r="4388">
          <cell r="J4388" t="str">
            <v>S/L</v>
          </cell>
          <cell r="R4388" t="str">
            <v xml:space="preserve"> </v>
          </cell>
        </row>
        <row r="4389">
          <cell r="J4389" t="str">
            <v>S/L</v>
          </cell>
          <cell r="R4389" t="str">
            <v xml:space="preserve"> </v>
          </cell>
        </row>
        <row r="4390">
          <cell r="J4390" t="str">
            <v>S/L</v>
          </cell>
          <cell r="R4390" t="str">
            <v xml:space="preserve"> </v>
          </cell>
        </row>
        <row r="4391">
          <cell r="J4391" t="str">
            <v>S/L</v>
          </cell>
          <cell r="R4391" t="str">
            <v xml:space="preserve"> </v>
          </cell>
        </row>
        <row r="4392">
          <cell r="J4392" t="str">
            <v>S/L</v>
          </cell>
          <cell r="R4392" t="str">
            <v xml:space="preserve"> </v>
          </cell>
        </row>
        <row r="4393">
          <cell r="J4393" t="str">
            <v>S/L</v>
          </cell>
          <cell r="R4393" t="str">
            <v xml:space="preserve"> </v>
          </cell>
        </row>
        <row r="4394">
          <cell r="J4394" t="str">
            <v>S/L</v>
          </cell>
          <cell r="R4394" t="str">
            <v xml:space="preserve"> </v>
          </cell>
        </row>
        <row r="4395">
          <cell r="J4395" t="str">
            <v>S/L</v>
          </cell>
          <cell r="R4395" t="str">
            <v xml:space="preserve"> </v>
          </cell>
        </row>
        <row r="4396">
          <cell r="J4396" t="str">
            <v>S/L</v>
          </cell>
          <cell r="R4396" t="str">
            <v xml:space="preserve"> </v>
          </cell>
        </row>
        <row r="4397">
          <cell r="J4397" t="str">
            <v>S/L</v>
          </cell>
          <cell r="R4397" t="str">
            <v xml:space="preserve"> </v>
          </cell>
        </row>
        <row r="4398">
          <cell r="J4398" t="str">
            <v>S/L</v>
          </cell>
          <cell r="R4398" t="str">
            <v xml:space="preserve"> </v>
          </cell>
        </row>
        <row r="4399">
          <cell r="J4399" t="str">
            <v>S/L</v>
          </cell>
          <cell r="R4399" t="str">
            <v xml:space="preserve"> </v>
          </cell>
        </row>
        <row r="4400">
          <cell r="J4400" t="str">
            <v>S/L</v>
          </cell>
          <cell r="R4400" t="str">
            <v xml:space="preserve"> </v>
          </cell>
        </row>
        <row r="4401">
          <cell r="J4401" t="str">
            <v>S/L</v>
          </cell>
          <cell r="R4401" t="str">
            <v xml:space="preserve"> </v>
          </cell>
        </row>
        <row r="4402">
          <cell r="J4402" t="str">
            <v>S/L</v>
          </cell>
          <cell r="R4402" t="str">
            <v xml:space="preserve"> </v>
          </cell>
        </row>
        <row r="4403">
          <cell r="J4403" t="str">
            <v>S/L</v>
          </cell>
          <cell r="R4403" t="str">
            <v xml:space="preserve"> </v>
          </cell>
        </row>
        <row r="4404">
          <cell r="J4404" t="str">
            <v>S/L</v>
          </cell>
          <cell r="R4404" t="str">
            <v xml:space="preserve"> </v>
          </cell>
        </row>
        <row r="4405">
          <cell r="J4405" t="str">
            <v>S/L</v>
          </cell>
          <cell r="R4405" t="str">
            <v xml:space="preserve"> </v>
          </cell>
        </row>
        <row r="4406">
          <cell r="J4406" t="str">
            <v>S/L</v>
          </cell>
          <cell r="R4406" t="str">
            <v xml:space="preserve"> </v>
          </cell>
        </row>
        <row r="4407">
          <cell r="J4407" t="str">
            <v>S/L</v>
          </cell>
          <cell r="R4407" t="str">
            <v xml:space="preserve"> </v>
          </cell>
        </row>
        <row r="4408">
          <cell r="J4408" t="str">
            <v>S/L</v>
          </cell>
          <cell r="R4408" t="str">
            <v xml:space="preserve"> </v>
          </cell>
        </row>
        <row r="4409">
          <cell r="J4409" t="str">
            <v>S/L</v>
          </cell>
          <cell r="R4409" t="str">
            <v xml:space="preserve"> </v>
          </cell>
        </row>
        <row r="4410">
          <cell r="J4410" t="str">
            <v>S/L</v>
          </cell>
          <cell r="R4410" t="str">
            <v xml:space="preserve"> </v>
          </cell>
        </row>
        <row r="4411">
          <cell r="J4411" t="str">
            <v>S/L</v>
          </cell>
          <cell r="R4411" t="str">
            <v xml:space="preserve"> </v>
          </cell>
        </row>
        <row r="4412">
          <cell r="J4412" t="str">
            <v>S/L</v>
          </cell>
          <cell r="R4412" t="str">
            <v xml:space="preserve"> </v>
          </cell>
        </row>
        <row r="4413">
          <cell r="J4413" t="str">
            <v>S/L</v>
          </cell>
          <cell r="R4413" t="str">
            <v xml:space="preserve"> </v>
          </cell>
        </row>
        <row r="4414">
          <cell r="J4414" t="str">
            <v>S/L</v>
          </cell>
          <cell r="R4414" t="str">
            <v xml:space="preserve"> </v>
          </cell>
        </row>
        <row r="4415">
          <cell r="J4415" t="str">
            <v>S/L</v>
          </cell>
          <cell r="R4415" t="str">
            <v xml:space="preserve"> </v>
          </cell>
        </row>
        <row r="4416">
          <cell r="J4416" t="str">
            <v>S/L</v>
          </cell>
          <cell r="R4416" t="str">
            <v xml:space="preserve"> </v>
          </cell>
        </row>
        <row r="4417">
          <cell r="J4417" t="str">
            <v>S/L</v>
          </cell>
          <cell r="R4417" t="str">
            <v xml:space="preserve"> </v>
          </cell>
        </row>
        <row r="4418">
          <cell r="J4418" t="str">
            <v>S/L</v>
          </cell>
          <cell r="R4418" t="str">
            <v xml:space="preserve"> </v>
          </cell>
        </row>
        <row r="4419">
          <cell r="J4419" t="str">
            <v>S/L</v>
          </cell>
          <cell r="R4419" t="str">
            <v xml:space="preserve"> </v>
          </cell>
        </row>
        <row r="4420">
          <cell r="J4420" t="str">
            <v>S/L</v>
          </cell>
          <cell r="R4420" t="str">
            <v xml:space="preserve"> </v>
          </cell>
        </row>
        <row r="4421">
          <cell r="J4421" t="str">
            <v>S/L</v>
          </cell>
          <cell r="R4421" t="str">
            <v xml:space="preserve"> </v>
          </cell>
        </row>
        <row r="4422">
          <cell r="J4422" t="str">
            <v>S/L</v>
          </cell>
          <cell r="R4422" t="str">
            <v xml:space="preserve"> </v>
          </cell>
        </row>
        <row r="4423">
          <cell r="J4423" t="str">
            <v>S/L</v>
          </cell>
          <cell r="R4423" t="str">
            <v xml:space="preserve"> </v>
          </cell>
        </row>
        <row r="4424">
          <cell r="J4424" t="str">
            <v>S/L</v>
          </cell>
          <cell r="R4424" t="str">
            <v xml:space="preserve"> </v>
          </cell>
        </row>
        <row r="4425">
          <cell r="J4425" t="str">
            <v>S/L</v>
          </cell>
          <cell r="R4425" t="str">
            <v xml:space="preserve"> </v>
          </cell>
        </row>
        <row r="4426">
          <cell r="J4426" t="str">
            <v>S/L</v>
          </cell>
          <cell r="R4426" t="str">
            <v xml:space="preserve"> </v>
          </cell>
        </row>
        <row r="4427">
          <cell r="J4427" t="str">
            <v>S/L</v>
          </cell>
          <cell r="R4427" t="str">
            <v xml:space="preserve"> </v>
          </cell>
        </row>
        <row r="4428">
          <cell r="J4428" t="str">
            <v>S/L</v>
          </cell>
          <cell r="R4428" t="str">
            <v xml:space="preserve"> </v>
          </cell>
        </row>
        <row r="4429">
          <cell r="J4429" t="str">
            <v>S/L</v>
          </cell>
          <cell r="R4429" t="str">
            <v xml:space="preserve"> </v>
          </cell>
        </row>
        <row r="4430">
          <cell r="J4430" t="str">
            <v>S/L</v>
          </cell>
          <cell r="R4430" t="str">
            <v xml:space="preserve"> </v>
          </cell>
        </row>
        <row r="4431">
          <cell r="J4431" t="str">
            <v>S/L</v>
          </cell>
          <cell r="R4431" t="str">
            <v xml:space="preserve"> </v>
          </cell>
        </row>
        <row r="4432">
          <cell r="J4432" t="str">
            <v>S/L</v>
          </cell>
          <cell r="R4432" t="str">
            <v xml:space="preserve"> </v>
          </cell>
        </row>
        <row r="4433">
          <cell r="J4433" t="str">
            <v>S/L</v>
          </cell>
          <cell r="R4433" t="str">
            <v xml:space="preserve"> </v>
          </cell>
        </row>
        <row r="4434">
          <cell r="J4434" t="str">
            <v>S/L</v>
          </cell>
          <cell r="R4434" t="str">
            <v xml:space="preserve"> </v>
          </cell>
        </row>
        <row r="4435">
          <cell r="J4435" t="str">
            <v>S/L</v>
          </cell>
          <cell r="R4435" t="str">
            <v xml:space="preserve"> </v>
          </cell>
        </row>
        <row r="4436">
          <cell r="J4436" t="str">
            <v>S/L</v>
          </cell>
          <cell r="R4436" t="str">
            <v xml:space="preserve"> </v>
          </cell>
        </row>
        <row r="4437">
          <cell r="J4437" t="str">
            <v>S/L</v>
          </cell>
          <cell r="R4437" t="str">
            <v xml:space="preserve"> </v>
          </cell>
        </row>
        <row r="4438">
          <cell r="J4438" t="str">
            <v>S/L</v>
          </cell>
          <cell r="R4438" t="str">
            <v xml:space="preserve"> </v>
          </cell>
        </row>
        <row r="4439">
          <cell r="J4439" t="str">
            <v>S/L</v>
          </cell>
          <cell r="R4439" t="str">
            <v xml:space="preserve"> </v>
          </cell>
        </row>
        <row r="4440">
          <cell r="J4440" t="str">
            <v>S/L</v>
          </cell>
          <cell r="R4440" t="str">
            <v xml:space="preserve"> </v>
          </cell>
        </row>
        <row r="4441">
          <cell r="J4441" t="str">
            <v>S/L</v>
          </cell>
          <cell r="R4441" t="str">
            <v xml:space="preserve"> </v>
          </cell>
        </row>
        <row r="4442">
          <cell r="J4442" t="str">
            <v>S/L</v>
          </cell>
          <cell r="R4442" t="str">
            <v xml:space="preserve"> </v>
          </cell>
        </row>
        <row r="4443">
          <cell r="J4443" t="str">
            <v>S/L</v>
          </cell>
          <cell r="R4443" t="str">
            <v xml:space="preserve"> </v>
          </cell>
        </row>
        <row r="4444">
          <cell r="J4444" t="str">
            <v>S/L</v>
          </cell>
          <cell r="R4444" t="str">
            <v xml:space="preserve"> </v>
          </cell>
        </row>
        <row r="4445">
          <cell r="J4445" t="str">
            <v>S/L</v>
          </cell>
          <cell r="R4445" t="str">
            <v xml:space="preserve"> </v>
          </cell>
        </row>
        <row r="4446">
          <cell r="J4446" t="str">
            <v>S/L</v>
          </cell>
          <cell r="R4446" t="str">
            <v xml:space="preserve"> </v>
          </cell>
        </row>
        <row r="4447">
          <cell r="J4447" t="str">
            <v>S/L</v>
          </cell>
          <cell r="R4447" t="str">
            <v xml:space="preserve"> </v>
          </cell>
        </row>
        <row r="4448">
          <cell r="J4448" t="str">
            <v>S/L</v>
          </cell>
          <cell r="R4448" t="str">
            <v xml:space="preserve"> </v>
          </cell>
        </row>
        <row r="4449">
          <cell r="J4449" t="str">
            <v>S/L</v>
          </cell>
          <cell r="R4449" t="str">
            <v xml:space="preserve"> </v>
          </cell>
        </row>
        <row r="4450">
          <cell r="J4450" t="str">
            <v>S/L</v>
          </cell>
          <cell r="R4450" t="str">
            <v xml:space="preserve"> </v>
          </cell>
        </row>
        <row r="4451">
          <cell r="J4451" t="str">
            <v>S/L</v>
          </cell>
          <cell r="R4451" t="str">
            <v xml:space="preserve"> </v>
          </cell>
        </row>
        <row r="4452">
          <cell r="J4452" t="str">
            <v>S/L</v>
          </cell>
          <cell r="R4452" t="str">
            <v xml:space="preserve"> </v>
          </cell>
        </row>
        <row r="4453">
          <cell r="J4453" t="str">
            <v>S/L</v>
          </cell>
          <cell r="R4453" t="str">
            <v xml:space="preserve"> </v>
          </cell>
        </row>
        <row r="4454">
          <cell r="J4454" t="str">
            <v>S/L</v>
          </cell>
          <cell r="R4454" t="str">
            <v xml:space="preserve"> </v>
          </cell>
        </row>
        <row r="4455">
          <cell r="J4455" t="str">
            <v>S/L</v>
          </cell>
          <cell r="R4455" t="str">
            <v xml:space="preserve"> </v>
          </cell>
        </row>
        <row r="4456">
          <cell r="J4456" t="str">
            <v>S/L</v>
          </cell>
          <cell r="R4456" t="str">
            <v xml:space="preserve"> </v>
          </cell>
        </row>
        <row r="4457">
          <cell r="J4457" t="str">
            <v>S/L</v>
          </cell>
          <cell r="R4457" t="str">
            <v xml:space="preserve"> </v>
          </cell>
        </row>
        <row r="4458">
          <cell r="J4458" t="str">
            <v>S/L</v>
          </cell>
          <cell r="R4458" t="str">
            <v xml:space="preserve"> </v>
          </cell>
        </row>
        <row r="4459">
          <cell r="J4459" t="str">
            <v>S/L</v>
          </cell>
          <cell r="R4459" t="str">
            <v xml:space="preserve"> </v>
          </cell>
        </row>
        <row r="4460">
          <cell r="J4460" t="str">
            <v>S/L</v>
          </cell>
          <cell r="R4460" t="str">
            <v xml:space="preserve"> </v>
          </cell>
        </row>
        <row r="4461">
          <cell r="J4461" t="str">
            <v>S/L</v>
          </cell>
          <cell r="R4461" t="str">
            <v xml:space="preserve"> </v>
          </cell>
        </row>
        <row r="4462">
          <cell r="J4462" t="str">
            <v>S/L</v>
          </cell>
          <cell r="R4462" t="str">
            <v xml:space="preserve"> </v>
          </cell>
        </row>
        <row r="4463">
          <cell r="J4463" t="str">
            <v>S/L</v>
          </cell>
          <cell r="R4463" t="str">
            <v xml:space="preserve"> </v>
          </cell>
        </row>
        <row r="4464">
          <cell r="J4464" t="str">
            <v>S/L</v>
          </cell>
          <cell r="R4464" t="str">
            <v xml:space="preserve"> </v>
          </cell>
        </row>
        <row r="4465">
          <cell r="J4465" t="str">
            <v>S/L</v>
          </cell>
          <cell r="R4465" t="str">
            <v xml:space="preserve"> </v>
          </cell>
        </row>
        <row r="4466">
          <cell r="J4466" t="str">
            <v>S/L</v>
          </cell>
          <cell r="R4466" t="str">
            <v xml:space="preserve"> </v>
          </cell>
        </row>
        <row r="4467">
          <cell r="J4467" t="str">
            <v>S/L</v>
          </cell>
          <cell r="R4467" t="str">
            <v xml:space="preserve"> </v>
          </cell>
        </row>
        <row r="4468">
          <cell r="J4468" t="str">
            <v>S/L</v>
          </cell>
          <cell r="R4468" t="str">
            <v xml:space="preserve"> </v>
          </cell>
        </row>
        <row r="4469">
          <cell r="J4469" t="str">
            <v>S/L</v>
          </cell>
          <cell r="R4469" t="str">
            <v xml:space="preserve"> </v>
          </cell>
        </row>
        <row r="4470">
          <cell r="J4470" t="str">
            <v>S/L</v>
          </cell>
          <cell r="R4470" t="str">
            <v xml:space="preserve"> </v>
          </cell>
        </row>
        <row r="4471">
          <cell r="J4471" t="str">
            <v>S/L</v>
          </cell>
          <cell r="R4471" t="str">
            <v xml:space="preserve"> </v>
          </cell>
        </row>
        <row r="4472">
          <cell r="J4472" t="str">
            <v>S/L</v>
          </cell>
          <cell r="R4472" t="str">
            <v xml:space="preserve"> </v>
          </cell>
        </row>
        <row r="4473">
          <cell r="J4473" t="str">
            <v>S/L</v>
          </cell>
          <cell r="R4473" t="str">
            <v xml:space="preserve"> </v>
          </cell>
        </row>
        <row r="4474">
          <cell r="J4474" t="str">
            <v>S/L</v>
          </cell>
          <cell r="R4474" t="str">
            <v xml:space="preserve"> </v>
          </cell>
        </row>
        <row r="4475">
          <cell r="J4475" t="str">
            <v>S/L</v>
          </cell>
          <cell r="R4475" t="str">
            <v xml:space="preserve"> </v>
          </cell>
        </row>
        <row r="4476">
          <cell r="J4476" t="str">
            <v>S/L</v>
          </cell>
          <cell r="R4476" t="str">
            <v xml:space="preserve"> </v>
          </cell>
        </row>
        <row r="4477">
          <cell r="J4477" t="str">
            <v>S/L</v>
          </cell>
          <cell r="R4477" t="str">
            <v xml:space="preserve"> </v>
          </cell>
        </row>
        <row r="4478">
          <cell r="J4478" t="str">
            <v>S/L</v>
          </cell>
          <cell r="R4478" t="str">
            <v xml:space="preserve"> </v>
          </cell>
        </row>
        <row r="4479">
          <cell r="J4479" t="str">
            <v>S/L</v>
          </cell>
          <cell r="R4479" t="str">
            <v xml:space="preserve"> </v>
          </cell>
        </row>
        <row r="4480">
          <cell r="J4480" t="str">
            <v>S/L</v>
          </cell>
          <cell r="R4480" t="str">
            <v xml:space="preserve"> </v>
          </cell>
        </row>
        <row r="4481">
          <cell r="J4481" t="str">
            <v>S/L</v>
          </cell>
          <cell r="R4481" t="str">
            <v xml:space="preserve"> </v>
          </cell>
        </row>
        <row r="4482">
          <cell r="J4482" t="str">
            <v>S/L</v>
          </cell>
          <cell r="R4482" t="str">
            <v xml:space="preserve"> </v>
          </cell>
        </row>
        <row r="4483">
          <cell r="J4483" t="str">
            <v>S/L</v>
          </cell>
          <cell r="R4483" t="str">
            <v xml:space="preserve"> </v>
          </cell>
        </row>
        <row r="4484">
          <cell r="J4484" t="str">
            <v>S/L</v>
          </cell>
          <cell r="R4484" t="str">
            <v xml:space="preserve"> </v>
          </cell>
        </row>
        <row r="4485">
          <cell r="J4485" t="str">
            <v>S/L</v>
          </cell>
          <cell r="R4485" t="str">
            <v xml:space="preserve"> </v>
          </cell>
        </row>
        <row r="4486">
          <cell r="J4486" t="str">
            <v>S/L</v>
          </cell>
          <cell r="R4486" t="str">
            <v xml:space="preserve"> </v>
          </cell>
        </row>
        <row r="4487">
          <cell r="J4487" t="str">
            <v>S/L</v>
          </cell>
          <cell r="R4487" t="str">
            <v xml:space="preserve"> </v>
          </cell>
        </row>
        <row r="4488">
          <cell r="J4488" t="str">
            <v>S/L</v>
          </cell>
          <cell r="R4488" t="str">
            <v xml:space="preserve"> </v>
          </cell>
        </row>
        <row r="4489">
          <cell r="J4489" t="str">
            <v>S/L</v>
          </cell>
          <cell r="R4489" t="str">
            <v xml:space="preserve"> </v>
          </cell>
        </row>
        <row r="4490">
          <cell r="J4490" t="str">
            <v>S/L</v>
          </cell>
          <cell r="R4490" t="str">
            <v xml:space="preserve"> </v>
          </cell>
        </row>
        <row r="4491">
          <cell r="J4491" t="str">
            <v>S/L</v>
          </cell>
          <cell r="R4491" t="str">
            <v xml:space="preserve"> </v>
          </cell>
        </row>
        <row r="4492">
          <cell r="J4492" t="str">
            <v>S/L</v>
          </cell>
          <cell r="R4492" t="str">
            <v xml:space="preserve"> </v>
          </cell>
        </row>
        <row r="4493">
          <cell r="J4493" t="str">
            <v>S/L</v>
          </cell>
          <cell r="R4493" t="str">
            <v xml:space="preserve"> </v>
          </cell>
        </row>
        <row r="4494">
          <cell r="J4494" t="str">
            <v>S/L</v>
          </cell>
          <cell r="R4494" t="str">
            <v xml:space="preserve"> </v>
          </cell>
        </row>
        <row r="4495">
          <cell r="J4495" t="str">
            <v>S/L</v>
          </cell>
          <cell r="R4495" t="str">
            <v xml:space="preserve"> </v>
          </cell>
        </row>
        <row r="4496">
          <cell r="J4496" t="str">
            <v>S/L</v>
          </cell>
          <cell r="R4496" t="str">
            <v xml:space="preserve"> </v>
          </cell>
        </row>
        <row r="4497">
          <cell r="J4497" t="str">
            <v>S/L</v>
          </cell>
          <cell r="R4497" t="str">
            <v xml:space="preserve"> </v>
          </cell>
        </row>
        <row r="4498">
          <cell r="J4498" t="str">
            <v>S/L</v>
          </cell>
          <cell r="R4498" t="str">
            <v xml:space="preserve"> </v>
          </cell>
        </row>
        <row r="4499">
          <cell r="J4499" t="str">
            <v>S/L</v>
          </cell>
          <cell r="R4499" t="str">
            <v xml:space="preserve"> </v>
          </cell>
        </row>
        <row r="4500">
          <cell r="J4500" t="str">
            <v>S/L</v>
          </cell>
          <cell r="R4500" t="str">
            <v xml:space="preserve"> </v>
          </cell>
        </row>
        <row r="4501">
          <cell r="J4501" t="str">
            <v>S/L</v>
          </cell>
          <cell r="R4501" t="str">
            <v xml:space="preserve"> </v>
          </cell>
        </row>
        <row r="4502">
          <cell r="J4502" t="str">
            <v>S/L</v>
          </cell>
          <cell r="R4502" t="str">
            <v xml:space="preserve"> </v>
          </cell>
        </row>
        <row r="4503">
          <cell r="J4503" t="str">
            <v>S/L</v>
          </cell>
          <cell r="R4503" t="str">
            <v xml:space="preserve"> </v>
          </cell>
        </row>
        <row r="4504">
          <cell r="J4504" t="str">
            <v>S/L</v>
          </cell>
          <cell r="R4504" t="str">
            <v xml:space="preserve"> </v>
          </cell>
        </row>
        <row r="4505">
          <cell r="J4505" t="str">
            <v>S/L</v>
          </cell>
          <cell r="R4505" t="str">
            <v xml:space="preserve"> </v>
          </cell>
        </row>
        <row r="4506">
          <cell r="J4506" t="str">
            <v>S/L</v>
          </cell>
          <cell r="R4506" t="str">
            <v xml:space="preserve"> </v>
          </cell>
        </row>
        <row r="4507">
          <cell r="J4507" t="str">
            <v>S/L</v>
          </cell>
          <cell r="R4507" t="str">
            <v xml:space="preserve"> </v>
          </cell>
        </row>
        <row r="4508">
          <cell r="J4508" t="str">
            <v>S/L</v>
          </cell>
          <cell r="R4508" t="str">
            <v xml:space="preserve"> </v>
          </cell>
        </row>
        <row r="4509">
          <cell r="J4509" t="str">
            <v>S/L</v>
          </cell>
          <cell r="R4509" t="str">
            <v xml:space="preserve"> </v>
          </cell>
        </row>
        <row r="4510">
          <cell r="J4510" t="str">
            <v>S/L</v>
          </cell>
          <cell r="R4510" t="str">
            <v xml:space="preserve"> </v>
          </cell>
        </row>
        <row r="4511">
          <cell r="J4511" t="str">
            <v>S/L</v>
          </cell>
          <cell r="R4511" t="str">
            <v xml:space="preserve"> </v>
          </cell>
        </row>
        <row r="4512">
          <cell r="J4512" t="str">
            <v>S/L</v>
          </cell>
          <cell r="R4512" t="str">
            <v xml:space="preserve"> </v>
          </cell>
        </row>
        <row r="4513">
          <cell r="J4513" t="str">
            <v>S/L</v>
          </cell>
          <cell r="R4513" t="str">
            <v xml:space="preserve"> </v>
          </cell>
        </row>
        <row r="4514">
          <cell r="J4514" t="str">
            <v>S/L</v>
          </cell>
          <cell r="R4514" t="str">
            <v xml:space="preserve"> </v>
          </cell>
        </row>
        <row r="4515">
          <cell r="J4515" t="str">
            <v>S/L</v>
          </cell>
          <cell r="R4515" t="str">
            <v xml:space="preserve"> </v>
          </cell>
        </row>
        <row r="4516">
          <cell r="J4516" t="str">
            <v>S/L</v>
          </cell>
          <cell r="R4516" t="str">
            <v xml:space="preserve"> </v>
          </cell>
        </row>
        <row r="4517">
          <cell r="J4517" t="str">
            <v>S/L</v>
          </cell>
          <cell r="R4517" t="str">
            <v xml:space="preserve"> </v>
          </cell>
        </row>
        <row r="4518">
          <cell r="J4518" t="str">
            <v>S/L</v>
          </cell>
          <cell r="R4518" t="str">
            <v xml:space="preserve"> </v>
          </cell>
        </row>
        <row r="4519">
          <cell r="J4519" t="str">
            <v>S/L</v>
          </cell>
          <cell r="R4519" t="str">
            <v xml:space="preserve"> </v>
          </cell>
        </row>
        <row r="4520">
          <cell r="J4520" t="str">
            <v>S/L</v>
          </cell>
          <cell r="R4520" t="str">
            <v xml:space="preserve"> </v>
          </cell>
        </row>
        <row r="4521">
          <cell r="J4521" t="str">
            <v>S/L</v>
          </cell>
          <cell r="R4521" t="str">
            <v xml:space="preserve"> </v>
          </cell>
        </row>
        <row r="4522">
          <cell r="J4522" t="str">
            <v>S/L</v>
          </cell>
          <cell r="R4522" t="str">
            <v xml:space="preserve"> </v>
          </cell>
        </row>
        <row r="4523">
          <cell r="J4523" t="str">
            <v>S/L</v>
          </cell>
          <cell r="R4523" t="str">
            <v xml:space="preserve"> </v>
          </cell>
        </row>
        <row r="4524">
          <cell r="J4524" t="str">
            <v>S/L</v>
          </cell>
          <cell r="R4524" t="str">
            <v xml:space="preserve"> </v>
          </cell>
        </row>
        <row r="4525">
          <cell r="J4525" t="str">
            <v>S/L</v>
          </cell>
          <cell r="R4525" t="str">
            <v xml:space="preserve"> </v>
          </cell>
        </row>
        <row r="4526">
          <cell r="J4526" t="str">
            <v>S/L</v>
          </cell>
          <cell r="R4526" t="str">
            <v xml:space="preserve"> </v>
          </cell>
        </row>
        <row r="4527">
          <cell r="J4527" t="str">
            <v>S/L</v>
          </cell>
          <cell r="R4527" t="str">
            <v xml:space="preserve"> </v>
          </cell>
        </row>
        <row r="4528">
          <cell r="J4528" t="str">
            <v>S/L</v>
          </cell>
          <cell r="R4528" t="str">
            <v xml:space="preserve"> </v>
          </cell>
        </row>
        <row r="4529">
          <cell r="J4529" t="str">
            <v>S/L</v>
          </cell>
          <cell r="R4529" t="str">
            <v xml:space="preserve"> </v>
          </cell>
        </row>
        <row r="4530">
          <cell r="J4530" t="str">
            <v>S/L</v>
          </cell>
          <cell r="R4530" t="str">
            <v xml:space="preserve"> </v>
          </cell>
        </row>
        <row r="4531">
          <cell r="J4531" t="str">
            <v>S/L</v>
          </cell>
          <cell r="R4531" t="str">
            <v xml:space="preserve"> </v>
          </cell>
        </row>
        <row r="4532">
          <cell r="J4532" t="str">
            <v>S/L</v>
          </cell>
          <cell r="R4532" t="str">
            <v xml:space="preserve"> </v>
          </cell>
        </row>
        <row r="4533">
          <cell r="J4533" t="str">
            <v>S/L</v>
          </cell>
          <cell r="R4533" t="str">
            <v xml:space="preserve"> </v>
          </cell>
        </row>
        <row r="4534">
          <cell r="J4534" t="str">
            <v>S/L</v>
          </cell>
          <cell r="R4534" t="str">
            <v xml:space="preserve"> </v>
          </cell>
        </row>
        <row r="4535">
          <cell r="J4535" t="str">
            <v>S/L</v>
          </cell>
          <cell r="R4535" t="str">
            <v xml:space="preserve"> </v>
          </cell>
        </row>
        <row r="4536">
          <cell r="J4536" t="str">
            <v>S/L</v>
          </cell>
          <cell r="R4536" t="str">
            <v xml:space="preserve"> </v>
          </cell>
        </row>
        <row r="4537">
          <cell r="J4537" t="str">
            <v>S/L</v>
          </cell>
          <cell r="R4537" t="str">
            <v xml:space="preserve"> </v>
          </cell>
        </row>
        <row r="4538">
          <cell r="J4538" t="str">
            <v>S/L</v>
          </cell>
          <cell r="R4538" t="str">
            <v xml:space="preserve"> </v>
          </cell>
        </row>
        <row r="4539">
          <cell r="J4539" t="str">
            <v>S/L</v>
          </cell>
          <cell r="R4539" t="str">
            <v xml:space="preserve"> </v>
          </cell>
        </row>
        <row r="4540">
          <cell r="J4540" t="str">
            <v>S/L</v>
          </cell>
          <cell r="R4540" t="str">
            <v xml:space="preserve"> </v>
          </cell>
        </row>
        <row r="4541">
          <cell r="J4541" t="str">
            <v>S/L</v>
          </cell>
          <cell r="R4541" t="str">
            <v xml:space="preserve"> </v>
          </cell>
        </row>
        <row r="4542">
          <cell r="J4542" t="str">
            <v>S/L</v>
          </cell>
          <cell r="R4542" t="str">
            <v xml:space="preserve"> </v>
          </cell>
        </row>
        <row r="4543">
          <cell r="J4543" t="str">
            <v>S/L</v>
          </cell>
          <cell r="R4543" t="str">
            <v xml:space="preserve"> </v>
          </cell>
        </row>
        <row r="4544">
          <cell r="J4544" t="str">
            <v>S/L</v>
          </cell>
          <cell r="R4544" t="str">
            <v xml:space="preserve"> </v>
          </cell>
        </row>
        <row r="4545">
          <cell r="J4545" t="str">
            <v>S/L</v>
          </cell>
          <cell r="R4545" t="str">
            <v xml:space="preserve"> </v>
          </cell>
        </row>
        <row r="4546">
          <cell r="J4546" t="str">
            <v>S/L</v>
          </cell>
          <cell r="R4546" t="str">
            <v xml:space="preserve"> </v>
          </cell>
        </row>
        <row r="4547">
          <cell r="J4547" t="str">
            <v>S/L</v>
          </cell>
          <cell r="R4547" t="str">
            <v xml:space="preserve"> </v>
          </cell>
        </row>
        <row r="4548">
          <cell r="J4548" t="str">
            <v>S/L</v>
          </cell>
          <cell r="R4548" t="str">
            <v xml:space="preserve"> </v>
          </cell>
        </row>
        <row r="4549">
          <cell r="J4549" t="str">
            <v>S/L</v>
          </cell>
          <cell r="R4549" t="str">
            <v xml:space="preserve"> </v>
          </cell>
        </row>
        <row r="4550">
          <cell r="J4550" t="str">
            <v>S/L</v>
          </cell>
          <cell r="R4550" t="str">
            <v xml:space="preserve"> </v>
          </cell>
        </row>
        <row r="4551">
          <cell r="J4551" t="str">
            <v>S/L</v>
          </cell>
          <cell r="R4551" t="str">
            <v xml:space="preserve"> </v>
          </cell>
        </row>
        <row r="4552">
          <cell r="J4552" t="str">
            <v>S/L</v>
          </cell>
          <cell r="R4552" t="str">
            <v xml:space="preserve"> </v>
          </cell>
        </row>
        <row r="4553">
          <cell r="J4553" t="str">
            <v>S/L</v>
          </cell>
          <cell r="R4553" t="str">
            <v xml:space="preserve"> </v>
          </cell>
        </row>
        <row r="4554">
          <cell r="J4554" t="str">
            <v>S/L</v>
          </cell>
          <cell r="R4554" t="str">
            <v xml:space="preserve"> </v>
          </cell>
        </row>
        <row r="4555">
          <cell r="J4555" t="str">
            <v>S/L</v>
          </cell>
          <cell r="R4555" t="str">
            <v xml:space="preserve"> </v>
          </cell>
        </row>
        <row r="4556">
          <cell r="J4556" t="str">
            <v>S/L</v>
          </cell>
          <cell r="R4556" t="str">
            <v xml:space="preserve"> </v>
          </cell>
        </row>
        <row r="4557">
          <cell r="J4557" t="str">
            <v>S/L</v>
          </cell>
          <cell r="R4557" t="str">
            <v xml:space="preserve"> </v>
          </cell>
        </row>
        <row r="4558">
          <cell r="J4558" t="str">
            <v>S/L</v>
          </cell>
          <cell r="R4558" t="str">
            <v xml:space="preserve"> </v>
          </cell>
        </row>
        <row r="4559">
          <cell r="J4559" t="str">
            <v>S/L</v>
          </cell>
          <cell r="R4559" t="str">
            <v xml:space="preserve"> </v>
          </cell>
        </row>
        <row r="4560">
          <cell r="J4560" t="str">
            <v>S/L</v>
          </cell>
          <cell r="R4560" t="str">
            <v xml:space="preserve"> </v>
          </cell>
        </row>
        <row r="4561">
          <cell r="J4561" t="str">
            <v>S/L</v>
          </cell>
          <cell r="R4561" t="str">
            <v xml:space="preserve"> </v>
          </cell>
        </row>
        <row r="4562">
          <cell r="J4562" t="str">
            <v>S/L</v>
          </cell>
          <cell r="R4562" t="str">
            <v xml:space="preserve"> </v>
          </cell>
        </row>
        <row r="4563">
          <cell r="J4563" t="str">
            <v>S/L</v>
          </cell>
          <cell r="R4563" t="str">
            <v xml:space="preserve"> </v>
          </cell>
        </row>
        <row r="4564">
          <cell r="J4564" t="str">
            <v>S/L</v>
          </cell>
          <cell r="R4564" t="str">
            <v xml:space="preserve"> </v>
          </cell>
        </row>
        <row r="4565">
          <cell r="J4565" t="str">
            <v>S/L</v>
          </cell>
          <cell r="R4565" t="str">
            <v xml:space="preserve"> </v>
          </cell>
        </row>
        <row r="4566">
          <cell r="J4566" t="str">
            <v>S/L</v>
          </cell>
          <cell r="R4566" t="str">
            <v xml:space="preserve"> </v>
          </cell>
        </row>
        <row r="4567">
          <cell r="J4567" t="str">
            <v>S/L</v>
          </cell>
          <cell r="R4567" t="str">
            <v xml:space="preserve"> </v>
          </cell>
        </row>
        <row r="4568">
          <cell r="J4568" t="str">
            <v>S/L</v>
          </cell>
          <cell r="R4568" t="str">
            <v xml:space="preserve"> </v>
          </cell>
        </row>
        <row r="4569">
          <cell r="J4569" t="str">
            <v>S/L</v>
          </cell>
          <cell r="R4569" t="str">
            <v xml:space="preserve"> </v>
          </cell>
        </row>
        <row r="4570">
          <cell r="J4570" t="str">
            <v>S/L</v>
          </cell>
          <cell r="R4570" t="str">
            <v xml:space="preserve"> </v>
          </cell>
        </row>
        <row r="4571">
          <cell r="J4571" t="str">
            <v>S/L</v>
          </cell>
          <cell r="R4571" t="str">
            <v xml:space="preserve"> </v>
          </cell>
        </row>
        <row r="4572">
          <cell r="J4572" t="str">
            <v>S/L</v>
          </cell>
          <cell r="R4572" t="str">
            <v xml:space="preserve"> </v>
          </cell>
        </row>
        <row r="4573">
          <cell r="J4573" t="str">
            <v>S/L</v>
          </cell>
          <cell r="R4573" t="str">
            <v xml:space="preserve"> </v>
          </cell>
        </row>
        <row r="4574">
          <cell r="J4574" t="str">
            <v>S/L</v>
          </cell>
          <cell r="R4574" t="str">
            <v xml:space="preserve"> </v>
          </cell>
        </row>
        <row r="4575">
          <cell r="J4575" t="str">
            <v>S/L</v>
          </cell>
          <cell r="R4575" t="str">
            <v xml:space="preserve"> </v>
          </cell>
        </row>
        <row r="4576">
          <cell r="J4576" t="str">
            <v>S/L</v>
          </cell>
          <cell r="R4576" t="str">
            <v xml:space="preserve"> </v>
          </cell>
        </row>
        <row r="4577">
          <cell r="J4577" t="str">
            <v>S/L</v>
          </cell>
          <cell r="R4577" t="str">
            <v xml:space="preserve"> </v>
          </cell>
        </row>
        <row r="4578">
          <cell r="J4578" t="str">
            <v>S/L</v>
          </cell>
          <cell r="R4578" t="str">
            <v xml:space="preserve"> </v>
          </cell>
        </row>
        <row r="4579">
          <cell r="J4579" t="str">
            <v>S/L</v>
          </cell>
          <cell r="R4579" t="str">
            <v xml:space="preserve"> </v>
          </cell>
        </row>
        <row r="4580">
          <cell r="J4580" t="str">
            <v>S/L</v>
          </cell>
          <cell r="R4580" t="str">
            <v xml:space="preserve"> </v>
          </cell>
        </row>
        <row r="4581">
          <cell r="J4581" t="str">
            <v>S/L</v>
          </cell>
          <cell r="R4581" t="str">
            <v xml:space="preserve"> </v>
          </cell>
        </row>
        <row r="4582">
          <cell r="J4582" t="str">
            <v>S/L</v>
          </cell>
          <cell r="R4582" t="str">
            <v xml:space="preserve"> </v>
          </cell>
        </row>
        <row r="4583">
          <cell r="J4583" t="str">
            <v>S/L</v>
          </cell>
          <cell r="R4583" t="str">
            <v xml:space="preserve"> </v>
          </cell>
        </row>
        <row r="4584">
          <cell r="J4584" t="str">
            <v>S/L</v>
          </cell>
          <cell r="R4584" t="str">
            <v xml:space="preserve"> </v>
          </cell>
        </row>
        <row r="4585">
          <cell r="J4585" t="str">
            <v>S/L</v>
          </cell>
          <cell r="R4585" t="str">
            <v xml:space="preserve"> </v>
          </cell>
        </row>
        <row r="4586">
          <cell r="J4586" t="str">
            <v>S/L</v>
          </cell>
          <cell r="R4586" t="str">
            <v xml:space="preserve"> </v>
          </cell>
        </row>
        <row r="4587">
          <cell r="J4587" t="str">
            <v>S/L</v>
          </cell>
          <cell r="R4587" t="str">
            <v xml:space="preserve"> </v>
          </cell>
        </row>
        <row r="4588">
          <cell r="J4588" t="str">
            <v>S/L</v>
          </cell>
          <cell r="R4588" t="str">
            <v xml:space="preserve"> </v>
          </cell>
        </row>
        <row r="4589">
          <cell r="J4589" t="str">
            <v>S/L</v>
          </cell>
          <cell r="R4589" t="str">
            <v xml:space="preserve"> </v>
          </cell>
        </row>
        <row r="4590">
          <cell r="J4590" t="str">
            <v>S/L</v>
          </cell>
          <cell r="R4590" t="str">
            <v xml:space="preserve"> </v>
          </cell>
        </row>
        <row r="4591">
          <cell r="J4591" t="str">
            <v>S/L</v>
          </cell>
          <cell r="R4591" t="str">
            <v xml:space="preserve"> </v>
          </cell>
        </row>
        <row r="4592">
          <cell r="J4592" t="str">
            <v>S/L</v>
          </cell>
          <cell r="R4592" t="str">
            <v xml:space="preserve"> </v>
          </cell>
        </row>
        <row r="4593">
          <cell r="J4593" t="str">
            <v>S/L</v>
          </cell>
          <cell r="R4593" t="str">
            <v xml:space="preserve"> </v>
          </cell>
        </row>
        <row r="4594">
          <cell r="J4594" t="str">
            <v>S/L</v>
          </cell>
          <cell r="R4594" t="str">
            <v xml:space="preserve"> </v>
          </cell>
        </row>
        <row r="4595">
          <cell r="J4595" t="str">
            <v>S/L</v>
          </cell>
          <cell r="R4595" t="str">
            <v xml:space="preserve"> </v>
          </cell>
        </row>
        <row r="4596">
          <cell r="J4596" t="str">
            <v>S/L</v>
          </cell>
          <cell r="R4596" t="str">
            <v xml:space="preserve"> </v>
          </cell>
        </row>
        <row r="4597">
          <cell r="J4597" t="str">
            <v>S/L</v>
          </cell>
          <cell r="R4597" t="str">
            <v xml:space="preserve"> </v>
          </cell>
        </row>
        <row r="4598">
          <cell r="J4598" t="str">
            <v>S/L</v>
          </cell>
          <cell r="R4598" t="str">
            <v xml:space="preserve"> </v>
          </cell>
        </row>
        <row r="4599">
          <cell r="J4599" t="str">
            <v>S/L</v>
          </cell>
          <cell r="R4599" t="str">
            <v xml:space="preserve"> </v>
          </cell>
        </row>
        <row r="4600">
          <cell r="J4600" t="str">
            <v>S/L</v>
          </cell>
          <cell r="R4600" t="str">
            <v xml:space="preserve"> </v>
          </cell>
        </row>
        <row r="4601">
          <cell r="J4601" t="str">
            <v>S/L</v>
          </cell>
          <cell r="R4601" t="str">
            <v xml:space="preserve"> </v>
          </cell>
        </row>
        <row r="4602">
          <cell r="J4602" t="str">
            <v>S/L</v>
          </cell>
          <cell r="R4602" t="str">
            <v xml:space="preserve"> </v>
          </cell>
        </row>
        <row r="4603">
          <cell r="J4603" t="str">
            <v>S/L</v>
          </cell>
          <cell r="R4603" t="str">
            <v xml:space="preserve"> </v>
          </cell>
        </row>
        <row r="4604">
          <cell r="J4604" t="str">
            <v>S/L</v>
          </cell>
          <cell r="R4604" t="str">
            <v xml:space="preserve"> </v>
          </cell>
        </row>
        <row r="4605">
          <cell r="J4605" t="str">
            <v>S/L</v>
          </cell>
          <cell r="R4605" t="str">
            <v xml:space="preserve"> </v>
          </cell>
        </row>
        <row r="4606">
          <cell r="J4606" t="str">
            <v>S/L</v>
          </cell>
          <cell r="R4606" t="str">
            <v xml:space="preserve"> </v>
          </cell>
        </row>
        <row r="4607">
          <cell r="J4607" t="str">
            <v>S/L</v>
          </cell>
          <cell r="R4607" t="str">
            <v xml:space="preserve"> </v>
          </cell>
        </row>
        <row r="4608">
          <cell r="J4608" t="str">
            <v>S/L</v>
          </cell>
          <cell r="R4608" t="str">
            <v xml:space="preserve"> </v>
          </cell>
        </row>
        <row r="4609">
          <cell r="J4609" t="str">
            <v>S/L</v>
          </cell>
          <cell r="R4609" t="str">
            <v xml:space="preserve"> </v>
          </cell>
        </row>
        <row r="4610">
          <cell r="J4610" t="str">
            <v>S/L</v>
          </cell>
          <cell r="R4610" t="str">
            <v xml:space="preserve"> </v>
          </cell>
        </row>
        <row r="4611">
          <cell r="J4611" t="str">
            <v>S/L</v>
          </cell>
          <cell r="R4611" t="str">
            <v xml:space="preserve"> </v>
          </cell>
        </row>
        <row r="4612">
          <cell r="J4612" t="str">
            <v>S/L</v>
          </cell>
          <cell r="R4612" t="str">
            <v xml:space="preserve"> </v>
          </cell>
        </row>
        <row r="4613">
          <cell r="J4613" t="str">
            <v>S/L</v>
          </cell>
          <cell r="R4613" t="str">
            <v xml:space="preserve"> </v>
          </cell>
        </row>
        <row r="4614">
          <cell r="J4614" t="str">
            <v>S/L</v>
          </cell>
          <cell r="R4614" t="str">
            <v xml:space="preserve"> </v>
          </cell>
        </row>
        <row r="4615">
          <cell r="J4615" t="str">
            <v>S/L</v>
          </cell>
          <cell r="R4615" t="str">
            <v xml:space="preserve"> </v>
          </cell>
        </row>
        <row r="4616">
          <cell r="J4616" t="str">
            <v>S/L</v>
          </cell>
          <cell r="R4616" t="str">
            <v xml:space="preserve"> </v>
          </cell>
        </row>
        <row r="4617">
          <cell r="J4617" t="str">
            <v>S/L</v>
          </cell>
          <cell r="R4617" t="str">
            <v xml:space="preserve"> </v>
          </cell>
        </row>
        <row r="4618">
          <cell r="J4618" t="str">
            <v>S/L</v>
          </cell>
          <cell r="R4618" t="str">
            <v xml:space="preserve"> </v>
          </cell>
        </row>
        <row r="4619">
          <cell r="J4619" t="str">
            <v>S/L</v>
          </cell>
          <cell r="R4619" t="str">
            <v xml:space="preserve"> </v>
          </cell>
        </row>
        <row r="4620">
          <cell r="J4620" t="str">
            <v>S/L</v>
          </cell>
          <cell r="R4620" t="str">
            <v xml:space="preserve"> </v>
          </cell>
        </row>
        <row r="4621">
          <cell r="J4621" t="str">
            <v>S/L</v>
          </cell>
          <cell r="R4621" t="str">
            <v xml:space="preserve"> </v>
          </cell>
        </row>
        <row r="4622">
          <cell r="J4622" t="str">
            <v>S/L</v>
          </cell>
          <cell r="R4622" t="str">
            <v xml:space="preserve"> </v>
          </cell>
        </row>
        <row r="4623">
          <cell r="J4623" t="str">
            <v>S/L</v>
          </cell>
          <cell r="R4623" t="str">
            <v xml:space="preserve"> </v>
          </cell>
        </row>
        <row r="4624">
          <cell r="J4624" t="str">
            <v>S/L</v>
          </cell>
          <cell r="R4624" t="str">
            <v xml:space="preserve"> </v>
          </cell>
        </row>
        <row r="4625">
          <cell r="J4625" t="str">
            <v>S/L</v>
          </cell>
          <cell r="R4625" t="str">
            <v xml:space="preserve"> </v>
          </cell>
        </row>
        <row r="4626">
          <cell r="J4626" t="str">
            <v>S/L</v>
          </cell>
          <cell r="R4626" t="str">
            <v xml:space="preserve"> </v>
          </cell>
        </row>
        <row r="4627">
          <cell r="J4627" t="str">
            <v>S/L</v>
          </cell>
          <cell r="R4627" t="str">
            <v xml:space="preserve"> </v>
          </cell>
        </row>
        <row r="4628">
          <cell r="J4628" t="str">
            <v>S/L</v>
          </cell>
          <cell r="R4628" t="str">
            <v xml:space="preserve"> </v>
          </cell>
        </row>
        <row r="4629">
          <cell r="J4629" t="str">
            <v>S/L</v>
          </cell>
          <cell r="R4629" t="str">
            <v xml:space="preserve"> </v>
          </cell>
        </row>
        <row r="4630">
          <cell r="J4630" t="str">
            <v>S/L</v>
          </cell>
          <cell r="R4630" t="str">
            <v xml:space="preserve"> </v>
          </cell>
        </row>
        <row r="4631">
          <cell r="J4631" t="str">
            <v>S/L</v>
          </cell>
          <cell r="R4631" t="str">
            <v xml:space="preserve"> </v>
          </cell>
        </row>
        <row r="4632">
          <cell r="J4632" t="str">
            <v>S/L</v>
          </cell>
          <cell r="R4632" t="str">
            <v xml:space="preserve"> </v>
          </cell>
        </row>
        <row r="4633">
          <cell r="J4633" t="str">
            <v>S/L</v>
          </cell>
          <cell r="R4633" t="str">
            <v xml:space="preserve"> </v>
          </cell>
        </row>
        <row r="4634">
          <cell r="J4634" t="str">
            <v>S/L</v>
          </cell>
          <cell r="R4634" t="str">
            <v xml:space="preserve"> </v>
          </cell>
        </row>
        <row r="4635">
          <cell r="J4635" t="str">
            <v>S/L</v>
          </cell>
          <cell r="R4635" t="str">
            <v xml:space="preserve"> </v>
          </cell>
        </row>
        <row r="4636">
          <cell r="J4636" t="str">
            <v>S/L</v>
          </cell>
          <cell r="R4636" t="str">
            <v xml:space="preserve"> </v>
          </cell>
        </row>
        <row r="4637">
          <cell r="J4637" t="str">
            <v>S/L</v>
          </cell>
          <cell r="R4637" t="str">
            <v xml:space="preserve"> </v>
          </cell>
        </row>
        <row r="4638">
          <cell r="J4638" t="str">
            <v>S/L</v>
          </cell>
          <cell r="R4638" t="str">
            <v xml:space="preserve"> </v>
          </cell>
        </row>
        <row r="4639">
          <cell r="J4639" t="str">
            <v>S/L</v>
          </cell>
          <cell r="R4639" t="str">
            <v xml:space="preserve"> </v>
          </cell>
        </row>
        <row r="4640">
          <cell r="J4640" t="str">
            <v>S/L</v>
          </cell>
          <cell r="R4640" t="str">
            <v xml:space="preserve"> </v>
          </cell>
        </row>
        <row r="4641">
          <cell r="J4641" t="str">
            <v>S/L</v>
          </cell>
          <cell r="R4641" t="str">
            <v xml:space="preserve"> </v>
          </cell>
        </row>
        <row r="4642">
          <cell r="J4642" t="str">
            <v>S/L</v>
          </cell>
          <cell r="R4642" t="str">
            <v xml:space="preserve"> </v>
          </cell>
        </row>
        <row r="4643">
          <cell r="J4643" t="str">
            <v>S/L</v>
          </cell>
          <cell r="R4643" t="str">
            <v xml:space="preserve"> </v>
          </cell>
        </row>
        <row r="4644">
          <cell r="J4644" t="str">
            <v>S/L</v>
          </cell>
          <cell r="R4644" t="str">
            <v xml:space="preserve"> </v>
          </cell>
        </row>
        <row r="4645">
          <cell r="J4645" t="str">
            <v>S/L</v>
          </cell>
          <cell r="R4645" t="str">
            <v xml:space="preserve"> </v>
          </cell>
        </row>
        <row r="4646">
          <cell r="J4646" t="str">
            <v>S/L</v>
          </cell>
          <cell r="R4646" t="str">
            <v xml:space="preserve"> </v>
          </cell>
        </row>
        <row r="4647">
          <cell r="J4647" t="str">
            <v>S/L</v>
          </cell>
          <cell r="R4647" t="str">
            <v xml:space="preserve"> </v>
          </cell>
        </row>
        <row r="4648">
          <cell r="J4648" t="str">
            <v>S/L</v>
          </cell>
          <cell r="R4648" t="str">
            <v xml:space="preserve"> </v>
          </cell>
        </row>
        <row r="4649">
          <cell r="J4649" t="str">
            <v>S/L</v>
          </cell>
          <cell r="R4649" t="str">
            <v xml:space="preserve"> </v>
          </cell>
        </row>
        <row r="4650">
          <cell r="J4650" t="str">
            <v>S/L</v>
          </cell>
          <cell r="R4650" t="str">
            <v xml:space="preserve"> </v>
          </cell>
        </row>
        <row r="4651">
          <cell r="J4651" t="str">
            <v>S/L</v>
          </cell>
          <cell r="R4651" t="str">
            <v xml:space="preserve"> </v>
          </cell>
        </row>
        <row r="4652">
          <cell r="J4652" t="str">
            <v>S/L</v>
          </cell>
          <cell r="R4652" t="str">
            <v xml:space="preserve"> </v>
          </cell>
        </row>
        <row r="4653">
          <cell r="J4653" t="str">
            <v>S/L</v>
          </cell>
          <cell r="R4653" t="str">
            <v xml:space="preserve"> </v>
          </cell>
        </row>
        <row r="4654">
          <cell r="J4654" t="str">
            <v>S/L</v>
          </cell>
          <cell r="R4654" t="str">
            <v xml:space="preserve"> </v>
          </cell>
        </row>
        <row r="4655">
          <cell r="J4655" t="str">
            <v>S/L</v>
          </cell>
          <cell r="R4655" t="str">
            <v xml:space="preserve"> </v>
          </cell>
        </row>
        <row r="4656">
          <cell r="J4656" t="str">
            <v>S/L</v>
          </cell>
          <cell r="R4656" t="str">
            <v xml:space="preserve"> </v>
          </cell>
        </row>
        <row r="4657">
          <cell r="J4657" t="str">
            <v>S/L</v>
          </cell>
          <cell r="R4657" t="str">
            <v xml:space="preserve"> </v>
          </cell>
        </row>
        <row r="4658">
          <cell r="J4658" t="str">
            <v>S/L</v>
          </cell>
          <cell r="R4658" t="str">
            <v xml:space="preserve"> </v>
          </cell>
        </row>
        <row r="4659">
          <cell r="J4659" t="str">
            <v>S/L</v>
          </cell>
          <cell r="R4659" t="str">
            <v xml:space="preserve"> </v>
          </cell>
        </row>
        <row r="4660">
          <cell r="J4660" t="str">
            <v>S/L</v>
          </cell>
          <cell r="R4660" t="str">
            <v xml:space="preserve"> </v>
          </cell>
        </row>
        <row r="4661">
          <cell r="J4661" t="str">
            <v>S/L</v>
          </cell>
          <cell r="R4661" t="str">
            <v xml:space="preserve"> </v>
          </cell>
        </row>
        <row r="4662">
          <cell r="J4662" t="str">
            <v>S/L</v>
          </cell>
          <cell r="R4662" t="str">
            <v xml:space="preserve"> </v>
          </cell>
        </row>
        <row r="4663">
          <cell r="J4663" t="str">
            <v>S/L</v>
          </cell>
          <cell r="R4663" t="str">
            <v xml:space="preserve"> </v>
          </cell>
        </row>
        <row r="4664">
          <cell r="J4664" t="str">
            <v>S/L</v>
          </cell>
          <cell r="R4664" t="str">
            <v xml:space="preserve"> </v>
          </cell>
        </row>
        <row r="4665">
          <cell r="J4665" t="str">
            <v>S/L</v>
          </cell>
          <cell r="R4665" t="str">
            <v xml:space="preserve"> </v>
          </cell>
        </row>
        <row r="4666">
          <cell r="J4666" t="str">
            <v>S/L</v>
          </cell>
          <cell r="R4666" t="str">
            <v xml:space="preserve"> </v>
          </cell>
        </row>
        <row r="4667">
          <cell r="J4667" t="str">
            <v>S/L</v>
          </cell>
          <cell r="R4667" t="str">
            <v xml:space="preserve"> </v>
          </cell>
        </row>
        <row r="4668">
          <cell r="J4668" t="str">
            <v>S/L</v>
          </cell>
          <cell r="R4668" t="str">
            <v xml:space="preserve"> </v>
          </cell>
        </row>
        <row r="4669">
          <cell r="J4669" t="str">
            <v>S/L</v>
          </cell>
          <cell r="R4669" t="str">
            <v xml:space="preserve"> </v>
          </cell>
        </row>
        <row r="4670">
          <cell r="J4670" t="str">
            <v>S/L</v>
          </cell>
          <cell r="R4670" t="str">
            <v xml:space="preserve"> </v>
          </cell>
        </row>
        <row r="4671">
          <cell r="J4671" t="str">
            <v>S/L</v>
          </cell>
          <cell r="R4671" t="str">
            <v xml:space="preserve"> </v>
          </cell>
        </row>
        <row r="4672">
          <cell r="J4672" t="str">
            <v>S/L</v>
          </cell>
          <cell r="R4672" t="str">
            <v xml:space="preserve"> </v>
          </cell>
        </row>
        <row r="4673">
          <cell r="J4673" t="str">
            <v>S/L</v>
          </cell>
          <cell r="R4673" t="str">
            <v xml:space="preserve"> </v>
          </cell>
        </row>
        <row r="4674">
          <cell r="J4674" t="str">
            <v>S/L</v>
          </cell>
          <cell r="R4674" t="str">
            <v xml:space="preserve"> </v>
          </cell>
        </row>
        <row r="4675">
          <cell r="J4675" t="str">
            <v>S/L</v>
          </cell>
          <cell r="R4675" t="str">
            <v xml:space="preserve"> </v>
          </cell>
        </row>
        <row r="4676">
          <cell r="J4676" t="str">
            <v>S/L</v>
          </cell>
          <cell r="R4676" t="str">
            <v xml:space="preserve"> </v>
          </cell>
        </row>
        <row r="4677">
          <cell r="J4677" t="str">
            <v>S/L</v>
          </cell>
          <cell r="R4677" t="str">
            <v xml:space="preserve"> </v>
          </cell>
        </row>
        <row r="4678">
          <cell r="J4678" t="str">
            <v>S/L</v>
          </cell>
          <cell r="R4678" t="str">
            <v xml:space="preserve"> </v>
          </cell>
        </row>
        <row r="4679">
          <cell r="J4679" t="str">
            <v>S/L</v>
          </cell>
          <cell r="R4679" t="str">
            <v xml:space="preserve"> </v>
          </cell>
        </row>
        <row r="4680">
          <cell r="J4680" t="str">
            <v>S/L</v>
          </cell>
          <cell r="R4680" t="str">
            <v xml:space="preserve"> </v>
          </cell>
        </row>
        <row r="4681">
          <cell r="J4681" t="str">
            <v>S/L</v>
          </cell>
          <cell r="R4681" t="str">
            <v xml:space="preserve"> </v>
          </cell>
        </row>
        <row r="4682">
          <cell r="J4682" t="str">
            <v>S/L</v>
          </cell>
          <cell r="R4682" t="str">
            <v xml:space="preserve"> </v>
          </cell>
        </row>
        <row r="4683">
          <cell r="J4683" t="str">
            <v>S/L</v>
          </cell>
          <cell r="R4683" t="str">
            <v xml:space="preserve"> </v>
          </cell>
        </row>
        <row r="4684">
          <cell r="J4684" t="str">
            <v>S/L</v>
          </cell>
          <cell r="R4684" t="str">
            <v xml:space="preserve"> </v>
          </cell>
        </row>
        <row r="4685">
          <cell r="J4685" t="str">
            <v>S/L</v>
          </cell>
          <cell r="R4685" t="str">
            <v xml:space="preserve"> </v>
          </cell>
        </row>
        <row r="4686">
          <cell r="J4686" t="str">
            <v>S/L</v>
          </cell>
          <cell r="R4686" t="str">
            <v xml:space="preserve"> </v>
          </cell>
        </row>
        <row r="4687">
          <cell r="J4687" t="str">
            <v>S/L</v>
          </cell>
          <cell r="R4687" t="str">
            <v xml:space="preserve"> </v>
          </cell>
        </row>
        <row r="4688">
          <cell r="J4688" t="str">
            <v>S/L</v>
          </cell>
          <cell r="R4688" t="str">
            <v xml:space="preserve"> </v>
          </cell>
        </row>
        <row r="4689">
          <cell r="J4689" t="str">
            <v>S/L</v>
          </cell>
          <cell r="R4689" t="str">
            <v xml:space="preserve"> </v>
          </cell>
        </row>
        <row r="4690">
          <cell r="J4690" t="str">
            <v>S/L</v>
          </cell>
          <cell r="R4690" t="str">
            <v xml:space="preserve"> </v>
          </cell>
        </row>
        <row r="4691">
          <cell r="J4691" t="str">
            <v>S/L</v>
          </cell>
          <cell r="R4691" t="str">
            <v xml:space="preserve"> </v>
          </cell>
        </row>
        <row r="4692">
          <cell r="J4692" t="str">
            <v>S/L</v>
          </cell>
          <cell r="R4692" t="str">
            <v xml:space="preserve"> </v>
          </cell>
        </row>
        <row r="4693">
          <cell r="J4693" t="str">
            <v>S/L</v>
          </cell>
          <cell r="R4693" t="str">
            <v xml:space="preserve"> </v>
          </cell>
        </row>
        <row r="4694">
          <cell r="J4694" t="str">
            <v>S/L</v>
          </cell>
          <cell r="R4694" t="str">
            <v xml:space="preserve"> </v>
          </cell>
        </row>
        <row r="4695">
          <cell r="J4695" t="str">
            <v>S/L</v>
          </cell>
          <cell r="R4695" t="str">
            <v xml:space="preserve"> </v>
          </cell>
        </row>
        <row r="4696">
          <cell r="J4696" t="str">
            <v>S/L</v>
          </cell>
          <cell r="R4696" t="str">
            <v xml:space="preserve"> </v>
          </cell>
        </row>
        <row r="4697">
          <cell r="J4697" t="str">
            <v>S/L</v>
          </cell>
          <cell r="R4697" t="str">
            <v xml:space="preserve"> </v>
          </cell>
        </row>
        <row r="4698">
          <cell r="J4698" t="str">
            <v>S/L</v>
          </cell>
          <cell r="R4698" t="str">
            <v xml:space="preserve"> </v>
          </cell>
        </row>
        <row r="4699">
          <cell r="J4699" t="str">
            <v>S/L</v>
          </cell>
          <cell r="R4699" t="str">
            <v xml:space="preserve"> </v>
          </cell>
        </row>
        <row r="4700">
          <cell r="J4700" t="str">
            <v>S/L</v>
          </cell>
          <cell r="R4700" t="str">
            <v xml:space="preserve"> </v>
          </cell>
        </row>
        <row r="4701">
          <cell r="J4701" t="str">
            <v>S/L</v>
          </cell>
          <cell r="R4701" t="str">
            <v xml:space="preserve"> </v>
          </cell>
        </row>
        <row r="4702">
          <cell r="J4702" t="str">
            <v>S/L</v>
          </cell>
          <cell r="R4702" t="str">
            <v xml:space="preserve"> </v>
          </cell>
        </row>
        <row r="4703">
          <cell r="J4703" t="str">
            <v>S/L</v>
          </cell>
          <cell r="R4703" t="str">
            <v xml:space="preserve"> </v>
          </cell>
        </row>
        <row r="4704">
          <cell r="J4704" t="str">
            <v>S/L</v>
          </cell>
          <cell r="R4704" t="str">
            <v xml:space="preserve"> </v>
          </cell>
        </row>
        <row r="4705">
          <cell r="J4705" t="str">
            <v>S/L</v>
          </cell>
          <cell r="R4705" t="str">
            <v xml:space="preserve"> </v>
          </cell>
        </row>
        <row r="4706">
          <cell r="J4706" t="str">
            <v>S/L</v>
          </cell>
          <cell r="R4706" t="str">
            <v xml:space="preserve"> </v>
          </cell>
        </row>
        <row r="4707">
          <cell r="J4707" t="str">
            <v>S/L</v>
          </cell>
          <cell r="R4707" t="str">
            <v xml:space="preserve"> </v>
          </cell>
        </row>
        <row r="4708">
          <cell r="J4708" t="str">
            <v>S/L</v>
          </cell>
          <cell r="R4708" t="str">
            <v xml:space="preserve"> </v>
          </cell>
        </row>
        <row r="4709">
          <cell r="J4709" t="str">
            <v>S/L</v>
          </cell>
          <cell r="R4709" t="str">
            <v xml:space="preserve"> </v>
          </cell>
        </row>
        <row r="4710">
          <cell r="J4710" t="str">
            <v>S/L</v>
          </cell>
          <cell r="R4710" t="str">
            <v xml:space="preserve"> </v>
          </cell>
        </row>
        <row r="4711">
          <cell r="J4711" t="str">
            <v>S/L</v>
          </cell>
          <cell r="R4711" t="str">
            <v xml:space="preserve"> </v>
          </cell>
        </row>
        <row r="4712">
          <cell r="J4712" t="str">
            <v>S/L</v>
          </cell>
          <cell r="R4712" t="str">
            <v xml:space="preserve"> </v>
          </cell>
        </row>
        <row r="4713">
          <cell r="J4713" t="str">
            <v>S/L</v>
          </cell>
          <cell r="R4713" t="str">
            <v xml:space="preserve"> </v>
          </cell>
        </row>
        <row r="4714">
          <cell r="J4714" t="str">
            <v>S/L</v>
          </cell>
          <cell r="R4714" t="str">
            <v xml:space="preserve"> </v>
          </cell>
        </row>
        <row r="4715">
          <cell r="J4715" t="str">
            <v>S/L</v>
          </cell>
          <cell r="R4715" t="str">
            <v xml:space="preserve"> </v>
          </cell>
        </row>
        <row r="4716">
          <cell r="J4716" t="str">
            <v>S/L</v>
          </cell>
          <cell r="R4716" t="str">
            <v xml:space="preserve"> </v>
          </cell>
        </row>
        <row r="4717">
          <cell r="J4717" t="str">
            <v>S/L</v>
          </cell>
          <cell r="R4717" t="str">
            <v xml:space="preserve"> </v>
          </cell>
        </row>
        <row r="4718">
          <cell r="J4718" t="str">
            <v>S/L</v>
          </cell>
          <cell r="R4718" t="str">
            <v xml:space="preserve"> </v>
          </cell>
        </row>
        <row r="4719">
          <cell r="J4719" t="str">
            <v>S/L</v>
          </cell>
          <cell r="R4719" t="str">
            <v xml:space="preserve"> </v>
          </cell>
        </row>
        <row r="4720">
          <cell r="J4720" t="str">
            <v>S/L</v>
          </cell>
          <cell r="R4720" t="str">
            <v xml:space="preserve"> </v>
          </cell>
        </row>
        <row r="4721">
          <cell r="J4721" t="str">
            <v>S/L</v>
          </cell>
          <cell r="R4721" t="str">
            <v xml:space="preserve"> </v>
          </cell>
        </row>
        <row r="4722">
          <cell r="J4722" t="str">
            <v>S/L</v>
          </cell>
          <cell r="R4722" t="str">
            <v xml:space="preserve"> </v>
          </cell>
        </row>
        <row r="4723">
          <cell r="J4723" t="str">
            <v>S/L</v>
          </cell>
          <cell r="R4723" t="str">
            <v xml:space="preserve"> </v>
          </cell>
        </row>
        <row r="4724">
          <cell r="J4724" t="str">
            <v>S/L</v>
          </cell>
          <cell r="R4724" t="str">
            <v xml:space="preserve"> </v>
          </cell>
        </row>
        <row r="4725">
          <cell r="J4725" t="str">
            <v>S/L</v>
          </cell>
          <cell r="R4725" t="str">
            <v xml:space="preserve"> </v>
          </cell>
        </row>
        <row r="4726">
          <cell r="J4726" t="str">
            <v>S/L</v>
          </cell>
          <cell r="R4726" t="str">
            <v xml:space="preserve"> </v>
          </cell>
        </row>
        <row r="4727">
          <cell r="J4727" t="str">
            <v>S/L</v>
          </cell>
          <cell r="R4727" t="str">
            <v xml:space="preserve"> </v>
          </cell>
        </row>
        <row r="4728">
          <cell r="J4728" t="str">
            <v>S/L</v>
          </cell>
          <cell r="R4728" t="str">
            <v xml:space="preserve"> </v>
          </cell>
        </row>
        <row r="4729">
          <cell r="J4729" t="str">
            <v>S/L</v>
          </cell>
          <cell r="R4729" t="str">
            <v xml:space="preserve"> </v>
          </cell>
        </row>
        <row r="4730">
          <cell r="J4730" t="str">
            <v>S/L</v>
          </cell>
          <cell r="R4730" t="str">
            <v xml:space="preserve"> </v>
          </cell>
        </row>
        <row r="4731">
          <cell r="J4731" t="str">
            <v>S/L</v>
          </cell>
          <cell r="R4731" t="str">
            <v xml:space="preserve"> </v>
          </cell>
        </row>
        <row r="4732">
          <cell r="J4732" t="str">
            <v>S/L</v>
          </cell>
          <cell r="R4732" t="str">
            <v xml:space="preserve"> </v>
          </cell>
        </row>
        <row r="4733">
          <cell r="J4733" t="str">
            <v>S/L</v>
          </cell>
          <cell r="R4733" t="str">
            <v xml:space="preserve"> </v>
          </cell>
        </row>
        <row r="4734">
          <cell r="J4734" t="str">
            <v>S/L</v>
          </cell>
          <cell r="R4734" t="str">
            <v xml:space="preserve"> </v>
          </cell>
        </row>
        <row r="4735">
          <cell r="J4735" t="str">
            <v>S/L</v>
          </cell>
          <cell r="R4735" t="str">
            <v xml:space="preserve"> </v>
          </cell>
        </row>
        <row r="4736">
          <cell r="J4736" t="str">
            <v>S/L</v>
          </cell>
          <cell r="R4736" t="str">
            <v xml:space="preserve"> </v>
          </cell>
        </row>
        <row r="4737">
          <cell r="J4737" t="str">
            <v>S/L</v>
          </cell>
          <cell r="R4737" t="str">
            <v xml:space="preserve"> </v>
          </cell>
        </row>
        <row r="4738">
          <cell r="J4738" t="str">
            <v>S/L</v>
          </cell>
          <cell r="R4738" t="str">
            <v xml:space="preserve"> </v>
          </cell>
        </row>
        <row r="4739">
          <cell r="J4739" t="str">
            <v>S/L</v>
          </cell>
          <cell r="R4739" t="str">
            <v xml:space="preserve"> </v>
          </cell>
        </row>
        <row r="4740">
          <cell r="J4740" t="str">
            <v>S/L</v>
          </cell>
          <cell r="R4740" t="str">
            <v xml:space="preserve"> </v>
          </cell>
        </row>
        <row r="4741">
          <cell r="J4741" t="str">
            <v>S/L</v>
          </cell>
          <cell r="R4741" t="str">
            <v xml:space="preserve"> </v>
          </cell>
        </row>
        <row r="4742">
          <cell r="J4742" t="str">
            <v>S/L</v>
          </cell>
          <cell r="R4742" t="str">
            <v xml:space="preserve"> </v>
          </cell>
        </row>
        <row r="4743">
          <cell r="J4743" t="str">
            <v>S/L</v>
          </cell>
          <cell r="R4743" t="str">
            <v xml:space="preserve"> </v>
          </cell>
        </row>
        <row r="4744">
          <cell r="J4744" t="str">
            <v>S/L</v>
          </cell>
          <cell r="R4744" t="str">
            <v xml:space="preserve"> </v>
          </cell>
        </row>
        <row r="4745">
          <cell r="J4745" t="str">
            <v>S/L</v>
          </cell>
          <cell r="R4745" t="str">
            <v xml:space="preserve"> </v>
          </cell>
        </row>
        <row r="4746">
          <cell r="J4746" t="str">
            <v>S/L</v>
          </cell>
          <cell r="R4746" t="str">
            <v xml:space="preserve"> </v>
          </cell>
        </row>
        <row r="4747">
          <cell r="J4747" t="str">
            <v>S/L</v>
          </cell>
          <cell r="R4747" t="str">
            <v xml:space="preserve"> </v>
          </cell>
        </row>
        <row r="4748">
          <cell r="J4748" t="str">
            <v>S/L</v>
          </cell>
          <cell r="R4748" t="str">
            <v xml:space="preserve"> </v>
          </cell>
        </row>
        <row r="4749">
          <cell r="J4749" t="str">
            <v>S/L</v>
          </cell>
          <cell r="R4749" t="str">
            <v xml:space="preserve"> </v>
          </cell>
        </row>
        <row r="4750">
          <cell r="J4750" t="str">
            <v>S/L</v>
          </cell>
          <cell r="R4750" t="str">
            <v xml:space="preserve"> </v>
          </cell>
        </row>
        <row r="4751">
          <cell r="J4751" t="str">
            <v>S/L</v>
          </cell>
          <cell r="R4751" t="str">
            <v xml:space="preserve"> </v>
          </cell>
        </row>
        <row r="4752">
          <cell r="J4752" t="str">
            <v>S/L</v>
          </cell>
          <cell r="R4752" t="str">
            <v xml:space="preserve"> </v>
          </cell>
        </row>
        <row r="4753">
          <cell r="J4753" t="str">
            <v>S/L</v>
          </cell>
          <cell r="R4753" t="str">
            <v xml:space="preserve"> </v>
          </cell>
        </row>
        <row r="4754">
          <cell r="J4754" t="str">
            <v>S/L</v>
          </cell>
          <cell r="R4754" t="str">
            <v xml:space="preserve"> </v>
          </cell>
        </row>
        <row r="4755">
          <cell r="J4755" t="str">
            <v>S/L</v>
          </cell>
          <cell r="R4755" t="str">
            <v xml:space="preserve"> </v>
          </cell>
        </row>
        <row r="4756">
          <cell r="J4756" t="str">
            <v>S/L</v>
          </cell>
          <cell r="R4756" t="str">
            <v xml:space="preserve"> </v>
          </cell>
        </row>
        <row r="4757">
          <cell r="J4757" t="str">
            <v>S/L</v>
          </cell>
          <cell r="R4757" t="str">
            <v xml:space="preserve"> </v>
          </cell>
        </row>
        <row r="4758">
          <cell r="J4758" t="str">
            <v>S/L</v>
          </cell>
          <cell r="R4758" t="str">
            <v xml:space="preserve"> </v>
          </cell>
        </row>
        <row r="4759">
          <cell r="J4759" t="str">
            <v>S/L</v>
          </cell>
          <cell r="R4759" t="str">
            <v xml:space="preserve"> </v>
          </cell>
        </row>
        <row r="4760">
          <cell r="J4760" t="str">
            <v>S/L</v>
          </cell>
          <cell r="R4760" t="str">
            <v xml:space="preserve"> </v>
          </cell>
        </row>
        <row r="4761">
          <cell r="J4761" t="str">
            <v>S/L</v>
          </cell>
          <cell r="R4761" t="str">
            <v xml:space="preserve"> </v>
          </cell>
        </row>
        <row r="4762">
          <cell r="J4762" t="str">
            <v>S/L</v>
          </cell>
          <cell r="R4762" t="str">
            <v xml:space="preserve"> </v>
          </cell>
        </row>
        <row r="4763">
          <cell r="J4763" t="str">
            <v>S/L</v>
          </cell>
          <cell r="R4763" t="str">
            <v xml:space="preserve"> </v>
          </cell>
        </row>
        <row r="4764">
          <cell r="J4764" t="str">
            <v>S/L</v>
          </cell>
          <cell r="R4764" t="str">
            <v xml:space="preserve"> </v>
          </cell>
        </row>
        <row r="4765">
          <cell r="J4765" t="str">
            <v>S/L</v>
          </cell>
          <cell r="R4765" t="str">
            <v xml:space="preserve"> </v>
          </cell>
        </row>
        <row r="4766">
          <cell r="J4766" t="str">
            <v>S/L</v>
          </cell>
          <cell r="R4766" t="str">
            <v xml:space="preserve"> </v>
          </cell>
        </row>
        <row r="4767">
          <cell r="J4767" t="str">
            <v>S/L</v>
          </cell>
          <cell r="R4767" t="str">
            <v xml:space="preserve"> </v>
          </cell>
        </row>
        <row r="4768">
          <cell r="J4768" t="str">
            <v>S/L</v>
          </cell>
          <cell r="R4768" t="str">
            <v xml:space="preserve"> </v>
          </cell>
        </row>
        <row r="4769">
          <cell r="J4769" t="str">
            <v>S/L</v>
          </cell>
          <cell r="R4769" t="str">
            <v xml:space="preserve"> </v>
          </cell>
        </row>
        <row r="4770">
          <cell r="J4770" t="str">
            <v>S/L</v>
          </cell>
          <cell r="R4770" t="str">
            <v xml:space="preserve"> </v>
          </cell>
        </row>
        <row r="4771">
          <cell r="J4771" t="str">
            <v>S/L</v>
          </cell>
          <cell r="R4771" t="str">
            <v xml:space="preserve"> </v>
          </cell>
        </row>
        <row r="4772">
          <cell r="J4772" t="str">
            <v>S/L</v>
          </cell>
          <cell r="R4772" t="str">
            <v xml:space="preserve"> </v>
          </cell>
        </row>
        <row r="4773">
          <cell r="J4773" t="str">
            <v>S/L</v>
          </cell>
          <cell r="R4773" t="str">
            <v xml:space="preserve"> </v>
          </cell>
        </row>
        <row r="4774">
          <cell r="J4774" t="str">
            <v>S/L</v>
          </cell>
          <cell r="R4774" t="str">
            <v xml:space="preserve"> </v>
          </cell>
        </row>
        <row r="4775">
          <cell r="J4775" t="str">
            <v>S/L</v>
          </cell>
          <cell r="R4775" t="str">
            <v xml:space="preserve"> </v>
          </cell>
        </row>
        <row r="4776">
          <cell r="J4776" t="str">
            <v>S/L</v>
          </cell>
          <cell r="R4776" t="str">
            <v xml:space="preserve"> </v>
          </cell>
        </row>
        <row r="4777">
          <cell r="J4777" t="str">
            <v>S/L</v>
          </cell>
          <cell r="R4777" t="str">
            <v xml:space="preserve"> </v>
          </cell>
        </row>
        <row r="4778">
          <cell r="J4778" t="str">
            <v>S/L</v>
          </cell>
          <cell r="R4778" t="str">
            <v xml:space="preserve"> </v>
          </cell>
        </row>
        <row r="4779">
          <cell r="J4779" t="str">
            <v>S/L</v>
          </cell>
          <cell r="R4779" t="str">
            <v xml:space="preserve"> </v>
          </cell>
        </row>
        <row r="4780">
          <cell r="J4780" t="str">
            <v>S/L</v>
          </cell>
          <cell r="R4780" t="str">
            <v xml:space="preserve"> </v>
          </cell>
        </row>
        <row r="4781">
          <cell r="J4781" t="str">
            <v>S/L</v>
          </cell>
          <cell r="R4781" t="str">
            <v xml:space="preserve"> </v>
          </cell>
        </row>
        <row r="4782">
          <cell r="J4782" t="str">
            <v>S/L</v>
          </cell>
          <cell r="R4782" t="str">
            <v xml:space="preserve"> </v>
          </cell>
        </row>
        <row r="4783">
          <cell r="J4783" t="str">
            <v>S/L</v>
          </cell>
          <cell r="R4783" t="str">
            <v xml:space="preserve"> </v>
          </cell>
        </row>
        <row r="4784">
          <cell r="J4784" t="str">
            <v>S/L</v>
          </cell>
          <cell r="R4784" t="str">
            <v xml:space="preserve"> </v>
          </cell>
        </row>
        <row r="4785">
          <cell r="J4785" t="str">
            <v>S/L</v>
          </cell>
          <cell r="R4785" t="str">
            <v xml:space="preserve"> </v>
          </cell>
        </row>
        <row r="4786">
          <cell r="J4786" t="str">
            <v>S/L</v>
          </cell>
          <cell r="R4786" t="str">
            <v xml:space="preserve"> </v>
          </cell>
        </row>
        <row r="4787">
          <cell r="J4787" t="str">
            <v>S/L</v>
          </cell>
          <cell r="R4787" t="str">
            <v xml:space="preserve"> </v>
          </cell>
        </row>
        <row r="4788">
          <cell r="J4788" t="str">
            <v>S/L</v>
          </cell>
          <cell r="R4788" t="str">
            <v xml:space="preserve"> </v>
          </cell>
        </row>
        <row r="4789">
          <cell r="J4789" t="str">
            <v>S/L</v>
          </cell>
          <cell r="R4789" t="str">
            <v xml:space="preserve"> </v>
          </cell>
        </row>
        <row r="4790">
          <cell r="J4790" t="str">
            <v>S/L</v>
          </cell>
          <cell r="R4790" t="str">
            <v xml:space="preserve"> </v>
          </cell>
        </row>
        <row r="4791">
          <cell r="J4791" t="str">
            <v>S/L</v>
          </cell>
          <cell r="R4791" t="str">
            <v xml:space="preserve"> </v>
          </cell>
        </row>
        <row r="4792">
          <cell r="J4792" t="str">
            <v>S/L</v>
          </cell>
          <cell r="R4792" t="str">
            <v xml:space="preserve"> </v>
          </cell>
        </row>
        <row r="4793">
          <cell r="J4793" t="str">
            <v>S/L</v>
          </cell>
          <cell r="R4793" t="str">
            <v xml:space="preserve"> </v>
          </cell>
        </row>
        <row r="4794">
          <cell r="J4794" t="str">
            <v>S/L</v>
          </cell>
          <cell r="R4794" t="str">
            <v xml:space="preserve"> </v>
          </cell>
        </row>
        <row r="4795">
          <cell r="J4795" t="str">
            <v>S/L</v>
          </cell>
          <cell r="R4795" t="str">
            <v xml:space="preserve"> </v>
          </cell>
        </row>
        <row r="4796">
          <cell r="J4796" t="str">
            <v>S/L</v>
          </cell>
          <cell r="R4796" t="str">
            <v xml:space="preserve"> </v>
          </cell>
        </row>
        <row r="4797">
          <cell r="J4797" t="str">
            <v>S/L</v>
          </cell>
          <cell r="R4797" t="str">
            <v xml:space="preserve"> </v>
          </cell>
        </row>
        <row r="4798">
          <cell r="J4798" t="str">
            <v>S/L</v>
          </cell>
          <cell r="R4798" t="str">
            <v xml:space="preserve"> </v>
          </cell>
        </row>
        <row r="4799">
          <cell r="J4799" t="str">
            <v>S/L</v>
          </cell>
          <cell r="R4799" t="str">
            <v xml:space="preserve"> </v>
          </cell>
        </row>
        <row r="4800">
          <cell r="J4800" t="str">
            <v>S/L</v>
          </cell>
          <cell r="R4800" t="str">
            <v xml:space="preserve"> </v>
          </cell>
        </row>
        <row r="4801">
          <cell r="J4801" t="str">
            <v>S/L</v>
          </cell>
          <cell r="R4801" t="str">
            <v xml:space="preserve"> </v>
          </cell>
        </row>
        <row r="4802">
          <cell r="J4802" t="str">
            <v>S/L</v>
          </cell>
          <cell r="R4802" t="str">
            <v xml:space="preserve"> </v>
          </cell>
        </row>
        <row r="4803">
          <cell r="J4803" t="str">
            <v>S/L</v>
          </cell>
          <cell r="R4803" t="str">
            <v xml:space="preserve"> </v>
          </cell>
        </row>
        <row r="4804">
          <cell r="J4804" t="str">
            <v>S/L</v>
          </cell>
          <cell r="R4804" t="str">
            <v xml:space="preserve"> </v>
          </cell>
        </row>
        <row r="4805">
          <cell r="J4805" t="str">
            <v>S/L</v>
          </cell>
          <cell r="R4805" t="str">
            <v xml:space="preserve"> </v>
          </cell>
        </row>
        <row r="4806">
          <cell r="J4806" t="str">
            <v>S/L</v>
          </cell>
          <cell r="R4806" t="str">
            <v xml:space="preserve"> </v>
          </cell>
        </row>
        <row r="4807">
          <cell r="J4807" t="str">
            <v>S/L</v>
          </cell>
          <cell r="R4807" t="str">
            <v xml:space="preserve"> </v>
          </cell>
        </row>
        <row r="4808">
          <cell r="J4808" t="str">
            <v>S/L</v>
          </cell>
          <cell r="R4808" t="str">
            <v xml:space="preserve"> </v>
          </cell>
        </row>
        <row r="4809">
          <cell r="J4809" t="str">
            <v>S/L</v>
          </cell>
          <cell r="R4809" t="str">
            <v xml:space="preserve"> </v>
          </cell>
        </row>
        <row r="4810">
          <cell r="J4810" t="str">
            <v>S/L</v>
          </cell>
          <cell r="R4810" t="str">
            <v xml:space="preserve"> </v>
          </cell>
        </row>
        <row r="4811">
          <cell r="J4811" t="str">
            <v>S/L</v>
          </cell>
          <cell r="R4811" t="str">
            <v xml:space="preserve"> </v>
          </cell>
        </row>
        <row r="4812">
          <cell r="J4812" t="str">
            <v>S/L</v>
          </cell>
          <cell r="R4812" t="str">
            <v xml:space="preserve"> </v>
          </cell>
        </row>
        <row r="4813">
          <cell r="J4813" t="str">
            <v>S/L</v>
          </cell>
          <cell r="R4813" t="str">
            <v xml:space="preserve"> </v>
          </cell>
        </row>
        <row r="4814">
          <cell r="J4814" t="str">
            <v>S/L</v>
          </cell>
          <cell r="R4814" t="str">
            <v xml:space="preserve"> </v>
          </cell>
        </row>
        <row r="4815">
          <cell r="J4815" t="str">
            <v>S/L</v>
          </cell>
          <cell r="R4815" t="str">
            <v xml:space="preserve"> </v>
          </cell>
        </row>
        <row r="4816">
          <cell r="J4816" t="str">
            <v>S/L</v>
          </cell>
          <cell r="R4816" t="str">
            <v xml:space="preserve"> </v>
          </cell>
        </row>
        <row r="4817">
          <cell r="J4817" t="str">
            <v>S/L</v>
          </cell>
          <cell r="R4817" t="str">
            <v xml:space="preserve"> </v>
          </cell>
        </row>
        <row r="4818">
          <cell r="J4818" t="str">
            <v>S/L</v>
          </cell>
          <cell r="R4818" t="str">
            <v xml:space="preserve"> </v>
          </cell>
        </row>
        <row r="4819">
          <cell r="J4819" t="str">
            <v>S/L</v>
          </cell>
          <cell r="R4819" t="str">
            <v xml:space="preserve"> </v>
          </cell>
        </row>
        <row r="4820">
          <cell r="J4820" t="str">
            <v>S/L</v>
          </cell>
          <cell r="R4820" t="str">
            <v xml:space="preserve"> </v>
          </cell>
        </row>
        <row r="4821">
          <cell r="J4821" t="str">
            <v>S/L</v>
          </cell>
          <cell r="R4821" t="str">
            <v xml:space="preserve"> </v>
          </cell>
        </row>
        <row r="4822">
          <cell r="J4822" t="str">
            <v>S/L</v>
          </cell>
          <cell r="R4822" t="str">
            <v xml:space="preserve"> </v>
          </cell>
        </row>
        <row r="4823">
          <cell r="J4823" t="str">
            <v>S/L</v>
          </cell>
          <cell r="R4823" t="str">
            <v xml:space="preserve"> </v>
          </cell>
        </row>
        <row r="4824">
          <cell r="J4824" t="str">
            <v>S/L</v>
          </cell>
          <cell r="R4824" t="str">
            <v xml:space="preserve"> </v>
          </cell>
        </row>
        <row r="4825">
          <cell r="J4825" t="str">
            <v>S/L</v>
          </cell>
          <cell r="R4825" t="str">
            <v xml:space="preserve"> </v>
          </cell>
        </row>
        <row r="4826">
          <cell r="J4826" t="str">
            <v>S/L</v>
          </cell>
          <cell r="R4826" t="str">
            <v xml:space="preserve"> </v>
          </cell>
        </row>
        <row r="4827">
          <cell r="J4827" t="str">
            <v>S/L</v>
          </cell>
          <cell r="R4827" t="str">
            <v xml:space="preserve"> </v>
          </cell>
        </row>
        <row r="4828">
          <cell r="J4828" t="str">
            <v>S/L</v>
          </cell>
          <cell r="R4828" t="str">
            <v xml:space="preserve"> </v>
          </cell>
        </row>
        <row r="4829">
          <cell r="J4829" t="str">
            <v>S/L</v>
          </cell>
          <cell r="R4829" t="str">
            <v xml:space="preserve"> </v>
          </cell>
        </row>
        <row r="4830">
          <cell r="J4830" t="str">
            <v>S/L</v>
          </cell>
          <cell r="R4830" t="str">
            <v xml:space="preserve"> </v>
          </cell>
        </row>
        <row r="4831">
          <cell r="J4831" t="str">
            <v>S/L</v>
          </cell>
          <cell r="R4831" t="str">
            <v xml:space="preserve"> </v>
          </cell>
        </row>
        <row r="4832">
          <cell r="J4832" t="str">
            <v>S/L</v>
          </cell>
          <cell r="R4832" t="str">
            <v xml:space="preserve"> </v>
          </cell>
        </row>
        <row r="4833">
          <cell r="J4833" t="str">
            <v>S/L</v>
          </cell>
          <cell r="R4833" t="str">
            <v xml:space="preserve"> </v>
          </cell>
        </row>
        <row r="4834">
          <cell r="J4834" t="str">
            <v>S/L</v>
          </cell>
          <cell r="R4834" t="str">
            <v xml:space="preserve"> </v>
          </cell>
        </row>
        <row r="4835">
          <cell r="J4835" t="str">
            <v>S/L</v>
          </cell>
          <cell r="R4835" t="str">
            <v xml:space="preserve"> </v>
          </cell>
        </row>
        <row r="4836">
          <cell r="J4836" t="str">
            <v>S/L</v>
          </cell>
          <cell r="R4836" t="str">
            <v xml:space="preserve"> </v>
          </cell>
        </row>
        <row r="4837">
          <cell r="J4837" t="str">
            <v>S/L</v>
          </cell>
          <cell r="R4837" t="str">
            <v xml:space="preserve"> </v>
          </cell>
        </row>
        <row r="4838">
          <cell r="J4838" t="str">
            <v>S/L</v>
          </cell>
          <cell r="R4838" t="str">
            <v xml:space="preserve"> </v>
          </cell>
        </row>
        <row r="4839">
          <cell r="J4839" t="str">
            <v>S/L</v>
          </cell>
          <cell r="R4839" t="str">
            <v xml:space="preserve"> </v>
          </cell>
        </row>
        <row r="4840">
          <cell r="J4840" t="str">
            <v>S/L</v>
          </cell>
          <cell r="R4840" t="str">
            <v xml:space="preserve"> </v>
          </cell>
        </row>
        <row r="4841">
          <cell r="J4841" t="str">
            <v>S/L</v>
          </cell>
          <cell r="R4841" t="str">
            <v xml:space="preserve"> </v>
          </cell>
        </row>
        <row r="4842">
          <cell r="J4842" t="str">
            <v>S/L</v>
          </cell>
          <cell r="R4842" t="str">
            <v xml:space="preserve"> </v>
          </cell>
        </row>
        <row r="4843">
          <cell r="J4843" t="str">
            <v>S/L</v>
          </cell>
          <cell r="R4843" t="str">
            <v xml:space="preserve"> </v>
          </cell>
        </row>
        <row r="4844">
          <cell r="J4844" t="str">
            <v>S/L</v>
          </cell>
          <cell r="R4844" t="str">
            <v xml:space="preserve"> </v>
          </cell>
        </row>
        <row r="4845">
          <cell r="J4845" t="str">
            <v>S/L</v>
          </cell>
          <cell r="R4845" t="str">
            <v xml:space="preserve"> </v>
          </cell>
        </row>
        <row r="4846">
          <cell r="J4846" t="str">
            <v>S/L</v>
          </cell>
          <cell r="R4846" t="str">
            <v xml:space="preserve"> </v>
          </cell>
        </row>
        <row r="4847">
          <cell r="J4847" t="str">
            <v>S/L</v>
          </cell>
          <cell r="R4847" t="str">
            <v xml:space="preserve"> </v>
          </cell>
        </row>
        <row r="4848">
          <cell r="J4848" t="str">
            <v>S/L</v>
          </cell>
          <cell r="R4848" t="str">
            <v xml:space="preserve"> </v>
          </cell>
        </row>
        <row r="4849">
          <cell r="J4849" t="str">
            <v>S/L</v>
          </cell>
          <cell r="R4849" t="str">
            <v xml:space="preserve"> </v>
          </cell>
        </row>
        <row r="4850">
          <cell r="J4850" t="str">
            <v>S/L</v>
          </cell>
          <cell r="R4850" t="str">
            <v xml:space="preserve"> </v>
          </cell>
        </row>
        <row r="4851">
          <cell r="J4851" t="str">
            <v>S/L</v>
          </cell>
          <cell r="R4851" t="str">
            <v xml:space="preserve"> </v>
          </cell>
        </row>
        <row r="4852">
          <cell r="J4852" t="str">
            <v>S/L</v>
          </cell>
          <cell r="R4852" t="str">
            <v xml:space="preserve"> </v>
          </cell>
        </row>
        <row r="4853">
          <cell r="J4853" t="str">
            <v>S/L</v>
          </cell>
          <cell r="R4853" t="str">
            <v xml:space="preserve"> </v>
          </cell>
        </row>
        <row r="4854">
          <cell r="J4854" t="str">
            <v>S/L</v>
          </cell>
          <cell r="R4854" t="str">
            <v xml:space="preserve"> </v>
          </cell>
        </row>
        <row r="4855">
          <cell r="J4855" t="str">
            <v>S/L</v>
          </cell>
          <cell r="R4855" t="str">
            <v xml:space="preserve"> </v>
          </cell>
        </row>
        <row r="4856">
          <cell r="J4856" t="str">
            <v>S/L</v>
          </cell>
          <cell r="R4856" t="str">
            <v xml:space="preserve"> </v>
          </cell>
        </row>
        <row r="4857">
          <cell r="J4857" t="str">
            <v>S/L</v>
          </cell>
          <cell r="R4857" t="str">
            <v xml:space="preserve"> </v>
          </cell>
        </row>
        <row r="4858">
          <cell r="J4858" t="str">
            <v>S/L</v>
          </cell>
          <cell r="R4858" t="str">
            <v xml:space="preserve"> </v>
          </cell>
        </row>
        <row r="4859">
          <cell r="J4859" t="str">
            <v>S/L</v>
          </cell>
          <cell r="R4859" t="str">
            <v xml:space="preserve"> </v>
          </cell>
        </row>
        <row r="4860">
          <cell r="J4860" t="str">
            <v>S/L</v>
          </cell>
          <cell r="R4860" t="str">
            <v xml:space="preserve"> </v>
          </cell>
        </row>
        <row r="4861">
          <cell r="J4861" t="str">
            <v>S/L</v>
          </cell>
          <cell r="R4861" t="str">
            <v xml:space="preserve"> </v>
          </cell>
        </row>
        <row r="4862">
          <cell r="J4862" t="str">
            <v>S/L</v>
          </cell>
          <cell r="R4862" t="str">
            <v xml:space="preserve"> </v>
          </cell>
        </row>
        <row r="4863">
          <cell r="J4863" t="str">
            <v>S/L</v>
          </cell>
          <cell r="R4863" t="str">
            <v xml:space="preserve"> </v>
          </cell>
        </row>
        <row r="4864">
          <cell r="J4864" t="str">
            <v>S/L</v>
          </cell>
          <cell r="R4864" t="str">
            <v xml:space="preserve"> </v>
          </cell>
        </row>
        <row r="4865">
          <cell r="J4865" t="str">
            <v>S/L</v>
          </cell>
          <cell r="R4865" t="str">
            <v xml:space="preserve"> </v>
          </cell>
        </row>
        <row r="4866">
          <cell r="J4866" t="str">
            <v>S/L</v>
          </cell>
          <cell r="R4866" t="str">
            <v xml:space="preserve"> </v>
          </cell>
        </row>
        <row r="4867">
          <cell r="J4867" t="str">
            <v>S/L</v>
          </cell>
          <cell r="R4867" t="str">
            <v xml:space="preserve"> </v>
          </cell>
        </row>
        <row r="4868">
          <cell r="J4868" t="str">
            <v>S/L</v>
          </cell>
          <cell r="R4868" t="str">
            <v xml:space="preserve"> </v>
          </cell>
        </row>
        <row r="4869">
          <cell r="J4869" t="str">
            <v>S/L</v>
          </cell>
          <cell r="R4869" t="str">
            <v xml:space="preserve"> </v>
          </cell>
        </row>
        <row r="4870">
          <cell r="J4870" t="str">
            <v>S/L</v>
          </cell>
          <cell r="R4870" t="str">
            <v xml:space="preserve"> </v>
          </cell>
        </row>
        <row r="4871">
          <cell r="J4871" t="str">
            <v>S/L</v>
          </cell>
          <cell r="R4871" t="str">
            <v xml:space="preserve"> </v>
          </cell>
        </row>
        <row r="4872">
          <cell r="J4872" t="str">
            <v>S/L</v>
          </cell>
          <cell r="R4872" t="str">
            <v xml:space="preserve"> </v>
          </cell>
        </row>
        <row r="4873">
          <cell r="J4873" t="str">
            <v>S/L</v>
          </cell>
          <cell r="R4873" t="str">
            <v xml:space="preserve"> </v>
          </cell>
        </row>
        <row r="4874">
          <cell r="J4874" t="str">
            <v>S/L</v>
          </cell>
          <cell r="R4874" t="str">
            <v xml:space="preserve"> </v>
          </cell>
        </row>
        <row r="4875">
          <cell r="J4875" t="str">
            <v>S/L</v>
          </cell>
          <cell r="R4875" t="str">
            <v xml:space="preserve"> </v>
          </cell>
        </row>
        <row r="4876">
          <cell r="J4876" t="str">
            <v>S/L</v>
          </cell>
          <cell r="R4876" t="str">
            <v xml:space="preserve"> </v>
          </cell>
        </row>
        <row r="4877">
          <cell r="J4877" t="str">
            <v>S/L</v>
          </cell>
          <cell r="R4877" t="str">
            <v xml:space="preserve"> </v>
          </cell>
        </row>
        <row r="4878">
          <cell r="J4878" t="str">
            <v>S/L</v>
          </cell>
          <cell r="R4878" t="str">
            <v xml:space="preserve"> </v>
          </cell>
        </row>
        <row r="4879">
          <cell r="J4879" t="str">
            <v>S/L</v>
          </cell>
          <cell r="R4879" t="str">
            <v xml:space="preserve"> </v>
          </cell>
        </row>
        <row r="4880">
          <cell r="J4880" t="str">
            <v>S/L</v>
          </cell>
          <cell r="R4880" t="str">
            <v xml:space="preserve"> </v>
          </cell>
        </row>
        <row r="4881">
          <cell r="J4881" t="str">
            <v>S/L</v>
          </cell>
          <cell r="R4881" t="str">
            <v xml:space="preserve"> </v>
          </cell>
        </row>
        <row r="4882">
          <cell r="J4882" t="str">
            <v>S/L</v>
          </cell>
          <cell r="R4882" t="str">
            <v xml:space="preserve"> </v>
          </cell>
        </row>
        <row r="4883">
          <cell r="J4883" t="str">
            <v>S/L</v>
          </cell>
          <cell r="R4883" t="str">
            <v xml:space="preserve"> </v>
          </cell>
        </row>
        <row r="4884">
          <cell r="J4884" t="str">
            <v>S/L</v>
          </cell>
          <cell r="R4884" t="str">
            <v xml:space="preserve"> </v>
          </cell>
        </row>
        <row r="4885">
          <cell r="J4885" t="str">
            <v>S/L</v>
          </cell>
          <cell r="R4885" t="str">
            <v xml:space="preserve"> </v>
          </cell>
        </row>
        <row r="4886">
          <cell r="J4886" t="str">
            <v>S/L</v>
          </cell>
          <cell r="R4886" t="str">
            <v xml:space="preserve"> </v>
          </cell>
        </row>
        <row r="4887">
          <cell r="J4887" t="str">
            <v>S/L</v>
          </cell>
          <cell r="R4887" t="str">
            <v xml:space="preserve"> </v>
          </cell>
        </row>
        <row r="4888">
          <cell r="J4888" t="str">
            <v>S/L</v>
          </cell>
          <cell r="R4888" t="str">
            <v xml:space="preserve"> </v>
          </cell>
        </row>
        <row r="4889">
          <cell r="J4889" t="str">
            <v>S/L</v>
          </cell>
          <cell r="R4889" t="str">
            <v xml:space="preserve"> </v>
          </cell>
        </row>
        <row r="4890">
          <cell r="J4890" t="str">
            <v>S/L</v>
          </cell>
          <cell r="R4890" t="str">
            <v xml:space="preserve"> </v>
          </cell>
        </row>
        <row r="4891">
          <cell r="J4891" t="str">
            <v>S/L</v>
          </cell>
          <cell r="R4891" t="str">
            <v xml:space="preserve"> </v>
          </cell>
        </row>
        <row r="4892">
          <cell r="J4892" t="str">
            <v>S/L</v>
          </cell>
          <cell r="R4892" t="str">
            <v xml:space="preserve"> </v>
          </cell>
        </row>
        <row r="4893">
          <cell r="J4893" t="str">
            <v>S/L</v>
          </cell>
          <cell r="R4893" t="str">
            <v xml:space="preserve"> </v>
          </cell>
        </row>
        <row r="4894">
          <cell r="J4894" t="str">
            <v>S/L</v>
          </cell>
          <cell r="R4894" t="str">
            <v xml:space="preserve"> </v>
          </cell>
        </row>
        <row r="4895">
          <cell r="J4895" t="str">
            <v>S/L</v>
          </cell>
          <cell r="R4895" t="str">
            <v xml:space="preserve"> </v>
          </cell>
        </row>
        <row r="4896">
          <cell r="J4896" t="str">
            <v>S/L</v>
          </cell>
          <cell r="R4896" t="str">
            <v xml:space="preserve"> </v>
          </cell>
        </row>
        <row r="4897">
          <cell r="J4897" t="str">
            <v>S/L</v>
          </cell>
          <cell r="R4897" t="str">
            <v xml:space="preserve"> </v>
          </cell>
        </row>
        <row r="4898">
          <cell r="J4898" t="str">
            <v>S/L</v>
          </cell>
          <cell r="R4898" t="str">
            <v xml:space="preserve"> </v>
          </cell>
        </row>
        <row r="4899">
          <cell r="J4899" t="str">
            <v>S/L</v>
          </cell>
          <cell r="R4899" t="str">
            <v xml:space="preserve"> </v>
          </cell>
        </row>
        <row r="4900">
          <cell r="J4900" t="str">
            <v>S/L</v>
          </cell>
          <cell r="R4900" t="str">
            <v xml:space="preserve"> </v>
          </cell>
        </row>
        <row r="4901">
          <cell r="J4901" t="str">
            <v>S/L</v>
          </cell>
          <cell r="R4901" t="str">
            <v xml:space="preserve"> </v>
          </cell>
        </row>
        <row r="4902">
          <cell r="J4902" t="str">
            <v>S/L</v>
          </cell>
          <cell r="R4902" t="str">
            <v xml:space="preserve"> </v>
          </cell>
        </row>
        <row r="4903">
          <cell r="J4903" t="str">
            <v>S/L</v>
          </cell>
          <cell r="R4903" t="str">
            <v xml:space="preserve"> </v>
          </cell>
        </row>
        <row r="4904">
          <cell r="J4904" t="str">
            <v>S/L</v>
          </cell>
          <cell r="R4904" t="str">
            <v xml:space="preserve"> </v>
          </cell>
        </row>
        <row r="4905">
          <cell r="J4905" t="str">
            <v>S/L</v>
          </cell>
          <cell r="R4905" t="str">
            <v xml:space="preserve"> </v>
          </cell>
        </row>
        <row r="4906">
          <cell r="J4906" t="str">
            <v>S/L</v>
          </cell>
          <cell r="R4906" t="str">
            <v xml:space="preserve"> </v>
          </cell>
        </row>
        <row r="4907">
          <cell r="J4907" t="str">
            <v>S/L</v>
          </cell>
          <cell r="R4907" t="str">
            <v xml:space="preserve"> </v>
          </cell>
        </row>
        <row r="4908">
          <cell r="J4908" t="str">
            <v>S/L</v>
          </cell>
          <cell r="R4908" t="str">
            <v xml:space="preserve"> </v>
          </cell>
        </row>
        <row r="4909">
          <cell r="J4909" t="str">
            <v>S/L</v>
          </cell>
          <cell r="R4909" t="str">
            <v xml:space="preserve"> </v>
          </cell>
        </row>
        <row r="4910">
          <cell r="J4910" t="str">
            <v>S/L</v>
          </cell>
          <cell r="R4910" t="str">
            <v xml:space="preserve"> </v>
          </cell>
        </row>
        <row r="4911">
          <cell r="J4911" t="str">
            <v>S/L</v>
          </cell>
          <cell r="R4911" t="str">
            <v xml:space="preserve"> </v>
          </cell>
        </row>
        <row r="4912">
          <cell r="J4912" t="str">
            <v>S/L</v>
          </cell>
          <cell r="R4912" t="str">
            <v xml:space="preserve"> </v>
          </cell>
        </row>
        <row r="4913">
          <cell r="J4913" t="str">
            <v>S/L</v>
          </cell>
          <cell r="R4913" t="str">
            <v xml:space="preserve"> </v>
          </cell>
        </row>
        <row r="4914">
          <cell r="J4914" t="str">
            <v>S/L</v>
          </cell>
          <cell r="R4914" t="str">
            <v xml:space="preserve"> </v>
          </cell>
        </row>
        <row r="4915">
          <cell r="J4915" t="str">
            <v>S/L</v>
          </cell>
          <cell r="R4915" t="str">
            <v xml:space="preserve"> </v>
          </cell>
        </row>
        <row r="4916">
          <cell r="J4916" t="str">
            <v>S/L</v>
          </cell>
          <cell r="R4916" t="str">
            <v xml:space="preserve"> </v>
          </cell>
        </row>
        <row r="4917">
          <cell r="J4917" t="str">
            <v>S/L</v>
          </cell>
          <cell r="R4917" t="str">
            <v xml:space="preserve"> </v>
          </cell>
        </row>
        <row r="4918">
          <cell r="J4918" t="str">
            <v>S/L</v>
          </cell>
          <cell r="R4918" t="str">
            <v xml:space="preserve"> </v>
          </cell>
        </row>
        <row r="4919">
          <cell r="J4919" t="str">
            <v>S/L</v>
          </cell>
          <cell r="R4919" t="str">
            <v xml:space="preserve"> </v>
          </cell>
        </row>
        <row r="4920">
          <cell r="J4920" t="str">
            <v>S/L</v>
          </cell>
          <cell r="R4920" t="str">
            <v xml:space="preserve"> </v>
          </cell>
        </row>
        <row r="4921">
          <cell r="J4921" t="str">
            <v>S/L</v>
          </cell>
          <cell r="R4921" t="str">
            <v xml:space="preserve"> </v>
          </cell>
        </row>
        <row r="4922">
          <cell r="J4922" t="str">
            <v>S/L</v>
          </cell>
          <cell r="R4922" t="str">
            <v xml:space="preserve"> </v>
          </cell>
        </row>
        <row r="4923">
          <cell r="J4923" t="str">
            <v>S/L</v>
          </cell>
          <cell r="R4923" t="str">
            <v xml:space="preserve"> </v>
          </cell>
        </row>
        <row r="4924">
          <cell r="J4924" t="str">
            <v>S/L</v>
          </cell>
          <cell r="R4924" t="str">
            <v xml:space="preserve"> </v>
          </cell>
        </row>
        <row r="4925">
          <cell r="J4925" t="str">
            <v>S/L</v>
          </cell>
          <cell r="R4925" t="str">
            <v xml:space="preserve"> </v>
          </cell>
        </row>
        <row r="4926">
          <cell r="J4926" t="str">
            <v>S/L</v>
          </cell>
          <cell r="R4926" t="str">
            <v xml:space="preserve"> </v>
          </cell>
        </row>
        <row r="4927">
          <cell r="J4927" t="str">
            <v>S/L</v>
          </cell>
          <cell r="R4927" t="str">
            <v xml:space="preserve"> </v>
          </cell>
        </row>
        <row r="4928">
          <cell r="J4928" t="str">
            <v>S/L</v>
          </cell>
          <cell r="R4928" t="str">
            <v xml:space="preserve"> </v>
          </cell>
        </row>
        <row r="4929">
          <cell r="J4929" t="str">
            <v>S/L</v>
          </cell>
          <cell r="R4929" t="str">
            <v xml:space="preserve"> </v>
          </cell>
        </row>
        <row r="4930">
          <cell r="J4930" t="str">
            <v>S/L</v>
          </cell>
          <cell r="R4930" t="str">
            <v xml:space="preserve"> </v>
          </cell>
        </row>
        <row r="4931">
          <cell r="J4931" t="str">
            <v>S/L</v>
          </cell>
          <cell r="R4931" t="str">
            <v xml:space="preserve"> </v>
          </cell>
        </row>
        <row r="4932">
          <cell r="J4932" t="str">
            <v>S/L</v>
          </cell>
          <cell r="R4932" t="str">
            <v xml:space="preserve"> 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4BF8-488F-40F0-9175-79F36C771F31}">
  <dimension ref="A1:AP33"/>
  <sheetViews>
    <sheetView tabSelected="1" zoomScaleNormal="100" workbookViewId="0">
      <pane xSplit="7" ySplit="1" topLeftCell="H2" activePane="bottomRight" state="frozen"/>
      <selection pane="topRight" activeCell="E1" sqref="E1"/>
      <selection pane="bottomLeft" activeCell="A2" sqref="A2"/>
      <selection pane="bottomRight" activeCell="C18" sqref="C18"/>
    </sheetView>
  </sheetViews>
  <sheetFormatPr defaultColWidth="10.77734375" defaultRowHeight="14.4" x14ac:dyDescent="0.3"/>
  <cols>
    <col min="1" max="1" width="5.77734375" style="1" customWidth="1"/>
    <col min="2" max="2" width="11.44140625" style="1" bestFit="1" customWidth="1"/>
    <col min="3" max="3" width="19.6640625" style="1" customWidth="1"/>
    <col min="4" max="4" width="5.77734375" style="1" customWidth="1"/>
    <col min="5" max="5" width="4.77734375" style="1" customWidth="1"/>
    <col min="6" max="6" width="6.109375" style="8" customWidth="1"/>
    <col min="7" max="7" width="6.44140625" style="8" customWidth="1"/>
    <col min="8" max="8" width="8.77734375" style="16" customWidth="1"/>
    <col min="9" max="9" width="15.77734375" style="1" customWidth="1"/>
    <col min="10" max="10" width="32.77734375" style="1" customWidth="1"/>
    <col min="11" max="11" width="13.109375" style="1" customWidth="1"/>
    <col min="12" max="12" width="24.109375" style="1" bestFit="1" customWidth="1"/>
    <col min="13" max="13" width="14.6640625" style="1" bestFit="1" customWidth="1"/>
    <col min="14" max="14" width="7.77734375" style="1" customWidth="1"/>
    <col min="15" max="15" width="7.109375" style="1" customWidth="1"/>
    <col min="16" max="16" width="9.44140625" style="1" customWidth="1"/>
    <col min="17" max="17" width="7.44140625" style="1" customWidth="1"/>
    <col min="18" max="18" width="9.109375" style="10" customWidth="1"/>
    <col min="19" max="19" width="9.109375" style="11" customWidth="1"/>
    <col min="20" max="20" width="11.109375" style="11" bestFit="1" customWidth="1"/>
    <col min="21" max="21" width="18.109375" style="10" customWidth="1"/>
    <col min="22" max="22" width="15.44140625" style="1" bestFit="1" customWidth="1"/>
    <col min="23" max="23" width="8.109375" style="1" customWidth="1"/>
    <col min="24" max="24" width="7.77734375" style="8" customWidth="1"/>
    <col min="25" max="25" width="8.77734375" style="1" customWidth="1"/>
    <col min="26" max="26" width="8.44140625" style="1" customWidth="1"/>
    <col min="27" max="27" width="10.77734375" style="17"/>
    <col min="28" max="33" width="7.6640625" style="1" customWidth="1"/>
    <col min="34" max="34" width="10.77734375" style="14"/>
    <col min="35" max="40" width="8.33203125" style="1" customWidth="1"/>
    <col min="41" max="41" width="7.77734375" style="14" customWidth="1"/>
    <col min="42" max="42" width="10.77734375" style="18"/>
    <col min="43" max="43" width="10.44140625" style="1" bestFit="1" customWidth="1"/>
    <col min="44" max="16384" width="10.77734375" style="1"/>
  </cols>
  <sheetData>
    <row r="1" spans="1:42" s="3" customFormat="1" ht="59.4" x14ac:dyDescent="0.3">
      <c r="A1" s="3" t="s">
        <v>6</v>
      </c>
      <c r="B1" s="19" t="s">
        <v>37</v>
      </c>
      <c r="C1" s="3" t="s">
        <v>36</v>
      </c>
      <c r="D1" s="20" t="s">
        <v>38</v>
      </c>
      <c r="E1" s="3" t="s">
        <v>4</v>
      </c>
      <c r="F1" s="3" t="s">
        <v>26</v>
      </c>
      <c r="G1" s="3" t="s">
        <v>5</v>
      </c>
      <c r="H1" s="3" t="s">
        <v>35</v>
      </c>
      <c r="I1" s="3" t="s">
        <v>7</v>
      </c>
      <c r="J1" s="3" t="s">
        <v>46</v>
      </c>
      <c r="K1" s="3" t="s">
        <v>8</v>
      </c>
      <c r="L1" s="3" t="s">
        <v>9</v>
      </c>
      <c r="M1" s="3" t="s">
        <v>12</v>
      </c>
      <c r="N1" s="3" t="s">
        <v>45</v>
      </c>
      <c r="O1" s="3" t="s">
        <v>44</v>
      </c>
      <c r="P1" s="3" t="s">
        <v>43</v>
      </c>
      <c r="Q1" s="3" t="s">
        <v>42</v>
      </c>
      <c r="R1" s="4" t="s">
        <v>48</v>
      </c>
      <c r="S1" s="5" t="s">
        <v>41</v>
      </c>
      <c r="T1" s="5" t="s">
        <v>10</v>
      </c>
      <c r="U1" s="3" t="s">
        <v>40</v>
      </c>
      <c r="V1" s="3" t="s">
        <v>17</v>
      </c>
      <c r="W1" s="3" t="s">
        <v>13</v>
      </c>
      <c r="X1" s="3" t="s">
        <v>16</v>
      </c>
      <c r="Y1" s="3" t="s">
        <v>14</v>
      </c>
      <c r="Z1" s="3" t="s">
        <v>15</v>
      </c>
      <c r="AA1" s="6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7" t="s">
        <v>25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7" t="s">
        <v>33</v>
      </c>
      <c r="AP1" s="6" t="s">
        <v>34</v>
      </c>
    </row>
    <row r="2" spans="1:42" x14ac:dyDescent="0.3">
      <c r="A2" s="8">
        <v>1</v>
      </c>
      <c r="B2" s="2" t="str">
        <f>D2&amp;"_P"&amp;E2&amp;"_SP"&amp;F2</f>
        <v>LB_P3_SP23</v>
      </c>
      <c r="C2" s="1" t="e">
        <f>VLOOKUP(B2,#REF!, 2, TRUE)</f>
        <v>#REF!</v>
      </c>
      <c r="D2" s="1" t="s">
        <v>39</v>
      </c>
      <c r="E2" s="1">
        <v>3</v>
      </c>
      <c r="F2" s="8">
        <v>23</v>
      </c>
      <c r="G2" s="8">
        <v>102</v>
      </c>
      <c r="H2" s="9" t="s">
        <v>2</v>
      </c>
      <c r="I2" t="s">
        <v>0</v>
      </c>
      <c r="J2" s="2" t="str">
        <f>VLOOKUP(G2, [1]Lianas_NewPlotFieldsheet!$J$1:$R$4932, 3, FALSE)</f>
        <v>apocyna_102</v>
      </c>
      <c r="M2" s="1" t="s">
        <v>47</v>
      </c>
      <c r="N2" s="1">
        <v>3.53</v>
      </c>
      <c r="O2" s="1">
        <v>7.6</v>
      </c>
      <c r="P2" s="1">
        <v>0.85</v>
      </c>
      <c r="Q2" s="1">
        <v>0.42</v>
      </c>
      <c r="R2" s="10">
        <f>O2*((P2/2*P2/2)*PI())</f>
        <v>4.3126213152153872</v>
      </c>
      <c r="S2" s="11">
        <f>100*(N2-Q2)/N2</f>
        <v>88.101983002832867</v>
      </c>
      <c r="T2" s="11">
        <f>Q2/R2</f>
        <v>9.7388564703836916E-2</v>
      </c>
      <c r="W2" s="8">
        <v>20</v>
      </c>
      <c r="X2" s="8">
        <v>0</v>
      </c>
      <c r="Y2" s="1">
        <v>55.29</v>
      </c>
      <c r="Z2" s="1">
        <v>6.19</v>
      </c>
      <c r="AA2" s="12">
        <f>1000*Z2/Y2</f>
        <v>111.95514559594864</v>
      </c>
      <c r="AB2" s="1">
        <v>0.53600000000000003</v>
      </c>
      <c r="AC2" s="1">
        <v>0.48499999999999999</v>
      </c>
      <c r="AD2" s="1">
        <v>0.34300000000000003</v>
      </c>
      <c r="AE2" s="1">
        <v>0.34100000000000003</v>
      </c>
      <c r="AF2" s="1">
        <v>0.41399999999999998</v>
      </c>
      <c r="AG2" s="1">
        <v>0.374</v>
      </c>
      <c r="AH2" s="13">
        <f>AVERAGE(AB2:AG2)</f>
        <v>0.41549999999999998</v>
      </c>
      <c r="AI2" s="1">
        <v>3.86</v>
      </c>
      <c r="AJ2" s="1">
        <v>3.52</v>
      </c>
      <c r="AK2" s="1">
        <v>2.39</v>
      </c>
      <c r="AL2" s="1">
        <v>2.87</v>
      </c>
      <c r="AM2" s="1">
        <v>3.23</v>
      </c>
      <c r="AN2" s="1">
        <v>3.48</v>
      </c>
      <c r="AO2" s="14">
        <f>AVERAGE(AI2:AN2)</f>
        <v>3.2250000000000001</v>
      </c>
      <c r="AP2" s="15">
        <f>AO2/(2*PI())</f>
        <v>0.51327469147136251</v>
      </c>
    </row>
    <row r="3" spans="1:42" x14ac:dyDescent="0.3">
      <c r="A3" s="8">
        <v>2</v>
      </c>
      <c r="B3" s="2" t="str">
        <f t="shared" ref="B3" si="0">D3&amp;"_P"&amp;E3&amp;"_SP"&amp;F3</f>
        <v>LB_P3_SP23</v>
      </c>
      <c r="C3" s="1" t="e">
        <f>VLOOKUP(B3,#REF!, 2, TRUE)</f>
        <v>#REF!</v>
      </c>
      <c r="D3" s="1" t="s">
        <v>39</v>
      </c>
      <c r="E3" s="1">
        <v>3</v>
      </c>
      <c r="F3" s="8">
        <v>23</v>
      </c>
      <c r="G3" s="8">
        <v>107</v>
      </c>
      <c r="H3" s="9" t="s">
        <v>3</v>
      </c>
      <c r="I3" s="1" t="s">
        <v>1</v>
      </c>
      <c r="J3" s="2" t="str">
        <f>VLOOKUP(G3, [1]Lianas_NewPlotFieldsheet!$J$1:$R$4932, 3, FALSE)</f>
        <v>Dioscorea</v>
      </c>
      <c r="K3" s="1" t="s">
        <v>11</v>
      </c>
      <c r="M3" s="1" t="s">
        <v>47</v>
      </c>
      <c r="N3" s="1">
        <v>5.81</v>
      </c>
      <c r="O3" s="1">
        <v>7.3</v>
      </c>
      <c r="P3" s="1">
        <v>0.9</v>
      </c>
      <c r="Q3" s="1">
        <v>1.73</v>
      </c>
      <c r="R3" s="10">
        <f t="shared" ref="R3" si="1">O3*((P3/2*P3/2)*PI())</f>
        <v>4.6440593401691119</v>
      </c>
      <c r="S3" s="11">
        <f t="shared" ref="S3" si="2">100*(N3-Q3)/N3</f>
        <v>70.223752151463003</v>
      </c>
      <c r="T3" s="11">
        <f t="shared" ref="T3" si="3">Q3/R3</f>
        <v>0.37251892649954871</v>
      </c>
      <c r="W3" s="8">
        <v>20</v>
      </c>
      <c r="X3" s="8">
        <v>0</v>
      </c>
      <c r="Y3" s="1">
        <v>31.05</v>
      </c>
      <c r="Z3" s="1">
        <v>4.3899999999999997</v>
      </c>
      <c r="AA3" s="12">
        <f t="shared" ref="AA3" si="4">1000*Z3/Y3</f>
        <v>141.38486312399357</v>
      </c>
      <c r="AB3" s="1">
        <v>0.26</v>
      </c>
      <c r="AC3" s="1">
        <v>0.28399999999999997</v>
      </c>
      <c r="AD3" s="1">
        <v>0.21099999999999999</v>
      </c>
      <c r="AE3" s="1">
        <v>0.21299999999999999</v>
      </c>
      <c r="AF3" s="1">
        <v>0.22500000000000001</v>
      </c>
      <c r="AG3" s="1">
        <v>0.22500000000000001</v>
      </c>
      <c r="AH3" s="13">
        <f>AVERAGE(AB3:AG3)</f>
        <v>0.23633333333333337</v>
      </c>
      <c r="AI3" s="1">
        <v>1.5</v>
      </c>
      <c r="AJ3" s="1">
        <v>1.69</v>
      </c>
      <c r="AK3" s="1">
        <v>1.22</v>
      </c>
      <c r="AL3" s="1">
        <v>1.1299999999999999</v>
      </c>
      <c r="AM3" s="1">
        <v>1.49</v>
      </c>
      <c r="AN3" s="1">
        <v>1.28</v>
      </c>
      <c r="AO3" s="14">
        <f t="shared" ref="AO3" si="5">AVERAGE(AI3:AN3)</f>
        <v>1.385</v>
      </c>
      <c r="AP3" s="15">
        <f t="shared" ref="AP3" si="6">AO3/(2*PI())</f>
        <v>0.22042959618227506</v>
      </c>
    </row>
    <row r="4" spans="1:42" x14ac:dyDescent="0.3">
      <c r="A4" s="8"/>
      <c r="B4" s="2"/>
    </row>
    <row r="5" spans="1:42" x14ac:dyDescent="0.3">
      <c r="A5" s="8"/>
      <c r="B5" s="2"/>
    </row>
    <row r="6" spans="1:42" x14ac:dyDescent="0.3">
      <c r="A6" s="8"/>
      <c r="B6" s="2"/>
    </row>
    <row r="7" spans="1:42" x14ac:dyDescent="0.3">
      <c r="A7" s="8"/>
      <c r="B7" s="2"/>
    </row>
    <row r="8" spans="1:42" x14ac:dyDescent="0.3">
      <c r="A8" s="8"/>
      <c r="B8" s="2"/>
    </row>
    <row r="9" spans="1:42" x14ac:dyDescent="0.3">
      <c r="A9" s="8"/>
      <c r="B9" s="2"/>
    </row>
    <row r="10" spans="1:42" x14ac:dyDescent="0.3">
      <c r="A10" s="8"/>
      <c r="B10" s="2"/>
    </row>
    <row r="11" spans="1:42" x14ac:dyDescent="0.3">
      <c r="A11" s="8"/>
      <c r="B11" s="2"/>
    </row>
    <row r="12" spans="1:42" x14ac:dyDescent="0.3">
      <c r="A12" s="8"/>
      <c r="B12" s="2"/>
    </row>
    <row r="13" spans="1:42" x14ac:dyDescent="0.3">
      <c r="A13" s="8"/>
      <c r="B13" s="2"/>
    </row>
    <row r="14" spans="1:42" x14ac:dyDescent="0.3">
      <c r="A14" s="8"/>
      <c r="B14" s="2"/>
    </row>
    <row r="15" spans="1:42" x14ac:dyDescent="0.3">
      <c r="A15" s="8"/>
      <c r="B15" s="2"/>
    </row>
    <row r="16" spans="1:42" x14ac:dyDescent="0.3">
      <c r="A16" s="8"/>
      <c r="B16" s="2"/>
    </row>
    <row r="17" spans="1:2" x14ac:dyDescent="0.3">
      <c r="A17" s="8"/>
      <c r="B17" s="2"/>
    </row>
    <row r="18" spans="1:2" x14ac:dyDescent="0.3">
      <c r="A18" s="8"/>
      <c r="B18" s="2"/>
    </row>
    <row r="19" spans="1:2" x14ac:dyDescent="0.3">
      <c r="A19" s="8"/>
      <c r="B19" s="2"/>
    </row>
    <row r="20" spans="1:2" x14ac:dyDescent="0.3">
      <c r="A20" s="8"/>
      <c r="B20" s="2"/>
    </row>
    <row r="21" spans="1:2" x14ac:dyDescent="0.3">
      <c r="A21" s="8"/>
      <c r="B21" s="2"/>
    </row>
    <row r="22" spans="1:2" x14ac:dyDescent="0.3">
      <c r="A22" s="8"/>
      <c r="B22" s="2"/>
    </row>
    <row r="23" spans="1:2" x14ac:dyDescent="0.3">
      <c r="A23" s="8"/>
      <c r="B23" s="2"/>
    </row>
    <row r="24" spans="1:2" x14ac:dyDescent="0.3">
      <c r="A24" s="8"/>
      <c r="B24" s="2"/>
    </row>
    <row r="25" spans="1:2" x14ac:dyDescent="0.3">
      <c r="A25" s="8"/>
      <c r="B25" s="2"/>
    </row>
    <row r="26" spans="1:2" x14ac:dyDescent="0.3">
      <c r="A26" s="8"/>
      <c r="B26" s="2"/>
    </row>
    <row r="27" spans="1:2" x14ac:dyDescent="0.3">
      <c r="A27" s="8"/>
      <c r="B27" s="2"/>
    </row>
    <row r="28" spans="1:2" x14ac:dyDescent="0.3">
      <c r="A28" s="8"/>
      <c r="B28" s="2"/>
    </row>
    <row r="29" spans="1:2" x14ac:dyDescent="0.3">
      <c r="A29" s="8"/>
      <c r="B29" s="2"/>
    </row>
    <row r="30" spans="1:2" x14ac:dyDescent="0.3">
      <c r="A30" s="8"/>
      <c r="B30" s="2"/>
    </row>
    <row r="31" spans="1:2" x14ac:dyDescent="0.3">
      <c r="A31" s="8"/>
      <c r="B31" s="2"/>
    </row>
    <row r="32" spans="1:2" x14ac:dyDescent="0.3">
      <c r="A32" s="8"/>
      <c r="B32" s="2"/>
    </row>
    <row r="33" spans="1:2" x14ac:dyDescent="0.3">
      <c r="A33" s="8"/>
      <c r="B33" s="2"/>
    </row>
  </sheetData>
  <autoFilter ref="A1:AQ33" xr:uid="{5F7A4BF8-488F-40F0-9175-79F36C771F31}"/>
  <phoneticPr fontId="1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trait_measures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Homeier, Juergen</dc:creator>
  <cp:keywords/>
  <dc:description/>
  <cp:lastModifiedBy>Alejandra Moscoso</cp:lastModifiedBy>
  <dcterms:created xsi:type="dcterms:W3CDTF">2015-06-05T18:19:34Z</dcterms:created>
  <dcterms:modified xsi:type="dcterms:W3CDTF">2025-06-06T19:15:54Z</dcterms:modified>
  <cp:category/>
</cp:coreProperties>
</file>